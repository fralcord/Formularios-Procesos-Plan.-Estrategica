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rutte\Documents\F\C33\"/>
    </mc:Choice>
  </mc:AlternateContent>
  <xr:revisionPtr revIDLastSave="0" documentId="13_ncr:1_{E68169F1-A870-473F-B5B3-60757EFB7439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" sheetId="51" r:id="rId1"/>
    <sheet name="2025" sheetId="50" r:id="rId2"/>
    <sheet name="2024" sheetId="49" r:id="rId3"/>
    <sheet name="2023" sheetId="46" r:id="rId4"/>
    <sheet name="2022" sheetId="45" r:id="rId5"/>
    <sheet name="Feriados" sheetId="24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4" hidden="1">'2022'!$A$1:$AB$89</definedName>
    <definedName name="_xlnm._FilterDatabase" localSheetId="3" hidden="1">'2023'!$A$1:$AC$118</definedName>
    <definedName name="_xlnm._FilterDatabase" localSheetId="2" hidden="1">'2024'!$A$1:$AC$106</definedName>
    <definedName name="_xlnm._FilterDatabase" localSheetId="1" hidden="1">'2025'!$A$1:$AC$96</definedName>
    <definedName name="_xlnm._FilterDatabase" localSheetId="0" hidden="1">'2026'!$A$1:$AC$205</definedName>
    <definedName name="_xlnm.Print_Area" localSheetId="4">'2022'!$A$1:$AB$103</definedName>
    <definedName name="_xlnm.Print_Area" localSheetId="3">'2023'!$A$1:$AC$120</definedName>
    <definedName name="_xlnm.Print_Area" localSheetId="2">'2024'!$A$1:$AC$106</definedName>
    <definedName name="_xlnm.Print_Area" localSheetId="1">'2025'!$A$1:$AC$8</definedName>
    <definedName name="_xlnm.Print_Area" localSheetId="0">'2026'!$A$1:$AC$4</definedName>
    <definedName name="BIP" localSheetId="4">'2022'!#REF!</definedName>
    <definedName name="BIP" localSheetId="3">'2023'!#REF!</definedName>
    <definedName name="BIP" localSheetId="2">'2024'!#REF!</definedName>
    <definedName name="BIP" localSheetId="1">'2025'!#REF!</definedName>
    <definedName name="BIP" localSheetId="0">'2026'!#REF!</definedName>
    <definedName name="BIP">#REF!</definedName>
  </definedNames>
  <calcPr calcId="191029"/>
  <fileRecoveryPr autoRecover="0"/>
</workbook>
</file>

<file path=xl/calcChain.xml><?xml version="1.0" encoding="utf-8"?>
<calcChain xmlns="http://schemas.openxmlformats.org/spreadsheetml/2006/main">
  <c r="W111" i="51" l="1"/>
  <c r="V111" i="51"/>
  <c r="U111" i="51"/>
  <c r="X111" i="51" s="1"/>
  <c r="R111" i="51"/>
  <c r="P111" i="51"/>
  <c r="P104" i="51"/>
  <c r="P105" i="51"/>
  <c r="P106" i="51"/>
  <c r="P107" i="51"/>
  <c r="P108" i="51"/>
  <c r="P109" i="51"/>
  <c r="P110" i="51"/>
  <c r="C110" i="51"/>
  <c r="D110" i="51"/>
  <c r="E110" i="51"/>
  <c r="C111" i="51"/>
  <c r="D111" i="51"/>
  <c r="E111" i="51"/>
  <c r="W110" i="51" l="1"/>
  <c r="V110" i="51"/>
  <c r="U110" i="51"/>
  <c r="X110" i="51" s="1"/>
  <c r="R110" i="51"/>
  <c r="C107" i="51"/>
  <c r="D107" i="51"/>
  <c r="E107" i="51"/>
  <c r="C108" i="51"/>
  <c r="D108" i="51"/>
  <c r="E108" i="51"/>
  <c r="C109" i="51"/>
  <c r="D109" i="51"/>
  <c r="E109" i="51"/>
  <c r="W109" i="51"/>
  <c r="V109" i="51"/>
  <c r="U109" i="51"/>
  <c r="X109" i="51" s="1"/>
  <c r="R109" i="51"/>
  <c r="W108" i="51"/>
  <c r="V108" i="51"/>
  <c r="U108" i="51"/>
  <c r="X108" i="51" s="1"/>
  <c r="R108" i="51"/>
  <c r="W106" i="51"/>
  <c r="V106" i="51"/>
  <c r="U106" i="51"/>
  <c r="X106" i="51" s="1"/>
  <c r="R106" i="51"/>
  <c r="W107" i="51"/>
  <c r="V107" i="51"/>
  <c r="U107" i="51"/>
  <c r="X107" i="51" s="1"/>
  <c r="R107" i="51"/>
  <c r="P103" i="51"/>
  <c r="C99" i="51"/>
  <c r="D99" i="51"/>
  <c r="E99" i="51"/>
  <c r="C100" i="51"/>
  <c r="D100" i="51"/>
  <c r="E100" i="51"/>
  <c r="C101" i="51"/>
  <c r="D101" i="51"/>
  <c r="E101" i="51"/>
  <c r="C102" i="51"/>
  <c r="D102" i="51"/>
  <c r="E102" i="51"/>
  <c r="C103" i="51"/>
  <c r="D103" i="51"/>
  <c r="E103" i="51"/>
  <c r="C104" i="51"/>
  <c r="D104" i="51"/>
  <c r="E104" i="51"/>
  <c r="C105" i="51"/>
  <c r="D105" i="51"/>
  <c r="E105" i="51"/>
  <c r="C106" i="51"/>
  <c r="D106" i="51"/>
  <c r="E106" i="51"/>
  <c r="C97" i="51"/>
  <c r="D97" i="51"/>
  <c r="E97" i="51"/>
  <c r="C98" i="51"/>
  <c r="D98" i="51"/>
  <c r="E98" i="51"/>
  <c r="W105" i="51"/>
  <c r="V105" i="51"/>
  <c r="U105" i="51"/>
  <c r="X105" i="51" s="1"/>
  <c r="R105" i="51"/>
  <c r="P97" i="51"/>
  <c r="P98" i="51"/>
  <c r="P99" i="51"/>
  <c r="P100" i="51"/>
  <c r="P101" i="51"/>
  <c r="P102" i="51"/>
  <c r="W104" i="51" l="1"/>
  <c r="V104" i="51"/>
  <c r="U104" i="51"/>
  <c r="X104" i="51" s="1"/>
  <c r="P96" i="51"/>
  <c r="R104" i="51"/>
  <c r="C3" i="51"/>
  <c r="D3" i="51"/>
  <c r="E3" i="51"/>
  <c r="C4" i="51"/>
  <c r="D4" i="51"/>
  <c r="E4" i="51"/>
  <c r="C5" i="51"/>
  <c r="D5" i="51"/>
  <c r="E5" i="51"/>
  <c r="C6" i="51"/>
  <c r="D6" i="51"/>
  <c r="E6" i="51"/>
  <c r="C7" i="51"/>
  <c r="D7" i="51"/>
  <c r="E7" i="51"/>
  <c r="C8" i="51"/>
  <c r="D8" i="51"/>
  <c r="E8" i="51"/>
  <c r="C9" i="51"/>
  <c r="D9" i="51"/>
  <c r="E9" i="51"/>
  <c r="C10" i="51"/>
  <c r="D10" i="51"/>
  <c r="E10" i="51"/>
  <c r="C11" i="51"/>
  <c r="D11" i="51"/>
  <c r="E11" i="51"/>
  <c r="C12" i="51"/>
  <c r="D12" i="51"/>
  <c r="E12" i="51"/>
  <c r="C13" i="51"/>
  <c r="D13" i="51"/>
  <c r="E13" i="51"/>
  <c r="C14" i="51"/>
  <c r="D14" i="51"/>
  <c r="E14" i="51"/>
  <c r="C15" i="51"/>
  <c r="D15" i="51"/>
  <c r="E15" i="51"/>
  <c r="C16" i="51"/>
  <c r="D16" i="51"/>
  <c r="E16" i="51"/>
  <c r="C17" i="51"/>
  <c r="D17" i="51"/>
  <c r="E17" i="51"/>
  <c r="C18" i="51"/>
  <c r="D18" i="51"/>
  <c r="E18" i="51"/>
  <c r="C19" i="51"/>
  <c r="D19" i="51"/>
  <c r="E19" i="51"/>
  <c r="C20" i="51"/>
  <c r="D20" i="51"/>
  <c r="E20" i="51"/>
  <c r="C21" i="51"/>
  <c r="D21" i="51"/>
  <c r="E21" i="51"/>
  <c r="C22" i="51"/>
  <c r="D22" i="51"/>
  <c r="E22" i="51"/>
  <c r="C23" i="51"/>
  <c r="D23" i="51"/>
  <c r="E23" i="51"/>
  <c r="C24" i="51"/>
  <c r="D24" i="51"/>
  <c r="E24" i="51"/>
  <c r="C25" i="51"/>
  <c r="D25" i="51"/>
  <c r="E25" i="51"/>
  <c r="C26" i="51"/>
  <c r="D26" i="51"/>
  <c r="E26" i="51"/>
  <c r="C27" i="51"/>
  <c r="D27" i="51"/>
  <c r="E27" i="51"/>
  <c r="C28" i="51"/>
  <c r="D28" i="51"/>
  <c r="E28" i="51"/>
  <c r="C29" i="51"/>
  <c r="D29" i="51"/>
  <c r="E29" i="51"/>
  <c r="C30" i="51"/>
  <c r="D30" i="51"/>
  <c r="E30" i="51"/>
  <c r="C31" i="51"/>
  <c r="D31" i="51"/>
  <c r="E31" i="51"/>
  <c r="C32" i="51"/>
  <c r="D32" i="51"/>
  <c r="E32" i="51"/>
  <c r="C33" i="51"/>
  <c r="D33" i="51"/>
  <c r="E33" i="51"/>
  <c r="C34" i="51"/>
  <c r="D34" i="51"/>
  <c r="E34" i="51"/>
  <c r="C35" i="51"/>
  <c r="D35" i="51"/>
  <c r="E35" i="51"/>
  <c r="C36" i="51"/>
  <c r="D36" i="51"/>
  <c r="E36" i="51"/>
  <c r="C37" i="51"/>
  <c r="D37" i="51"/>
  <c r="E37" i="51"/>
  <c r="C38" i="51"/>
  <c r="D38" i="51"/>
  <c r="E38" i="51"/>
  <c r="C39" i="51"/>
  <c r="D39" i="51"/>
  <c r="E39" i="51"/>
  <c r="C40" i="51"/>
  <c r="D40" i="51"/>
  <c r="E40" i="51"/>
  <c r="C41" i="51"/>
  <c r="D41" i="51"/>
  <c r="E41" i="51"/>
  <c r="C42" i="51"/>
  <c r="D42" i="51"/>
  <c r="E42" i="51"/>
  <c r="C43" i="51"/>
  <c r="D43" i="51"/>
  <c r="E43" i="51"/>
  <c r="C44" i="51"/>
  <c r="D44" i="51"/>
  <c r="E44" i="51"/>
  <c r="C45" i="51"/>
  <c r="D45" i="51"/>
  <c r="E45" i="51"/>
  <c r="C46" i="51"/>
  <c r="D46" i="51"/>
  <c r="E46" i="51"/>
  <c r="C47" i="51"/>
  <c r="D47" i="51"/>
  <c r="E47" i="51"/>
  <c r="C48" i="51"/>
  <c r="D48" i="51"/>
  <c r="E48" i="51"/>
  <c r="C49" i="51"/>
  <c r="D49" i="51"/>
  <c r="E49" i="51"/>
  <c r="C50" i="51"/>
  <c r="D50" i="51"/>
  <c r="E50" i="51"/>
  <c r="C51" i="51"/>
  <c r="D51" i="51"/>
  <c r="E51" i="51"/>
  <c r="C52" i="51"/>
  <c r="D52" i="51"/>
  <c r="E52" i="51"/>
  <c r="C53" i="51"/>
  <c r="D53" i="51"/>
  <c r="E53" i="51"/>
  <c r="C54" i="51"/>
  <c r="D54" i="51"/>
  <c r="E54" i="51"/>
  <c r="C55" i="51"/>
  <c r="D55" i="51"/>
  <c r="E55" i="51"/>
  <c r="C56" i="51"/>
  <c r="D56" i="51"/>
  <c r="E56" i="51"/>
  <c r="C57" i="51"/>
  <c r="D57" i="51"/>
  <c r="E57" i="51"/>
  <c r="C58" i="51"/>
  <c r="D58" i="51"/>
  <c r="E58" i="51"/>
  <c r="C59" i="51"/>
  <c r="D59" i="51"/>
  <c r="E59" i="51"/>
  <c r="C60" i="51"/>
  <c r="D60" i="51"/>
  <c r="E60" i="51"/>
  <c r="C61" i="51"/>
  <c r="D61" i="51"/>
  <c r="E61" i="51"/>
  <c r="C62" i="51"/>
  <c r="D62" i="51"/>
  <c r="E62" i="51"/>
  <c r="C63" i="51"/>
  <c r="D63" i="51"/>
  <c r="E63" i="51"/>
  <c r="C64" i="51"/>
  <c r="D64" i="51"/>
  <c r="E64" i="51"/>
  <c r="C65" i="51"/>
  <c r="D65" i="51"/>
  <c r="E65" i="51"/>
  <c r="C66" i="51"/>
  <c r="D66" i="51"/>
  <c r="E66" i="51"/>
  <c r="C67" i="51"/>
  <c r="D67" i="51"/>
  <c r="E67" i="51"/>
  <c r="C68" i="51"/>
  <c r="D68" i="51"/>
  <c r="E68" i="51"/>
  <c r="C69" i="51"/>
  <c r="D69" i="51"/>
  <c r="E69" i="51"/>
  <c r="C70" i="51"/>
  <c r="D70" i="51"/>
  <c r="E70" i="51"/>
  <c r="C71" i="51"/>
  <c r="D71" i="51"/>
  <c r="E71" i="51"/>
  <c r="C72" i="51"/>
  <c r="D72" i="51"/>
  <c r="E72" i="51"/>
  <c r="C73" i="51"/>
  <c r="D73" i="51"/>
  <c r="E73" i="51"/>
  <c r="C74" i="51"/>
  <c r="D74" i="51"/>
  <c r="E74" i="51"/>
  <c r="C75" i="51"/>
  <c r="D75" i="51"/>
  <c r="E75" i="51"/>
  <c r="C76" i="51"/>
  <c r="D76" i="51"/>
  <c r="E76" i="51"/>
  <c r="C77" i="51"/>
  <c r="D77" i="51"/>
  <c r="E77" i="51"/>
  <c r="C78" i="51"/>
  <c r="D78" i="51"/>
  <c r="E78" i="51"/>
  <c r="C79" i="51"/>
  <c r="D79" i="51"/>
  <c r="E79" i="51"/>
  <c r="C80" i="51"/>
  <c r="D80" i="51"/>
  <c r="E80" i="51"/>
  <c r="C81" i="51"/>
  <c r="D81" i="51"/>
  <c r="E81" i="51"/>
  <c r="C82" i="51"/>
  <c r="D82" i="51"/>
  <c r="E82" i="51"/>
  <c r="C83" i="51"/>
  <c r="D83" i="51"/>
  <c r="E83" i="51"/>
  <c r="C84" i="51"/>
  <c r="D84" i="51"/>
  <c r="E84" i="51"/>
  <c r="C85" i="51"/>
  <c r="D85" i="51"/>
  <c r="E85" i="51"/>
  <c r="C86" i="51"/>
  <c r="D86" i="51"/>
  <c r="E86" i="51"/>
  <c r="C87" i="51"/>
  <c r="D87" i="51"/>
  <c r="E87" i="51"/>
  <c r="C88" i="51"/>
  <c r="D88" i="51"/>
  <c r="C89" i="51"/>
  <c r="D89" i="51"/>
  <c r="E89" i="51"/>
  <c r="C90" i="51"/>
  <c r="D90" i="51"/>
  <c r="E90" i="51"/>
  <c r="C91" i="51"/>
  <c r="D91" i="51"/>
  <c r="E91" i="51"/>
  <c r="C92" i="51"/>
  <c r="D92" i="51"/>
  <c r="E92" i="51"/>
  <c r="C93" i="51"/>
  <c r="D93" i="51"/>
  <c r="E93" i="51"/>
  <c r="C94" i="51"/>
  <c r="D94" i="51"/>
  <c r="E94" i="51"/>
  <c r="C95" i="51"/>
  <c r="D95" i="51"/>
  <c r="E95" i="51"/>
  <c r="C96" i="51"/>
  <c r="D96" i="51"/>
  <c r="E96" i="51"/>
  <c r="E2" i="51"/>
  <c r="O223" i="51"/>
  <c r="O221" i="51"/>
  <c r="R100" i="51"/>
  <c r="U100" i="51"/>
  <c r="X100" i="51" s="1"/>
  <c r="V100" i="51"/>
  <c r="W100" i="51"/>
  <c r="R101" i="51"/>
  <c r="U101" i="51"/>
  <c r="X101" i="51" s="1"/>
  <c r="V101" i="51"/>
  <c r="W101" i="51"/>
  <c r="R102" i="51"/>
  <c r="U102" i="51"/>
  <c r="X102" i="51" s="1"/>
  <c r="V102" i="51"/>
  <c r="W102" i="51"/>
  <c r="R103" i="51"/>
  <c r="U103" i="51"/>
  <c r="X103" i="51" s="1"/>
  <c r="V103" i="51"/>
  <c r="W103" i="51"/>
  <c r="W99" i="51"/>
  <c r="V99" i="51"/>
  <c r="U99" i="51"/>
  <c r="X99" i="51" s="1"/>
  <c r="R99" i="51"/>
  <c r="P88" i="51"/>
  <c r="P89" i="51"/>
  <c r="P90" i="51"/>
  <c r="P91" i="51"/>
  <c r="P92" i="51"/>
  <c r="P93" i="51"/>
  <c r="P94" i="51"/>
  <c r="P95" i="51"/>
  <c r="W98" i="51"/>
  <c r="V98" i="51"/>
  <c r="U98" i="51"/>
  <c r="X98" i="51" s="1"/>
  <c r="R98" i="51"/>
  <c r="W97" i="51"/>
  <c r="V97" i="51"/>
  <c r="U97" i="51"/>
  <c r="X97" i="51" s="1"/>
  <c r="R97" i="51"/>
  <c r="W96" i="51"/>
  <c r="V96" i="51"/>
  <c r="U96" i="51"/>
  <c r="X96" i="51" s="1"/>
  <c r="R96" i="51"/>
  <c r="W95" i="51"/>
  <c r="V95" i="51"/>
  <c r="U95" i="51"/>
  <c r="X95" i="51" s="1"/>
  <c r="R95" i="51"/>
  <c r="P76" i="51"/>
  <c r="P77" i="51"/>
  <c r="P78" i="51"/>
  <c r="P79" i="51"/>
  <c r="P80" i="51"/>
  <c r="P81" i="51"/>
  <c r="P82" i="51"/>
  <c r="P83" i="51"/>
  <c r="P84" i="51"/>
  <c r="P85" i="51"/>
  <c r="P86" i="51"/>
  <c r="P87" i="51"/>
  <c r="W94" i="51"/>
  <c r="V94" i="51"/>
  <c r="U94" i="51"/>
  <c r="X94" i="51" s="1"/>
  <c r="R94" i="51"/>
  <c r="W93" i="51"/>
  <c r="V93" i="51"/>
  <c r="U93" i="51"/>
  <c r="X93" i="51" s="1"/>
  <c r="R93" i="51"/>
  <c r="W92" i="51"/>
  <c r="V92" i="51"/>
  <c r="U92" i="51"/>
  <c r="X92" i="51" s="1"/>
  <c r="R92" i="51"/>
  <c r="W91" i="51"/>
  <c r="V91" i="51"/>
  <c r="U91" i="51"/>
  <c r="X91" i="51" s="1"/>
  <c r="R91" i="51"/>
  <c r="W90" i="51"/>
  <c r="V90" i="51"/>
  <c r="U90" i="51"/>
  <c r="X90" i="51" s="1"/>
  <c r="R90" i="51"/>
  <c r="U89" i="51"/>
  <c r="X89" i="51" s="1"/>
  <c r="R89" i="51"/>
  <c r="W88" i="51"/>
  <c r="V88" i="51"/>
  <c r="U88" i="51"/>
  <c r="X88" i="51" s="1"/>
  <c r="R88" i="51"/>
  <c r="V77" i="51"/>
  <c r="W77" i="51"/>
  <c r="U87" i="51"/>
  <c r="X87" i="51" s="1"/>
  <c r="R87" i="51"/>
  <c r="W86" i="51"/>
  <c r="V86" i="51"/>
  <c r="U86" i="51"/>
  <c r="X86" i="51" s="1"/>
  <c r="R86" i="51"/>
  <c r="U85" i="51"/>
  <c r="X85" i="51" s="1"/>
  <c r="R85" i="51"/>
  <c r="N132" i="51"/>
  <c r="W84" i="51"/>
  <c r="V84" i="51"/>
  <c r="U84" i="51"/>
  <c r="X84" i="51" s="1"/>
  <c r="R84" i="51"/>
  <c r="W83" i="51"/>
  <c r="V83" i="51"/>
  <c r="U83" i="51"/>
  <c r="X83" i="51" s="1"/>
  <c r="R83" i="51"/>
  <c r="W81" i="51"/>
  <c r="V81" i="51"/>
  <c r="U81" i="51"/>
  <c r="X81" i="51" s="1"/>
  <c r="R81" i="51"/>
  <c r="P75" i="51"/>
  <c r="W82" i="51"/>
  <c r="V82" i="51"/>
  <c r="U82" i="51"/>
  <c r="X82" i="51" s="1"/>
  <c r="R82" i="51"/>
  <c r="J230" i="51"/>
  <c r="J232" i="51"/>
  <c r="W80" i="51"/>
  <c r="V80" i="51"/>
  <c r="U80" i="51"/>
  <c r="X80" i="51" s="1"/>
  <c r="R80" i="51"/>
  <c r="W70" i="51"/>
  <c r="W69" i="51"/>
  <c r="V71" i="51"/>
  <c r="V70" i="51"/>
  <c r="V69" i="51"/>
  <c r="U71" i="51"/>
  <c r="X71" i="51" s="1"/>
  <c r="U70" i="51"/>
  <c r="X70" i="51" s="1"/>
  <c r="U69" i="51"/>
  <c r="X69" i="51" s="1"/>
  <c r="R70" i="51"/>
  <c r="R71" i="51"/>
  <c r="P70" i="51"/>
  <c r="P71" i="51"/>
  <c r="W79" i="51"/>
  <c r="V79" i="51"/>
  <c r="U79" i="51"/>
  <c r="X79" i="51" s="1"/>
  <c r="R79" i="51"/>
  <c r="W78" i="51"/>
  <c r="V78" i="51"/>
  <c r="U78" i="51"/>
  <c r="X78" i="51" s="1"/>
  <c r="R78" i="51"/>
  <c r="U74" i="51"/>
  <c r="X74" i="51" s="1"/>
  <c r="U75" i="51"/>
  <c r="X75" i="51" s="1"/>
  <c r="U76" i="51"/>
  <c r="X76" i="51" s="1"/>
  <c r="U77" i="51"/>
  <c r="X77" i="51" s="1"/>
  <c r="R72" i="51"/>
  <c r="R73" i="51"/>
  <c r="R74" i="51"/>
  <c r="R75" i="51"/>
  <c r="R76" i="51"/>
  <c r="R77" i="51"/>
  <c r="P73" i="51"/>
  <c r="P74" i="51"/>
  <c r="J226" i="51"/>
  <c r="W76" i="51"/>
  <c r="V76" i="51"/>
  <c r="U26" i="51"/>
  <c r="X26" i="51" s="1"/>
  <c r="U27" i="51"/>
  <c r="X27" i="51" s="1"/>
  <c r="U28" i="51"/>
  <c r="X28" i="51" s="1"/>
  <c r="U29" i="51"/>
  <c r="X29" i="51" s="1"/>
  <c r="U30" i="51"/>
  <c r="X30" i="51" s="1"/>
  <c r="U31" i="51"/>
  <c r="X31" i="51" s="1"/>
  <c r="U32" i="51"/>
  <c r="X32" i="51" s="1"/>
  <c r="U33" i="51"/>
  <c r="X33" i="51" s="1"/>
  <c r="U34" i="51"/>
  <c r="X34" i="51" s="1"/>
  <c r="U35" i="51"/>
  <c r="X35" i="51" s="1"/>
  <c r="U36" i="51"/>
  <c r="X36" i="51" s="1"/>
  <c r="U37" i="51"/>
  <c r="X37" i="51" s="1"/>
  <c r="U38" i="51"/>
  <c r="X38" i="51" s="1"/>
  <c r="U39" i="51"/>
  <c r="X39" i="51" s="1"/>
  <c r="U40" i="51"/>
  <c r="X40" i="51" s="1"/>
  <c r="W35" i="51"/>
  <c r="J227" i="51"/>
  <c r="W75" i="51"/>
  <c r="V75" i="51"/>
  <c r="P72" i="51"/>
  <c r="W74" i="51"/>
  <c r="V74" i="51"/>
  <c r="P69" i="51"/>
  <c r="W73" i="51"/>
  <c r="V73" i="51"/>
  <c r="U73" i="51"/>
  <c r="X73" i="51" s="1"/>
  <c r="W72" i="51"/>
  <c r="V72" i="51"/>
  <c r="U72" i="51"/>
  <c r="X72" i="51" s="1"/>
  <c r="W71" i="51"/>
  <c r="W62" i="51"/>
  <c r="W63" i="51"/>
  <c r="W64" i="51"/>
  <c r="W65" i="51"/>
  <c r="W66" i="51"/>
  <c r="W67" i="51"/>
  <c r="W68" i="51"/>
  <c r="U61" i="51"/>
  <c r="X61" i="51" s="1"/>
  <c r="U62" i="51"/>
  <c r="X62" i="51" s="1"/>
  <c r="U63" i="51"/>
  <c r="X63" i="51" s="1"/>
  <c r="U64" i="51"/>
  <c r="X64" i="51" s="1"/>
  <c r="U65" i="51"/>
  <c r="X65" i="51" s="1"/>
  <c r="U66" i="51"/>
  <c r="X66" i="51" s="1"/>
  <c r="U67" i="51"/>
  <c r="X67" i="51" s="1"/>
  <c r="U68" i="51"/>
  <c r="X68" i="51" s="1"/>
  <c r="R61" i="51"/>
  <c r="R62" i="51"/>
  <c r="R63" i="51"/>
  <c r="R64" i="51"/>
  <c r="R65" i="51"/>
  <c r="R66" i="51"/>
  <c r="R67" i="51"/>
  <c r="R68" i="51"/>
  <c r="R69" i="51"/>
  <c r="P61" i="51"/>
  <c r="P62" i="51"/>
  <c r="P63" i="51"/>
  <c r="P64" i="51"/>
  <c r="P65" i="51"/>
  <c r="P66" i="51"/>
  <c r="P67" i="51"/>
  <c r="P68" i="51"/>
  <c r="H210" i="51"/>
  <c r="V68" i="51"/>
  <c r="V67" i="51"/>
  <c r="W59" i="51"/>
  <c r="W60" i="51"/>
  <c r="W61" i="51"/>
  <c r="V59" i="51"/>
  <c r="V60" i="51"/>
  <c r="V61" i="51"/>
  <c r="V62" i="51"/>
  <c r="V63" i="51"/>
  <c r="V64" i="51"/>
  <c r="V65" i="51"/>
  <c r="V66" i="51"/>
  <c r="U59" i="51"/>
  <c r="X59" i="51" s="1"/>
  <c r="U60" i="51"/>
  <c r="X60" i="51" s="1"/>
  <c r="P55" i="51"/>
  <c r="P56" i="51"/>
  <c r="P57" i="51"/>
  <c r="P58" i="51"/>
  <c r="P59" i="51"/>
  <c r="P60" i="51"/>
  <c r="R60" i="51"/>
  <c r="R59" i="51"/>
  <c r="W58" i="51"/>
  <c r="V58" i="51"/>
  <c r="U58" i="51"/>
  <c r="X58" i="51" s="1"/>
  <c r="R58" i="51"/>
  <c r="K210" i="51"/>
  <c r="K212" i="51" s="1"/>
  <c r="K211" i="51"/>
  <c r="W53" i="51"/>
  <c r="W54" i="51"/>
  <c r="W55" i="51"/>
  <c r="W56" i="51"/>
  <c r="W57" i="51"/>
  <c r="U53" i="51"/>
  <c r="X53" i="51" s="1"/>
  <c r="U54" i="51"/>
  <c r="X54" i="51" s="1"/>
  <c r="U55" i="51"/>
  <c r="X55" i="51" s="1"/>
  <c r="U56" i="51"/>
  <c r="X56" i="51" s="1"/>
  <c r="U57" i="51"/>
  <c r="X57" i="51" s="1"/>
  <c r="P53" i="51"/>
  <c r="P54" i="51"/>
  <c r="V57" i="51"/>
  <c r="R57" i="51"/>
  <c r="V56" i="51"/>
  <c r="R56" i="51"/>
  <c r="V55" i="51"/>
  <c r="R55" i="51"/>
  <c r="V54" i="51"/>
  <c r="R54" i="51"/>
  <c r="V53" i="51"/>
  <c r="R53" i="51"/>
  <c r="P46" i="51"/>
  <c r="P47" i="51"/>
  <c r="P48" i="51"/>
  <c r="P49" i="51"/>
  <c r="P50" i="51"/>
  <c r="P51" i="51"/>
  <c r="P52" i="51"/>
  <c r="W44" i="51"/>
  <c r="W45" i="51"/>
  <c r="W46" i="51"/>
  <c r="W47" i="51"/>
  <c r="W48" i="51"/>
  <c r="W49" i="51"/>
  <c r="W50" i="51"/>
  <c r="W51" i="51"/>
  <c r="W52" i="51"/>
  <c r="U44" i="51"/>
  <c r="X44" i="51" s="1"/>
  <c r="U45" i="51"/>
  <c r="X45" i="51" s="1"/>
  <c r="U46" i="51"/>
  <c r="X46" i="51" s="1"/>
  <c r="U47" i="51"/>
  <c r="X47" i="51" s="1"/>
  <c r="U48" i="51"/>
  <c r="X48" i="51" s="1"/>
  <c r="U49" i="51"/>
  <c r="X49" i="51" s="1"/>
  <c r="U50" i="51"/>
  <c r="X50" i="51" s="1"/>
  <c r="U51" i="51"/>
  <c r="X51" i="51" s="1"/>
  <c r="U52" i="51"/>
  <c r="X52" i="51" s="1"/>
  <c r="V52" i="51"/>
  <c r="R52" i="51"/>
  <c r="H217" i="51"/>
  <c r="V51" i="51"/>
  <c r="R51" i="51"/>
  <c r="V50" i="51"/>
  <c r="P45" i="51"/>
  <c r="V49" i="51"/>
  <c r="R49" i="51"/>
  <c r="V48" i="51"/>
  <c r="R48" i="51"/>
  <c r="P41" i="51"/>
  <c r="P42" i="51"/>
  <c r="P43" i="51"/>
  <c r="P44" i="51"/>
  <c r="V47" i="51"/>
  <c r="R47" i="51"/>
  <c r="V46" i="51"/>
  <c r="R46" i="51"/>
  <c r="P40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35" i="51"/>
  <c r="P36" i="51"/>
  <c r="P37" i="51"/>
  <c r="P38" i="51"/>
  <c r="P39" i="51"/>
  <c r="W22" i="51"/>
  <c r="W23" i="51"/>
  <c r="W24" i="51"/>
  <c r="W25" i="51"/>
  <c r="W26" i="51"/>
  <c r="W27" i="51"/>
  <c r="W28" i="51"/>
  <c r="W29" i="51"/>
  <c r="W30" i="51"/>
  <c r="W31" i="51"/>
  <c r="W32" i="51"/>
  <c r="W33" i="51"/>
  <c r="W34" i="51"/>
  <c r="W36" i="51"/>
  <c r="W37" i="51"/>
  <c r="W38" i="51"/>
  <c r="W39" i="51"/>
  <c r="W40" i="51"/>
  <c r="W41" i="51"/>
  <c r="W42" i="51"/>
  <c r="W43" i="51"/>
  <c r="V45" i="51"/>
  <c r="R45" i="51"/>
  <c r="V44" i="51"/>
  <c r="R44" i="51"/>
  <c r="C90" i="50"/>
  <c r="D90" i="50"/>
  <c r="E90" i="50"/>
  <c r="C91" i="50"/>
  <c r="D91" i="50"/>
  <c r="E91" i="50"/>
  <c r="C92" i="50"/>
  <c r="D92" i="50"/>
  <c r="E92" i="50"/>
  <c r="C93" i="50"/>
  <c r="D93" i="50"/>
  <c r="E93" i="50"/>
  <c r="C94" i="50"/>
  <c r="D94" i="50"/>
  <c r="E94" i="50"/>
  <c r="C95" i="50"/>
  <c r="D95" i="50"/>
  <c r="E95" i="50"/>
  <c r="C96" i="50"/>
  <c r="D96" i="50"/>
  <c r="E96" i="50"/>
  <c r="M217" i="51"/>
  <c r="V43" i="51"/>
  <c r="U43" i="51"/>
  <c r="X43" i="51" s="1"/>
  <c r="R43" i="51"/>
  <c r="J214" i="51"/>
  <c r="V42" i="51"/>
  <c r="U42" i="51"/>
  <c r="X42" i="51" s="1"/>
  <c r="R42" i="51"/>
  <c r="V41" i="51"/>
  <c r="U41" i="51"/>
  <c r="X41" i="51" s="1"/>
  <c r="R41" i="51"/>
  <c r="V39" i="51"/>
  <c r="R39" i="51"/>
  <c r="V40" i="51"/>
  <c r="R40" i="51"/>
  <c r="V38" i="51"/>
  <c r="R38" i="51"/>
  <c r="V37" i="51"/>
  <c r="R37" i="51"/>
  <c r="J223" i="51"/>
  <c r="V36" i="51"/>
  <c r="R36" i="51"/>
  <c r="P4" i="51"/>
  <c r="V35" i="51"/>
  <c r="R35" i="51"/>
  <c r="V34" i="51"/>
  <c r="R34" i="51"/>
  <c r="V33" i="51"/>
  <c r="R33" i="51"/>
  <c r="V32" i="51"/>
  <c r="R32" i="51"/>
  <c r="G123" i="50"/>
  <c r="V31" i="51"/>
  <c r="R31" i="51"/>
  <c r="V30" i="51"/>
  <c r="R30" i="51"/>
  <c r="V29" i="51"/>
  <c r="R29" i="51"/>
  <c r="V28" i="51"/>
  <c r="R28" i="51"/>
  <c r="V27" i="51"/>
  <c r="R27" i="51"/>
  <c r="V26" i="51"/>
  <c r="R26" i="51"/>
  <c r="U25" i="51"/>
  <c r="X25" i="51" s="1"/>
  <c r="R25" i="51"/>
  <c r="V25" i="51"/>
  <c r="P20" i="51"/>
  <c r="P21" i="51"/>
  <c r="V24" i="51"/>
  <c r="U24" i="51"/>
  <c r="X24" i="51" s="1"/>
  <c r="R24" i="51"/>
  <c r="U5" i="51"/>
  <c r="X5" i="51" s="1"/>
  <c r="U6" i="51"/>
  <c r="X6" i="51" s="1"/>
  <c r="U7" i="51"/>
  <c r="X7" i="51" s="1"/>
  <c r="U8" i="51"/>
  <c r="X8" i="51" s="1"/>
  <c r="U9" i="51"/>
  <c r="X9" i="51" s="1"/>
  <c r="U10" i="51"/>
  <c r="X10" i="51" s="1"/>
  <c r="U11" i="51"/>
  <c r="X11" i="51" s="1"/>
  <c r="U12" i="51"/>
  <c r="X12" i="51" s="1"/>
  <c r="U13" i="51"/>
  <c r="X13" i="51" s="1"/>
  <c r="U14" i="51"/>
  <c r="X14" i="51" s="1"/>
  <c r="U15" i="51"/>
  <c r="X15" i="51" s="1"/>
  <c r="U16" i="51"/>
  <c r="X16" i="51" s="1"/>
  <c r="U17" i="51"/>
  <c r="X17" i="51" s="1"/>
  <c r="U18" i="51"/>
  <c r="X18" i="51" s="1"/>
  <c r="U19" i="51"/>
  <c r="X19" i="51" s="1"/>
  <c r="U20" i="51"/>
  <c r="X20" i="51" s="1"/>
  <c r="U21" i="51"/>
  <c r="X21" i="51" s="1"/>
  <c r="U22" i="51"/>
  <c r="X22" i="51" s="1"/>
  <c r="U23" i="51"/>
  <c r="X23" i="51" s="1"/>
  <c r="P15" i="51"/>
  <c r="P16" i="51"/>
  <c r="P17" i="51"/>
  <c r="P18" i="51"/>
  <c r="P19" i="51"/>
  <c r="V23" i="51"/>
  <c r="R23" i="51"/>
  <c r="V22" i="51"/>
  <c r="R22" i="51"/>
  <c r="W21" i="51"/>
  <c r="V21" i="51"/>
  <c r="R21" i="51"/>
  <c r="W20" i="51"/>
  <c r="V20" i="51"/>
  <c r="R20" i="51"/>
  <c r="W19" i="51"/>
  <c r="V19" i="51"/>
  <c r="R19" i="51"/>
  <c r="W18" i="51"/>
  <c r="V18" i="51"/>
  <c r="R18" i="51"/>
  <c r="W17" i="51"/>
  <c r="V17" i="51"/>
  <c r="R17" i="51"/>
  <c r="J136" i="51"/>
  <c r="P8" i="51"/>
  <c r="P9" i="51"/>
  <c r="P10" i="51"/>
  <c r="P11" i="51"/>
  <c r="P12" i="51"/>
  <c r="P13" i="51"/>
  <c r="P14" i="51"/>
  <c r="W16" i="51"/>
  <c r="V16" i="51"/>
  <c r="R16" i="51"/>
  <c r="K132" i="51"/>
  <c r="W6" i="51"/>
  <c r="W7" i="51"/>
  <c r="W8" i="51"/>
  <c r="W9" i="51"/>
  <c r="W10" i="51"/>
  <c r="W11" i="51"/>
  <c r="W12" i="51"/>
  <c r="W13" i="51"/>
  <c r="W14" i="51"/>
  <c r="W15" i="51"/>
  <c r="V15" i="51"/>
  <c r="R15" i="51"/>
  <c r="V14" i="51"/>
  <c r="R14" i="51"/>
  <c r="V13" i="51"/>
  <c r="R13" i="51"/>
  <c r="F13" i="51"/>
  <c r="V12" i="51"/>
  <c r="R12" i="51"/>
  <c r="P5" i="51"/>
  <c r="P6" i="51"/>
  <c r="P7" i="51"/>
  <c r="V11" i="51"/>
  <c r="R11" i="51"/>
  <c r="V10" i="51"/>
  <c r="R10" i="51"/>
  <c r="W4" i="51"/>
  <c r="V4" i="51"/>
  <c r="U4" i="51"/>
  <c r="X4" i="51" s="1"/>
  <c r="R4" i="51"/>
  <c r="V9" i="51"/>
  <c r="R9" i="51"/>
  <c r="V8" i="51"/>
  <c r="R8" i="51"/>
  <c r="V7" i="51"/>
  <c r="R7" i="51"/>
  <c r="V6" i="51"/>
  <c r="R6" i="51"/>
  <c r="W2" i="51"/>
  <c r="W5" i="51"/>
  <c r="W3" i="51"/>
  <c r="U2" i="51"/>
  <c r="X2" i="51" s="1"/>
  <c r="U3" i="51"/>
  <c r="X3" i="51" s="1"/>
  <c r="P2" i="51"/>
  <c r="P3" i="51"/>
  <c r="V5" i="51"/>
  <c r="R5" i="51"/>
  <c r="C2" i="51"/>
  <c r="D2" i="51"/>
  <c r="V2" i="51"/>
  <c r="R2" i="51"/>
  <c r="V3" i="51"/>
  <c r="R3" i="51"/>
  <c r="J105" i="50"/>
  <c r="J106" i="50"/>
  <c r="J100" i="50"/>
  <c r="K99" i="50"/>
  <c r="J123" i="50"/>
  <c r="W94" i="50"/>
  <c r="V94" i="50"/>
  <c r="U94" i="50"/>
  <c r="R94" i="50"/>
  <c r="P94" i="50"/>
  <c r="W96" i="50"/>
  <c r="V96" i="50"/>
  <c r="U96" i="50"/>
  <c r="R96" i="50"/>
  <c r="P96" i="50"/>
  <c r="W95" i="50"/>
  <c r="V95" i="50"/>
  <c r="U95" i="50"/>
  <c r="R95" i="50"/>
  <c r="P95" i="50"/>
  <c r="J114" i="50"/>
  <c r="J111" i="50"/>
  <c r="W93" i="50"/>
  <c r="V93" i="50"/>
  <c r="U93" i="50"/>
  <c r="R93" i="50"/>
  <c r="P93" i="50"/>
  <c r="W92" i="50"/>
  <c r="V92" i="50"/>
  <c r="U92" i="50"/>
  <c r="R92" i="50"/>
  <c r="P92" i="50"/>
  <c r="C88" i="50"/>
  <c r="D88" i="50"/>
  <c r="E88" i="50"/>
  <c r="C89" i="50"/>
  <c r="D89" i="50"/>
  <c r="E89" i="50"/>
  <c r="P89" i="50"/>
  <c r="P90" i="50"/>
  <c r="P91" i="50"/>
  <c r="W91" i="50"/>
  <c r="V91" i="50"/>
  <c r="U91" i="50"/>
  <c r="R91" i="50"/>
  <c r="N111" i="50"/>
  <c r="X96" i="50"/>
  <c r="X92" i="50"/>
  <c r="X94" i="50"/>
  <c r="X95" i="50"/>
  <c r="X93" i="50"/>
  <c r="X91" i="50"/>
  <c r="W90" i="50"/>
  <c r="V90" i="50"/>
  <c r="U90" i="50"/>
  <c r="R90" i="50"/>
  <c r="X90" i="50"/>
  <c r="W89" i="50"/>
  <c r="V89" i="50"/>
  <c r="U89" i="50"/>
  <c r="R89" i="50"/>
  <c r="W88" i="50"/>
  <c r="V88" i="50"/>
  <c r="U88" i="50"/>
  <c r="R88" i="50"/>
  <c r="P88" i="50"/>
  <c r="C86" i="50"/>
  <c r="D86" i="50"/>
  <c r="E86" i="50"/>
  <c r="C87" i="50"/>
  <c r="D87" i="50"/>
  <c r="E87" i="50"/>
  <c r="W87" i="50"/>
  <c r="V87" i="50"/>
  <c r="U87" i="50"/>
  <c r="R87" i="50"/>
  <c r="P87" i="50"/>
  <c r="C83" i="50"/>
  <c r="D83" i="50"/>
  <c r="E83" i="50"/>
  <c r="C84" i="50"/>
  <c r="D84" i="50"/>
  <c r="E84" i="50"/>
  <c r="C85" i="50"/>
  <c r="D85" i="50"/>
  <c r="E85" i="50"/>
  <c r="X88" i="50"/>
  <c r="X87" i="50"/>
  <c r="X89" i="50"/>
  <c r="W86" i="50"/>
  <c r="V86" i="50"/>
  <c r="U86" i="50"/>
  <c r="R86" i="50"/>
  <c r="P86" i="50"/>
  <c r="X86" i="50"/>
  <c r="W85" i="50"/>
  <c r="V85" i="50"/>
  <c r="U85" i="50"/>
  <c r="R85" i="50"/>
  <c r="P85" i="50"/>
  <c r="W84" i="50"/>
  <c r="V84" i="50"/>
  <c r="U84" i="50"/>
  <c r="R84" i="50"/>
  <c r="P84" i="50"/>
  <c r="C77" i="50"/>
  <c r="D77" i="50"/>
  <c r="E77" i="50"/>
  <c r="C78" i="50"/>
  <c r="D78" i="50"/>
  <c r="E78" i="50"/>
  <c r="C79" i="50"/>
  <c r="D79" i="50"/>
  <c r="E79" i="50"/>
  <c r="C80" i="50"/>
  <c r="D80" i="50"/>
  <c r="E80" i="50"/>
  <c r="C81" i="50"/>
  <c r="D81" i="50"/>
  <c r="E81" i="50"/>
  <c r="C82" i="50"/>
  <c r="D82" i="50"/>
  <c r="E82" i="50"/>
  <c r="W83" i="50"/>
  <c r="V83" i="50"/>
  <c r="U83" i="50"/>
  <c r="R83" i="50"/>
  <c r="P83" i="50"/>
  <c r="X84" i="50"/>
  <c r="X83" i="50"/>
  <c r="X85" i="50"/>
  <c r="P78" i="50"/>
  <c r="P79" i="50"/>
  <c r="P80" i="50"/>
  <c r="P81" i="50"/>
  <c r="P82" i="50"/>
  <c r="W82" i="50"/>
  <c r="V82" i="50"/>
  <c r="U82" i="50"/>
  <c r="R82" i="50"/>
  <c r="C74" i="50"/>
  <c r="D74" i="50"/>
  <c r="E74" i="50"/>
  <c r="C75" i="50"/>
  <c r="D75" i="50"/>
  <c r="E75" i="50"/>
  <c r="C76" i="50"/>
  <c r="D76" i="50"/>
  <c r="E76" i="50"/>
  <c r="W81" i="50"/>
  <c r="V81" i="50"/>
  <c r="U81" i="50"/>
  <c r="R81" i="50"/>
  <c r="W80" i="50"/>
  <c r="V80" i="50"/>
  <c r="U80" i="50"/>
  <c r="R80" i="50"/>
  <c r="U114" i="50"/>
  <c r="X80" i="50"/>
  <c r="X81" i="50"/>
  <c r="X82" i="50"/>
  <c r="G118" i="50"/>
  <c r="H118" i="50"/>
  <c r="C73" i="50"/>
  <c r="D73" i="50"/>
  <c r="E73" i="50"/>
  <c r="P71" i="50"/>
  <c r="P72" i="50"/>
  <c r="P73" i="50"/>
  <c r="P74" i="50"/>
  <c r="P75" i="50"/>
  <c r="P76" i="50"/>
  <c r="P77" i="50"/>
  <c r="W79" i="50"/>
  <c r="V79" i="50"/>
  <c r="U79" i="50"/>
  <c r="R79" i="50"/>
  <c r="X79" i="50"/>
  <c r="S105" i="50"/>
  <c r="W78" i="50"/>
  <c r="V78" i="50"/>
  <c r="U78" i="50"/>
  <c r="R78" i="50"/>
  <c r="X78" i="50"/>
  <c r="S111" i="50"/>
  <c r="W77" i="50"/>
  <c r="V77" i="50"/>
  <c r="U77" i="50"/>
  <c r="R77" i="50"/>
  <c r="X77" i="50"/>
  <c r="W76" i="50"/>
  <c r="V76" i="50"/>
  <c r="U76" i="50"/>
  <c r="R76" i="50"/>
  <c r="C62" i="50"/>
  <c r="D62" i="50"/>
  <c r="E62" i="50"/>
  <c r="C63" i="50"/>
  <c r="D63" i="50"/>
  <c r="E63" i="50"/>
  <c r="C64" i="50"/>
  <c r="D64" i="50"/>
  <c r="E64" i="50"/>
  <c r="C65" i="50"/>
  <c r="D65" i="50"/>
  <c r="E65" i="50"/>
  <c r="C66" i="50"/>
  <c r="D66" i="50"/>
  <c r="E66" i="50"/>
  <c r="C67" i="50"/>
  <c r="D67" i="50"/>
  <c r="E67" i="50"/>
  <c r="C68" i="50"/>
  <c r="D68" i="50"/>
  <c r="E68" i="50"/>
  <c r="C69" i="50"/>
  <c r="D69" i="50"/>
  <c r="E69" i="50"/>
  <c r="C70" i="50"/>
  <c r="D70" i="50"/>
  <c r="E70" i="50"/>
  <c r="C71" i="50"/>
  <c r="D71" i="50"/>
  <c r="E71" i="50"/>
  <c r="C72" i="50"/>
  <c r="D72" i="50"/>
  <c r="E72" i="50"/>
  <c r="X76" i="50"/>
  <c r="W75" i="50"/>
  <c r="V75" i="50"/>
  <c r="U75" i="50"/>
  <c r="R75" i="50"/>
  <c r="X75" i="50"/>
  <c r="W74" i="50"/>
  <c r="V74" i="50"/>
  <c r="U74" i="50"/>
  <c r="R74" i="50"/>
  <c r="X74" i="50"/>
  <c r="W73" i="50"/>
  <c r="V73" i="50"/>
  <c r="U73" i="50"/>
  <c r="R73" i="50"/>
  <c r="X73" i="50"/>
  <c r="P70" i="50"/>
  <c r="P69" i="50"/>
  <c r="P65" i="50"/>
  <c r="P63" i="50"/>
  <c r="P52" i="50"/>
  <c r="W72" i="50"/>
  <c r="V72" i="50"/>
  <c r="U72" i="50"/>
  <c r="R72" i="50"/>
  <c r="X72" i="50"/>
  <c r="P102" i="50"/>
  <c r="Q125" i="50"/>
  <c r="W71" i="50"/>
  <c r="V71" i="50"/>
  <c r="U71" i="50"/>
  <c r="R71" i="50"/>
  <c r="X71" i="50"/>
  <c r="W70" i="50"/>
  <c r="V70" i="50"/>
  <c r="U70" i="50"/>
  <c r="R70" i="50"/>
  <c r="X70" i="50"/>
  <c r="X134" i="50"/>
  <c r="Y134" i="50"/>
  <c r="X133" i="50"/>
  <c r="Y133" i="50"/>
  <c r="W69" i="50"/>
  <c r="V69" i="50"/>
  <c r="U69" i="50"/>
  <c r="R69" i="50"/>
  <c r="W68" i="50"/>
  <c r="V68" i="50"/>
  <c r="U68" i="50"/>
  <c r="R68" i="50"/>
  <c r="P68" i="50"/>
  <c r="W67" i="50"/>
  <c r="V67" i="50"/>
  <c r="U67" i="50"/>
  <c r="R67" i="50"/>
  <c r="P67" i="50"/>
  <c r="W66" i="50"/>
  <c r="V66" i="50"/>
  <c r="U66" i="50"/>
  <c r="R66" i="50"/>
  <c r="P66" i="50"/>
  <c r="X69" i="50"/>
  <c r="X66" i="50"/>
  <c r="X68" i="50"/>
  <c r="X67" i="50"/>
  <c r="W65" i="50"/>
  <c r="V65" i="50"/>
  <c r="U65" i="50"/>
  <c r="R65" i="50"/>
  <c r="X65" i="50"/>
  <c r="R118" i="50"/>
  <c r="R119" i="50"/>
  <c r="L121" i="50"/>
  <c r="W64" i="50"/>
  <c r="V64" i="50"/>
  <c r="U64" i="50"/>
  <c r="R64" i="50"/>
  <c r="P64" i="50"/>
  <c r="C61" i="50"/>
  <c r="D61" i="50"/>
  <c r="E61" i="50"/>
  <c r="X64" i="50"/>
  <c r="C60" i="50"/>
  <c r="D60" i="50"/>
  <c r="E60" i="50"/>
  <c r="W63" i="50"/>
  <c r="V63" i="50"/>
  <c r="U63" i="50"/>
  <c r="R63" i="50"/>
  <c r="X63" i="50"/>
  <c r="W62" i="50"/>
  <c r="V62" i="50"/>
  <c r="U62" i="50"/>
  <c r="R62" i="50"/>
  <c r="P62" i="50"/>
  <c r="X62" i="50"/>
  <c r="U106" i="50"/>
  <c r="W61" i="50"/>
  <c r="V61" i="50"/>
  <c r="U61" i="50"/>
  <c r="R61" i="50"/>
  <c r="P61" i="50"/>
  <c r="X61" i="50"/>
  <c r="K138" i="50"/>
  <c r="J138" i="50"/>
  <c r="J146" i="50"/>
  <c r="J147" i="50"/>
  <c r="W60" i="50"/>
  <c r="V60" i="50"/>
  <c r="U60" i="50"/>
  <c r="R60" i="50"/>
  <c r="P60" i="50"/>
  <c r="C58" i="50"/>
  <c r="D58" i="50"/>
  <c r="E58" i="50"/>
  <c r="C59" i="50"/>
  <c r="D59" i="50"/>
  <c r="E59" i="50"/>
  <c r="X60" i="50"/>
  <c r="W59" i="50"/>
  <c r="V59" i="50"/>
  <c r="U59" i="50"/>
  <c r="R59" i="50"/>
  <c r="P59" i="50"/>
  <c r="W58" i="50"/>
  <c r="V58" i="50"/>
  <c r="U58" i="50"/>
  <c r="R58" i="50"/>
  <c r="P58" i="50"/>
  <c r="C54" i="50"/>
  <c r="D54" i="50"/>
  <c r="E54" i="50"/>
  <c r="C55" i="50"/>
  <c r="D55" i="50"/>
  <c r="E55" i="50"/>
  <c r="C56" i="50"/>
  <c r="D56" i="50"/>
  <c r="E56" i="50"/>
  <c r="C57" i="50"/>
  <c r="D57" i="50"/>
  <c r="E57" i="50"/>
  <c r="X59" i="50"/>
  <c r="X58" i="50"/>
  <c r="W57" i="50"/>
  <c r="V57" i="50"/>
  <c r="U57" i="50"/>
  <c r="R57" i="50"/>
  <c r="P57" i="50"/>
  <c r="X57" i="50"/>
  <c r="W56" i="50"/>
  <c r="V56" i="50"/>
  <c r="U56" i="50"/>
  <c r="R56" i="50"/>
  <c r="P56" i="50"/>
  <c r="X56" i="50"/>
  <c r="W55" i="50"/>
  <c r="V55" i="50"/>
  <c r="U55" i="50"/>
  <c r="R55" i="50"/>
  <c r="P55" i="50"/>
  <c r="X55" i="50"/>
  <c r="P50" i="50"/>
  <c r="P51" i="50"/>
  <c r="P53" i="50"/>
  <c r="P54" i="50"/>
  <c r="W54" i="50"/>
  <c r="V54" i="50"/>
  <c r="U54" i="50"/>
  <c r="R54" i="50"/>
  <c r="W53" i="50"/>
  <c r="V53" i="50"/>
  <c r="U53" i="50"/>
  <c r="R53" i="50"/>
  <c r="C52" i="50"/>
  <c r="D52" i="50"/>
  <c r="E52" i="50"/>
  <c r="C53" i="50"/>
  <c r="D53" i="50"/>
  <c r="E53" i="50"/>
  <c r="X54" i="50"/>
  <c r="X53" i="50"/>
  <c r="W52" i="50"/>
  <c r="V52" i="50"/>
  <c r="U52" i="50"/>
  <c r="R52" i="50"/>
  <c r="C51" i="50"/>
  <c r="D51" i="50"/>
  <c r="E51" i="50"/>
  <c r="M105" i="50"/>
  <c r="N105" i="50"/>
  <c r="X52" i="50"/>
  <c r="W51" i="50"/>
  <c r="V51" i="50"/>
  <c r="U51" i="50"/>
  <c r="R51" i="50"/>
  <c r="C50" i="50"/>
  <c r="D50" i="50"/>
  <c r="E50" i="50"/>
  <c r="W50" i="50"/>
  <c r="V50" i="50"/>
  <c r="U50" i="50"/>
  <c r="R50" i="50"/>
  <c r="C49" i="50"/>
  <c r="D49" i="50"/>
  <c r="E49" i="50"/>
  <c r="X50" i="50"/>
  <c r="X51" i="50"/>
  <c r="C46" i="50"/>
  <c r="D46" i="50"/>
  <c r="E46" i="50"/>
  <c r="C47" i="50"/>
  <c r="D47" i="50"/>
  <c r="E47" i="50"/>
  <c r="C48" i="50"/>
  <c r="D48" i="50"/>
  <c r="E48" i="50"/>
  <c r="W49" i="50"/>
  <c r="V49" i="50"/>
  <c r="U49" i="50"/>
  <c r="R49" i="50"/>
  <c r="P49" i="50"/>
  <c r="X49" i="50"/>
  <c r="W48" i="50"/>
  <c r="V48" i="50"/>
  <c r="U48" i="50"/>
  <c r="R48" i="50"/>
  <c r="P48" i="50"/>
  <c r="X48" i="50"/>
  <c r="N115" i="50"/>
  <c r="R34" i="50"/>
  <c r="W47" i="50"/>
  <c r="V47" i="50"/>
  <c r="U47" i="50"/>
  <c r="R47" i="50"/>
  <c r="P47" i="50"/>
  <c r="C44" i="50"/>
  <c r="D44" i="50"/>
  <c r="E44" i="50"/>
  <c r="C45" i="50"/>
  <c r="D45" i="50"/>
  <c r="E45" i="50"/>
  <c r="X47" i="50"/>
  <c r="E3" i="50"/>
  <c r="E4" i="50"/>
  <c r="E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42" i="50"/>
  <c r="E43" i="50"/>
  <c r="E2" i="50"/>
  <c r="W46" i="50"/>
  <c r="V46" i="50"/>
  <c r="U46" i="50"/>
  <c r="R46" i="50"/>
  <c r="P46" i="50"/>
  <c r="C37" i="50"/>
  <c r="D37" i="50"/>
  <c r="C38" i="50"/>
  <c r="D38" i="50"/>
  <c r="C39" i="50"/>
  <c r="D39" i="50"/>
  <c r="C40" i="50"/>
  <c r="D40" i="50"/>
  <c r="C41" i="50"/>
  <c r="D41" i="50"/>
  <c r="C42" i="50"/>
  <c r="D42" i="50"/>
  <c r="C43" i="50"/>
  <c r="D43" i="50"/>
  <c r="W45" i="50"/>
  <c r="V45" i="50"/>
  <c r="U45" i="50"/>
  <c r="R45" i="50"/>
  <c r="P45" i="50"/>
  <c r="W44" i="50"/>
  <c r="V44" i="50"/>
  <c r="U44" i="50"/>
  <c r="R44" i="50"/>
  <c r="P44" i="50"/>
  <c r="X45" i="50"/>
  <c r="X44" i="50"/>
  <c r="X46" i="50"/>
  <c r="W43" i="50"/>
  <c r="V43" i="50"/>
  <c r="U43" i="50"/>
  <c r="R43" i="50"/>
  <c r="P43" i="50"/>
  <c r="M127" i="50"/>
  <c r="M129" i="50"/>
  <c r="X43" i="50"/>
  <c r="W42" i="50"/>
  <c r="V42" i="50"/>
  <c r="U42" i="50"/>
  <c r="R42" i="50"/>
  <c r="P42" i="50"/>
  <c r="X42" i="50"/>
  <c r="W41" i="50"/>
  <c r="V41" i="50"/>
  <c r="U41" i="50"/>
  <c r="R41" i="50"/>
  <c r="P41" i="50"/>
  <c r="W40" i="50"/>
  <c r="V40" i="50"/>
  <c r="U40" i="50"/>
  <c r="R40" i="50"/>
  <c r="P40" i="50"/>
  <c r="C34" i="50"/>
  <c r="D34" i="50"/>
  <c r="C35" i="50"/>
  <c r="D35" i="50"/>
  <c r="C36" i="50"/>
  <c r="D36" i="50"/>
  <c r="W39" i="50"/>
  <c r="V39" i="50"/>
  <c r="U39" i="50"/>
  <c r="R39" i="50"/>
  <c r="P39" i="50"/>
  <c r="X40" i="50"/>
  <c r="X39" i="50"/>
  <c r="X41" i="50"/>
  <c r="W38" i="50"/>
  <c r="V38" i="50"/>
  <c r="U38" i="50"/>
  <c r="R38" i="50"/>
  <c r="P38" i="50"/>
  <c r="Q112" i="50"/>
  <c r="W37" i="50"/>
  <c r="V37" i="50"/>
  <c r="U37" i="50"/>
  <c r="R37" i="50"/>
  <c r="P37" i="50"/>
  <c r="X38" i="50"/>
  <c r="X37" i="50"/>
  <c r="C32" i="50"/>
  <c r="D32" i="50"/>
  <c r="C33" i="50"/>
  <c r="D33" i="50"/>
  <c r="W36" i="50"/>
  <c r="V36" i="50"/>
  <c r="U36" i="50"/>
  <c r="R36" i="50"/>
  <c r="P36" i="50"/>
  <c r="X36" i="50"/>
  <c r="K107" i="50"/>
  <c r="P23" i="50"/>
  <c r="P24" i="50"/>
  <c r="P25" i="50"/>
  <c r="P26" i="50"/>
  <c r="P27" i="50"/>
  <c r="P28" i="50"/>
  <c r="P29" i="50"/>
  <c r="P30" i="50"/>
  <c r="P31" i="50"/>
  <c r="P32" i="50"/>
  <c r="P33" i="50"/>
  <c r="P34" i="50"/>
  <c r="P35" i="50"/>
  <c r="W34" i="50"/>
  <c r="V34" i="50"/>
  <c r="U34" i="50"/>
  <c r="W35" i="50"/>
  <c r="V35" i="50"/>
  <c r="U35" i="50"/>
  <c r="R35" i="50"/>
  <c r="C27" i="50"/>
  <c r="D27" i="50"/>
  <c r="C28" i="50"/>
  <c r="D28" i="50"/>
  <c r="C29" i="50"/>
  <c r="D29" i="50"/>
  <c r="C30" i="50"/>
  <c r="D30" i="50"/>
  <c r="C31" i="50"/>
  <c r="D31" i="50"/>
  <c r="X35" i="50"/>
  <c r="X34" i="50"/>
  <c r="W33" i="50"/>
  <c r="V33" i="50"/>
  <c r="U33" i="50"/>
  <c r="R33" i="50"/>
  <c r="X33" i="50"/>
  <c r="W32" i="50"/>
  <c r="V32" i="50"/>
  <c r="U32" i="50"/>
  <c r="R32" i="50"/>
  <c r="W31" i="50"/>
  <c r="V31" i="50"/>
  <c r="U31" i="50"/>
  <c r="R31" i="50"/>
  <c r="X31" i="50"/>
  <c r="X32" i="50"/>
  <c r="W30" i="50"/>
  <c r="V30" i="50"/>
  <c r="U30" i="50"/>
  <c r="R30" i="50"/>
  <c r="C26" i="50"/>
  <c r="D26" i="50"/>
  <c r="X30" i="50"/>
  <c r="M118" i="50"/>
  <c r="W29" i="50"/>
  <c r="V29" i="50"/>
  <c r="U29" i="50"/>
  <c r="R29" i="50"/>
  <c r="C19" i="50"/>
  <c r="D19" i="50"/>
  <c r="C20" i="50"/>
  <c r="D20" i="50"/>
  <c r="C21" i="50"/>
  <c r="D21" i="50"/>
  <c r="C22" i="50"/>
  <c r="D22" i="50"/>
  <c r="C23" i="50"/>
  <c r="D23" i="50"/>
  <c r="C24" i="50"/>
  <c r="D24" i="50"/>
  <c r="C25" i="50"/>
  <c r="D25" i="50"/>
  <c r="X29" i="50"/>
  <c r="M111" i="50"/>
  <c r="W28" i="50"/>
  <c r="V28" i="50"/>
  <c r="U28" i="50"/>
  <c r="R28" i="50"/>
  <c r="W27" i="50"/>
  <c r="V27" i="50"/>
  <c r="U27" i="50"/>
  <c r="R27" i="50"/>
  <c r="X27" i="50"/>
  <c r="X28" i="50"/>
  <c r="W26" i="50"/>
  <c r="V26" i="50"/>
  <c r="U26" i="50"/>
  <c r="R26" i="50"/>
  <c r="X26" i="50"/>
  <c r="D17" i="50"/>
  <c r="C17" i="50"/>
  <c r="W25" i="50"/>
  <c r="V25" i="50"/>
  <c r="U25" i="50"/>
  <c r="R25" i="50"/>
  <c r="X25" i="50"/>
  <c r="W24" i="50"/>
  <c r="V24" i="50"/>
  <c r="U24" i="50"/>
  <c r="R24" i="50"/>
  <c r="X24" i="50"/>
  <c r="W23" i="50"/>
  <c r="V23" i="50"/>
  <c r="U23" i="50"/>
  <c r="R23" i="50"/>
  <c r="X23" i="50"/>
  <c r="W22" i="50"/>
  <c r="V22" i="50"/>
  <c r="U22" i="50"/>
  <c r="R22" i="50"/>
  <c r="P19" i="50"/>
  <c r="P20" i="50"/>
  <c r="P21" i="50"/>
  <c r="P22" i="50"/>
  <c r="X22" i="50"/>
  <c r="W21" i="50"/>
  <c r="V21" i="50"/>
  <c r="U21" i="50"/>
  <c r="R21" i="50"/>
  <c r="C10" i="50"/>
  <c r="D10" i="50"/>
  <c r="C11" i="50"/>
  <c r="D11" i="50"/>
  <c r="C12" i="50"/>
  <c r="D12" i="50"/>
  <c r="C13" i="50"/>
  <c r="D13" i="50"/>
  <c r="C14" i="50"/>
  <c r="D14" i="50"/>
  <c r="C15" i="50"/>
  <c r="D15" i="50"/>
  <c r="C16" i="50"/>
  <c r="D16" i="50"/>
  <c r="C18" i="50"/>
  <c r="D18" i="50"/>
  <c r="W20" i="50"/>
  <c r="V20" i="50"/>
  <c r="U20" i="50"/>
  <c r="R20" i="50"/>
  <c r="X21" i="50"/>
  <c r="X20" i="50"/>
  <c r="W19" i="50"/>
  <c r="V19" i="50"/>
  <c r="U19" i="50"/>
  <c r="R19" i="50"/>
  <c r="X19" i="50"/>
  <c r="W18" i="50"/>
  <c r="V18" i="50"/>
  <c r="U18" i="50"/>
  <c r="R18" i="50"/>
  <c r="P18" i="50"/>
  <c r="W17" i="50"/>
  <c r="V17" i="50"/>
  <c r="U17" i="50"/>
  <c r="R17" i="50"/>
  <c r="P13" i="50"/>
  <c r="P14" i="50"/>
  <c r="P15" i="50"/>
  <c r="P16" i="50"/>
  <c r="P17" i="50"/>
  <c r="W16" i="50"/>
  <c r="V16" i="50"/>
  <c r="U16" i="50"/>
  <c r="R16" i="50"/>
  <c r="P8" i="50"/>
  <c r="P9" i="50"/>
  <c r="P10" i="50"/>
  <c r="P11" i="50"/>
  <c r="P12" i="50"/>
  <c r="X17" i="50"/>
  <c r="X16" i="50"/>
  <c r="X18" i="50"/>
  <c r="W10" i="50"/>
  <c r="W11" i="50"/>
  <c r="W12" i="50"/>
  <c r="W13" i="50"/>
  <c r="W14" i="50"/>
  <c r="W15" i="50"/>
  <c r="V15" i="50"/>
  <c r="U15" i="50"/>
  <c r="R15" i="50"/>
  <c r="V14" i="50"/>
  <c r="U14" i="50"/>
  <c r="R14" i="50"/>
  <c r="C9" i="50"/>
  <c r="D9" i="50"/>
  <c r="X15" i="50"/>
  <c r="X14" i="50"/>
  <c r="V13" i="50"/>
  <c r="U13" i="50"/>
  <c r="R13" i="50"/>
  <c r="P7" i="50"/>
  <c r="V12" i="50"/>
  <c r="U12" i="50"/>
  <c r="R12" i="50"/>
  <c r="V11" i="50"/>
  <c r="U11" i="50"/>
  <c r="R11" i="50"/>
  <c r="V10" i="50"/>
  <c r="U10" i="50"/>
  <c r="R10" i="50"/>
  <c r="P4" i="50"/>
  <c r="P5" i="50"/>
  <c r="P6" i="50"/>
  <c r="X13" i="50"/>
  <c r="X10" i="50"/>
  <c r="X12" i="50"/>
  <c r="X11" i="50"/>
  <c r="W9" i="50"/>
  <c r="V9" i="50"/>
  <c r="U9" i="50"/>
  <c r="R9" i="50"/>
  <c r="C6" i="50"/>
  <c r="D6" i="50"/>
  <c r="C7" i="50"/>
  <c r="D7" i="50"/>
  <c r="C8" i="50"/>
  <c r="D8" i="50"/>
  <c r="X9" i="50"/>
  <c r="P2" i="50"/>
  <c r="P3" i="50"/>
  <c r="W8" i="50"/>
  <c r="V8" i="50"/>
  <c r="U8" i="50"/>
  <c r="R8" i="50"/>
  <c r="C4" i="50"/>
  <c r="D4" i="50"/>
  <c r="C5" i="50"/>
  <c r="D5" i="50"/>
  <c r="X8" i="50"/>
  <c r="W7" i="50"/>
  <c r="V7" i="50"/>
  <c r="U7" i="50"/>
  <c r="R7" i="50"/>
  <c r="X7" i="50"/>
  <c r="W6" i="50"/>
  <c r="V6" i="50"/>
  <c r="U6" i="50"/>
  <c r="R6" i="50"/>
  <c r="C3" i="50"/>
  <c r="D3" i="50"/>
  <c r="X6" i="50"/>
  <c r="W5" i="50"/>
  <c r="V5" i="50"/>
  <c r="U5" i="50"/>
  <c r="R5" i="50"/>
  <c r="X5" i="50"/>
  <c r="W3" i="50"/>
  <c r="W4" i="50"/>
  <c r="W2" i="50"/>
  <c r="U3" i="50"/>
  <c r="U4" i="50"/>
  <c r="D2" i="50"/>
  <c r="X3" i="50"/>
  <c r="X4" i="50"/>
  <c r="U2" i="50"/>
  <c r="V4" i="50"/>
  <c r="R4" i="50"/>
  <c r="F4" i="50"/>
  <c r="V3" i="50"/>
  <c r="R3" i="50"/>
  <c r="F3" i="50"/>
  <c r="V2" i="50"/>
  <c r="X2" i="50"/>
  <c r="R2" i="50"/>
  <c r="C2" i="50"/>
  <c r="S110" i="49"/>
  <c r="N110" i="49"/>
  <c r="O97" i="45"/>
  <c r="O95" i="45"/>
  <c r="O96" i="45"/>
  <c r="N95" i="45"/>
  <c r="L95" i="45"/>
  <c r="L97" i="45"/>
  <c r="L96" i="45"/>
  <c r="J106" i="45"/>
  <c r="J103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Fabián Rutte</author>
    <author>Fabian Rutte Gonzalez</author>
  </authors>
  <commentList>
    <comment ref="K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1376422000
antes 1350278000
antes 1328103000</t>
        </r>
      </text>
    </comment>
    <comment ref="Y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reev enviada con M-127, del 19-5-23</t>
        </r>
      </text>
    </comment>
    <comment ref="AB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precisión de TTR en camiones grúa e imprimador</t>
        </r>
      </text>
    </comment>
    <comment ref="N6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El oficio fue tomado de conocimiento en GORE el  7-1-26, pero archivos realmente cargados el 9-1-26</t>
        </r>
      </text>
    </comment>
    <comment ref="N7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El oficio fue tomado de conocimiento en GORE el  7-1-26, pero archivos realmente cargados el 9-1-26</t>
        </r>
      </text>
    </comment>
    <comment ref="N8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El oficio fue tomado de conocimiento en GORE el  7-1-26, pero archivos realmente cargados el 9-1-26</t>
        </r>
      </text>
    </comment>
    <comment ref="K1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$1.354.107.000.-
antes $ 1.338.819.000.-</t>
        </r>
      </text>
    </comment>
    <comment ref="M25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Acuse de recibo DIPRES, el 09/02/2026</t>
        </r>
      </text>
    </comment>
    <comment ref="K37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antes 1022266000</t>
        </r>
      </text>
    </comment>
    <comment ref="K57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antes $ 408.593.000.-</t>
        </r>
      </text>
    </comment>
    <comment ref="N62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SOLO OFICIO INGRESÓ EL 10-6-26</t>
        </r>
      </text>
    </comment>
    <comment ref="N63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SOLO OFICIO INGRESÓ EL 10-6-26</t>
        </r>
      </text>
    </comment>
    <comment ref="N8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ingresó el 18-8-23</t>
        </r>
      </text>
    </comment>
    <comment ref="E88" authorId="1" shapeId="0" xr:uid="{89C789CB-2ED5-47CB-A7D3-7A9C56B449DA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el código del ARI no es el mismo, pero sí está el proyecto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Fabian Rutte Gonzalez</author>
    <author>Fabián Rutte</author>
  </authors>
  <commentList>
    <comment ref="K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$ 1.338.819.000.-</t>
        </r>
      </text>
    </comment>
    <comment ref="K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1° 1575068000 Antes 2° 1711198000</t>
        </r>
      </text>
    </comment>
    <comment ref="Q15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solo algunos documentos fueron cargados el 29-10-2025</t>
        </r>
      </text>
    </comment>
    <comment ref="N1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ingresó en 07-08-2023</t>
        </r>
      </text>
    </comment>
    <comment ref="Q18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el oficio ingresó el 24-09-2025</t>
        </r>
      </text>
    </comment>
    <comment ref="K2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1350278000
antes 1328103000</t>
        </r>
      </text>
    </comment>
    <comment ref="Q21" authorId="2" shapeId="0" xr:uid="{00000000-0006-0000-0100-000007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el memo es del 08-08-2025</t>
        </r>
      </text>
    </comment>
    <comment ref="Y2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reev enviada con M-127, del 19-5-23</t>
        </r>
      </text>
    </comment>
    <comment ref="AB2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precisión de TTR en camiones grúa e imprimador</t>
        </r>
      </text>
    </comment>
    <comment ref="K23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222510000</t>
        </r>
      </text>
    </comment>
    <comment ref="Q23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memo reev 8-4-25</t>
        </r>
      </text>
    </comment>
    <comment ref="Q24" authorId="2" shapeId="0" xr:uid="{00000000-0006-0000-0100-00000C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el oficio ingresó el 25-07-2025</t>
        </r>
      </text>
    </comment>
    <comment ref="Q25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ingresa el 03-04-2025</t>
        </r>
      </text>
    </comment>
    <comment ref="K30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antes $
1532214000</t>
        </r>
      </text>
    </comment>
    <comment ref="N32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ingresó  el 28-05-2025</t>
        </r>
      </text>
    </comment>
    <comment ref="N33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ingreso el 30-05-2025</t>
        </r>
      </text>
    </comment>
    <comment ref="Q33" authorId="2" shapeId="0" xr:uid="{00000000-0006-0000-0100-000011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oficio ingresó el 03-10-2025</t>
        </r>
      </text>
    </comment>
    <comment ref="Q34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solo el ofico ingresó el 11-09-2025</t>
        </r>
      </text>
    </comment>
    <comment ref="N35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ingresa el 06-06-2025</t>
        </r>
      </text>
    </comment>
    <comment ref="N49" authorId="2" shapeId="0" xr:uid="{00000000-0006-0000-0100-000014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el oficio ingresó el 21-07-2025</t>
        </r>
      </text>
    </comment>
    <comment ref="Q51" authorId="2" shapeId="0" xr:uid="{00000000-0006-0000-0100-000015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oficio ingresó el 23-09-2025</t>
        </r>
      </text>
    </comment>
    <comment ref="N59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13-08-2025 ingresa solo el oficio</t>
        </r>
      </text>
    </comment>
    <comment ref="N63" authorId="2" shapeId="0" xr:uid="{00000000-0006-0000-0100-000017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el oficio ingresa 02-09-2025</t>
        </r>
      </text>
    </comment>
    <comment ref="N72" authorId="2" shapeId="0" xr:uid="{00000000-0006-0000-0100-000018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el oficio ingresa el 03-10-2025</t>
        </r>
      </text>
    </comment>
    <comment ref="N73" authorId="2" shapeId="0" xr:uid="{00000000-0006-0000-0100-000019000000}">
      <text>
        <r>
          <rPr>
            <b/>
            <sz val="9"/>
            <color indexed="81"/>
            <rFont val="Tahoma"/>
            <family val="2"/>
          </rPr>
          <t>Fabián Rutte:</t>
        </r>
        <r>
          <rPr>
            <sz val="9"/>
            <color indexed="81"/>
            <rFont val="Tahoma"/>
            <family val="2"/>
          </rPr>
          <t xml:space="preserve">
solo el oficio ingreso el 09-10-2025</t>
        </r>
      </text>
    </comment>
    <comment ref="K76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531990000
antes 675958000</t>
        </r>
      </text>
    </comment>
    <comment ref="Y76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con M-20/2022</t>
        </r>
      </text>
    </comment>
    <comment ref="N85" authorId="1" shapeId="0" xr:uid="{00000000-0006-0000-0100-00001C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solo oficio ingresó 20-11-2025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Usuario</author>
    <author>Fabian Rutte Gonzalez</author>
  </authors>
  <commentList>
    <comment ref="K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M$ 245.675.000.-</t>
        </r>
      </text>
    </comment>
    <comment ref="M2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-ENVIADO 4-3-21 A SECREDUC Ord GR 382
-enviado a secreduc por C. electrónico 25-3-21
- REEV ENVIADO 20-6-23 A SECREDUC Ord GR 2217
- obs por SECREDUC</t>
        </r>
      </text>
    </comment>
    <comment ref="Y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1.036/09-04-2021</t>
        </r>
      </text>
    </comment>
    <comment ref="K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443595000</t>
        </r>
      </text>
    </comment>
    <comment ref="K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531990000
antes 675958000</t>
        </r>
      </text>
    </comment>
    <comment ref="Y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con M-20/2022</t>
        </r>
      </text>
    </comment>
    <comment ref="K8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$320,000,000,-</t>
        </r>
      </text>
    </comment>
    <comment ref="M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INGRESADO POR CORREO e CON FECHA 27-2-23</t>
        </r>
      </text>
    </comment>
    <comment ref="N12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ingresó el 08-01-2024</t>
        </r>
      </text>
    </comment>
    <comment ref="K13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$840.506.000.-</t>
        </r>
      </text>
    </comment>
    <comment ref="Q16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 2do ingreso, solo el oficio ingresó el 12-07-2024</t>
        </r>
      </text>
    </comment>
    <comment ref="K20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413.790.000</t>
        </r>
      </text>
    </comment>
    <comment ref="K24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$647.364.000.-</t>
        </r>
      </text>
    </comment>
    <comment ref="K28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$569.638.000.-</t>
        </r>
      </text>
    </comment>
    <comment ref="K31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Lenovo:
antes 168105000</t>
        </r>
        <r>
          <rPr>
            <sz val="9"/>
            <color indexed="81"/>
            <rFont val="Tahoma"/>
            <family val="2"/>
          </rPr>
          <t xml:space="preserve">
antes $ 142.765.000.-</t>
        </r>
      </text>
    </comment>
    <comment ref="K49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219536000</t>
        </r>
      </text>
    </comment>
    <comment ref="K56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1350278000</t>
        </r>
      </text>
    </comment>
    <comment ref="Y56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reev enviada con M-127, del 19-5-23</t>
        </r>
      </text>
    </comment>
    <comment ref="AB56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precisión de TTR en camiones grúa e imprimador</t>
        </r>
      </text>
    </comment>
    <comment ref="N60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ingtrresa el 27-06-2024</t>
        </r>
      </text>
    </comment>
    <comment ref="Q61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oficio ingresa 03-10-2024</t>
        </r>
      </text>
    </comment>
    <comment ref="Q62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oficio ingresa el 17-09-2024, sin embargo modifica archivos el 21/10/2024</t>
        </r>
      </text>
    </comment>
    <comment ref="K71" authorId="2" shapeId="0" xr:uid="{00000000-0006-0000-0200-000017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antes 786710000</t>
        </r>
      </text>
    </comment>
    <comment ref="K72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$437.100.000.-
antes $545.896.000.-</t>
        </r>
      </text>
    </comment>
    <comment ref="N73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oficio ingresa 23-08-2024, pero modifica carpeta el 10/9/24</t>
        </r>
      </text>
    </comment>
    <comment ref="K79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$910.710.000.-</t>
        </r>
      </text>
    </comment>
    <comment ref="K81" authorId="2" shapeId="0" xr:uid="{00000000-0006-0000-0200-00001B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antes 411700000</t>
        </r>
      </text>
    </comment>
    <comment ref="N86" authorId="2" shapeId="0" xr:uid="{00000000-0006-0000-0200-00001C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sólo el oficio ingresó el 16-09-2024</t>
        </r>
      </text>
    </comment>
    <comment ref="N88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ingresó el 03-10-2024</t>
        </r>
      </text>
    </comment>
    <comment ref="K100" authorId="2" shapeId="0" xr:uid="{00000000-0006-0000-0200-00001E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antes $ 408.593.000.-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Usuario</author>
    <author>Fabian Rutte Gonzalez</author>
  </authors>
  <commentList>
    <comment ref="Y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reev enviada con M-127, del 19-5-23</t>
        </r>
      </text>
    </comment>
    <comment ref="AB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precisión de TTR en camiones grúa e imprimador</t>
        </r>
      </text>
    </comment>
    <comment ref="K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M$ 245.675.000.-</t>
        </r>
      </text>
    </comment>
    <comment ref="M6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-ENVIADO 4-3-21 A SECREDUC Ord GR 382
-enviado a secreduc por C. electrónico 25-3-21
- REEV ENVIADO 20-6-23 A SECREDUC Ord GR 2217
- obs por SECREDUC</t>
        </r>
      </text>
    </comment>
    <comment ref="K15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$ 365.951.000.-</t>
        </r>
      </text>
    </comment>
    <comment ref="M17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a M. Arroyo el 15/2/23</t>
        </r>
      </text>
    </comment>
    <comment ref="N18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INGRESÓ EN 8-2-23</t>
        </r>
      </text>
    </comment>
    <comment ref="Q18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ingresó el 30-05-2023</t>
        </r>
      </text>
    </comment>
    <comment ref="S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- se envía a S. energía por correo -e el 7-7-23</t>
        </r>
      </text>
    </comment>
    <comment ref="K2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$ 902.196.000.-</t>
        </r>
      </text>
    </comment>
    <comment ref="S21" authorId="2" shapeId="0" xr:uid="{00000000-0006-0000-0300-00000B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1) enviado a SSE el día 5/5/23
2) enviado a SSE el día 31/5/23
3) enviado a SSE el día 25/7/23
</t>
        </r>
      </text>
    </comment>
    <comment ref="Y2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370/10-02-2020</t>
        </r>
      </text>
    </comment>
    <comment ref="M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firma para obs</t>
        </r>
      </text>
    </comment>
    <comment ref="N25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ingresó el 21/02/2023</t>
        </r>
      </text>
    </comment>
    <comment ref="Q26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ingresó el 23/05/23</t>
        </r>
      </text>
    </comment>
    <comment ref="M27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acusado recibo en DIPRES el 27-2-23</t>
        </r>
      </text>
    </comment>
    <comment ref="S27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enviada reev el 22/8/23 por Memo</t>
        </r>
      </text>
    </comment>
    <comment ref="M28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INGRESADO POR CORREO e CON FECHA 27-2-23</t>
        </r>
      </text>
    </comment>
    <comment ref="K29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$551.368.000.-</t>
        </r>
      </text>
    </comment>
    <comment ref="S29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con Memo 232 del 29-8-23</t>
        </r>
      </text>
    </comment>
    <comment ref="Y29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oficio original era 1.094/10-04-2023</t>
        </r>
      </text>
    </comment>
    <comment ref="S31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A S ENERGÍA EL 30/3/23 CON ORD GR 835</t>
        </r>
      </text>
    </comment>
    <comment ref="M32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MAL</t>
        </r>
      </text>
    </comment>
    <comment ref="M34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.i.</t>
        </r>
      </text>
    </comment>
    <comment ref="K37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$178.116.000</t>
        </r>
      </text>
    </comment>
    <comment ref="K38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$ 516.682.000.-</t>
        </r>
      </text>
    </comment>
    <comment ref="M38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informa observaciones por C.E. 20-3-23</t>
        </r>
      </text>
    </comment>
    <comment ref="M43" authorId="2" shapeId="0" xr:uid="{00000000-0006-0000-0300-00001C000000}">
      <text>
        <r>
          <rPr>
            <b/>
            <sz val="9"/>
            <color indexed="81"/>
            <rFont val="Tahoma"/>
            <family val="2"/>
          </rPr>
          <t>Fabian Rutte Gonzalez:</t>
        </r>
        <r>
          <rPr>
            <sz val="9"/>
            <color indexed="81"/>
            <rFont val="Tahoma"/>
            <family val="2"/>
          </rPr>
          <t xml:space="preserve">
.l.</t>
        </r>
      </text>
    </comment>
    <comment ref="M45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se retiró de los TTR plazo de entrega y planificaión de pagos</t>
        </r>
      </text>
    </comment>
    <comment ref="S45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con M-182, del 4/8/23</t>
        </r>
      </text>
    </comment>
    <comment ref="M46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POR CORREO JUEVES 10/11/2022
-enviado ord gr 1.117, el 14/4/23
- ingresa a partes con oficio de s.energía N°731/2023</t>
        </r>
      </text>
    </comment>
    <comment ref="Q52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ingresó el 26-10-2023</t>
        </r>
      </text>
    </comment>
    <comment ref="K56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962086000</t>
        </r>
      </text>
    </comment>
    <comment ref="S56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-Obs por correo de fecha 7/6/23</t>
        </r>
      </text>
    </comment>
    <comment ref="M57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ORD GR 2187, ENVIADO POR CORREO, EL 16-6-23</t>
        </r>
      </text>
    </comment>
    <comment ref="Q60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algúnos doc ingresaron el 20-09-2022
</t>
        </r>
      </text>
    </comment>
    <comment ref="M6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a RSD 16-6-23</t>
        </r>
      </text>
    </comment>
    <comment ref="K6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1575068000</t>
        </r>
      </text>
    </comment>
    <comment ref="K6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 REEV 2023, MANTIENE MONTO</t>
        </r>
      </text>
    </comment>
    <comment ref="M6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-ENVIADO REEV CON MEMO 165/23</t>
        </r>
      </text>
    </comment>
    <comment ref="S69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a secreduc el 27/07/2023</t>
        </r>
      </text>
    </comment>
    <comment ref="K72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$ 285.525.234.-</t>
        </r>
      </text>
    </comment>
    <comment ref="N74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ingresó en 07-08-2023</t>
        </r>
      </text>
    </comment>
    <comment ref="K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$545.896.000.-</t>
        </r>
      </text>
    </comment>
    <comment ref="Q78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último archivo cargado al BIP</t>
        </r>
      </text>
    </comment>
    <comment ref="N79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ingresó 11-08-2023</t>
        </r>
      </text>
    </comment>
    <comment ref="N82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ingresó el 18-8-23</t>
        </r>
      </text>
    </comment>
    <comment ref="Q82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solo el oficio ingresó el 18-8-23</t>
        </r>
      </text>
    </comment>
    <comment ref="S94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Reev Enviado con memo 242 del 14/09/2023</t>
        </r>
      </text>
    </comment>
    <comment ref="N99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ingresó el 2-10-23</t>
        </r>
      </text>
    </comment>
    <comment ref="K106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$900.500.000.-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Usuario</author>
  </authors>
  <commentList>
    <comment ref="M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POR CORREO JUEVES 10/11/2022</t>
        </r>
      </text>
    </comment>
    <comment ref="S8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ENVIADO A SECREDUC EN DIGITAL EL 1-12-21, ORD GR n° 3.499</t>
        </r>
      </text>
    </comment>
    <comment ref="Q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ingreso del oficio fue el día 21-04-2022, al bip se cargó con decha 28-04-2022</t>
        </r>
      </text>
    </comment>
    <comment ref="S12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enviado conMemo 46 y correo 16-3-22</t>
        </r>
      </text>
    </comment>
    <comment ref="K1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$465.265.907.-</t>
        </r>
      </text>
    </comment>
    <comment ref="S16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-Informado por correo electrónico 18-3-22
-enviado con memo 67/11-4-22</t>
        </r>
      </text>
    </comment>
    <comment ref="Y16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antes recomendado con 1.995/22-06-2018</t>
        </r>
      </text>
    </comment>
    <comment ref="K19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$ 227.543.146.-
</t>
        </r>
      </text>
    </comment>
    <comment ref="K22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531990000</t>
        </r>
      </text>
    </comment>
    <comment ref="Y22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con M-20/2022</t>
        </r>
      </text>
    </comment>
    <comment ref="K32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de reev $ 539.595.000,-</t>
        </r>
      </text>
    </comment>
    <comment ref="S3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con Memo 153, del 23-6-22</t>
        </r>
      </text>
    </comment>
    <comment ref="K34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$900.500.000.-</t>
        </r>
      </text>
    </comment>
    <comment ref="Q35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algúnos doc ingresaron el 20-09-2022
</t>
        </r>
      </text>
    </comment>
    <comment ref="K39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$ 555.390.000.-</t>
        </r>
      </text>
    </comment>
    <comment ref="Y39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con memo 289/23-9-22</t>
        </r>
      </text>
    </comment>
    <comment ref="Y43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enviado con memo 290/23-9-22</t>
        </r>
      </text>
    </comment>
    <comment ref="Q5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algúnos doc ingresaron el 28-09-2022</t>
        </r>
      </text>
    </comment>
    <comment ref="K59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M$ 197.000,-</t>
        </r>
      </text>
    </comment>
    <comment ref="K61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M$ 864.880.000.-</t>
        </r>
      </text>
    </comment>
    <comment ref="K62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$ 2.405.500.000.-</t>
        </r>
      </text>
    </comment>
    <comment ref="S62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informado con Memo 354 del 28/10/2022
-informado con correo electrónico de fecha 30/11/2022</t>
        </r>
      </text>
    </comment>
    <comment ref="K67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962086000</t>
        </r>
      </text>
    </comment>
    <comment ref="K68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704917000</t>
        </r>
      </text>
    </comment>
    <comment ref="K72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antes 205250000</t>
        </r>
      </text>
    </comment>
    <comment ref="Q74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sólo el oficio ingreso el 18-10-2022</t>
        </r>
      </text>
    </comment>
    <comment ref="M89" authorId="1" shapeId="0" xr:uid="{00000000-0006-0000-0400-00001B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-ENVIADO 4-3-21 A SECREDUC Ord GR 382
-enviado a secreduc por C. electrónico 25-3-21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2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<sst xmlns="http://schemas.openxmlformats.org/spreadsheetml/2006/main" count="5912" uniqueCount="953">
  <si>
    <t>CHONCHI</t>
  </si>
  <si>
    <t>DALCAHUE</t>
  </si>
  <si>
    <t>FUTALEUFU</t>
  </si>
  <si>
    <t>PUYEHUE</t>
  </si>
  <si>
    <t>MUNICIPALIDAD CALBUCO</t>
  </si>
  <si>
    <t>MUNICIPALIDAD PALENA</t>
  </si>
  <si>
    <t>MUNICIPALIDAD MAULLÍN</t>
  </si>
  <si>
    <t>MUNICIPALIDAD FRESIA</t>
  </si>
  <si>
    <t>MUNICIPALIDAD DALCAHUE</t>
  </si>
  <si>
    <t>MUNICIPALIDAD ANCUD</t>
  </si>
  <si>
    <t>MUNICIPALIDAD CHAITÉN</t>
  </si>
  <si>
    <t>MUNICIPALIDAD PUERTO MONTT</t>
  </si>
  <si>
    <t>MUNICIPALIDAD QUEILEN</t>
  </si>
  <si>
    <t>MUNICIPALIDAD QUEMCHI</t>
  </si>
  <si>
    <t>MUNICIPALIDAD COCHAMÓ</t>
  </si>
  <si>
    <t>MUNICIPALIDAD PUERTO VARAS</t>
  </si>
  <si>
    <t>MUNICIPALIDAD PUYEHUE</t>
  </si>
  <si>
    <t>MUNICIPALIDAD OSORNO</t>
  </si>
  <si>
    <t>MUNICIPALIDAD CHONCHI</t>
  </si>
  <si>
    <t>MUNICIPALIDAD MAULLIN</t>
  </si>
  <si>
    <t>MUNICIPALIDAD SAN JUAN DE LA COSTA</t>
  </si>
  <si>
    <t>MUNICIPALIDAD SAN PABLO</t>
  </si>
  <si>
    <t>MUNICIPALIDAD HUALAIHUE</t>
  </si>
  <si>
    <t>MUNICIPALIDAD FRUTILLAR</t>
  </si>
  <si>
    <t>MUNICIPALIDAD CURACO DE VELEZ</t>
  </si>
  <si>
    <t>MUNICIPALIDAD CASTRO</t>
  </si>
  <si>
    <t>MUNICIPALIDAD PURRANQUE</t>
  </si>
  <si>
    <t>MUNICIPALIDAD FUTALEUFU</t>
  </si>
  <si>
    <t>MUNICIPALIDAD LOS MUERMOS</t>
  </si>
  <si>
    <t>MUNICIPALIDAD PUERTO OCTAY</t>
  </si>
  <si>
    <t>SERVICIO SALUD OSORNO</t>
  </si>
  <si>
    <t>NO</t>
  </si>
  <si>
    <t>SI</t>
  </si>
  <si>
    <t>SUBT.</t>
  </si>
  <si>
    <t>ESTADO</t>
  </si>
  <si>
    <t>PROVINCIA</t>
  </si>
  <si>
    <t>COMUNA</t>
  </si>
  <si>
    <t>BIP</t>
  </si>
  <si>
    <t>NOMBRE DEL PROYECTO</t>
  </si>
  <si>
    <t>COSTO</t>
  </si>
  <si>
    <t>EVALUADOR</t>
  </si>
  <si>
    <t>FECHA EVALUACION</t>
  </si>
  <si>
    <t>OSORNO</t>
  </si>
  <si>
    <t>PURRANQUE</t>
  </si>
  <si>
    <t>PROV. OSORNO</t>
  </si>
  <si>
    <t>LLANQUIHUE</t>
  </si>
  <si>
    <t>FRUTILLAR</t>
  </si>
  <si>
    <t>CHILOE</t>
  </si>
  <si>
    <t>PALENA</t>
  </si>
  <si>
    <t>Fabián Rutte</t>
  </si>
  <si>
    <t>ANCUD</t>
  </si>
  <si>
    <t>PUERTO MONTT</t>
  </si>
  <si>
    <t>CASTRO</t>
  </si>
  <si>
    <t>QUELLÓN</t>
  </si>
  <si>
    <t>PUQUELDÓN</t>
  </si>
  <si>
    <t>CALBUCO</t>
  </si>
  <si>
    <t>QUEMCHI</t>
  </si>
  <si>
    <t>MAULLIN</t>
  </si>
  <si>
    <t>RÍO NEGRO</t>
  </si>
  <si>
    <t>X REGIÓN</t>
  </si>
  <si>
    <t>FRESIA</t>
  </si>
  <si>
    <t>PUERTO VARAS</t>
  </si>
  <si>
    <t>CUMPLE RT</t>
  </si>
  <si>
    <t>EN EVALUACIÓN</t>
  </si>
  <si>
    <t>QUINCHAO</t>
  </si>
  <si>
    <t>PUERTO OCTAY</t>
  </si>
  <si>
    <t>LOS MUERMOS</t>
  </si>
  <si>
    <t>HUALAIHUE</t>
  </si>
  <si>
    <t>SAN PABLO</t>
  </si>
  <si>
    <t>PROVINCIAL</t>
  </si>
  <si>
    <t>MAULLÍN</t>
  </si>
  <si>
    <t>SAN JUAN DE LA COSTA</t>
  </si>
  <si>
    <t>CHAITÉN</t>
  </si>
  <si>
    <t>COCHAMÓ</t>
  </si>
  <si>
    <t>OBSERVADO</t>
  </si>
  <si>
    <t>FORMULADOR</t>
  </si>
  <si>
    <t>QUEILEN</t>
  </si>
  <si>
    <t>MUNICIPALIDAD COCHAMO</t>
  </si>
  <si>
    <t>SERVICIO SALUD RELONCAVI</t>
  </si>
  <si>
    <t>MUNICIPALIDAD LLANQUIHUE</t>
  </si>
  <si>
    <t>DIAS EVALUAR</t>
  </si>
  <si>
    <t>DIAS EN EVALUACION</t>
  </si>
  <si>
    <t>CANT</t>
  </si>
  <si>
    <t xml:space="preserve">FECHA INGRESO  </t>
  </si>
  <si>
    <t>DIRECCION DE VIALIDAD</t>
  </si>
  <si>
    <t>DIAS RESTANTES</t>
  </si>
  <si>
    <t xml:space="preserve">EN EVALUACION </t>
  </si>
  <si>
    <t>MUNICIPALIDAD CHAITEN</t>
  </si>
  <si>
    <t>COCHAMO</t>
  </si>
  <si>
    <t>CURACO DE VELEZ</t>
  </si>
  <si>
    <t>ORD GR N°/ FECHA</t>
  </si>
  <si>
    <t>CARABINEROS X ZONA</t>
  </si>
  <si>
    <t>MUNICIPALIDAD QUINCHAO</t>
  </si>
  <si>
    <t xml:space="preserve">FECHA 1er INGRESO  </t>
  </si>
  <si>
    <t xml:space="preserve">FECHA 1er Respuesta  </t>
  </si>
  <si>
    <t>FECHA (REAL) ENTREGA</t>
  </si>
  <si>
    <t>Feriados</t>
  </si>
  <si>
    <t>DIAS HAB. EN EVALUACION</t>
  </si>
  <si>
    <t>PLAZO PARA INFORMAR (15 DIAS)</t>
  </si>
  <si>
    <t>DÍAS 1° Evaluación</t>
  </si>
  <si>
    <t>Feriados 2018</t>
  </si>
  <si>
    <t>ADQUISICION VEHÍCULOS POLICIALES PARA PATRULLAS ANTI-ABIGEATO PROVINCIA LLANQUIHUE</t>
  </si>
  <si>
    <t>REGION POLICIAL LOS LAGOS PDI</t>
  </si>
  <si>
    <t>CONSERVACION GIMNASIO MUNICIPAL DE QUEMCHI</t>
  </si>
  <si>
    <t>Martes, 01 de Enero</t>
  </si>
  <si>
    <t>Año Nuevo</t>
  </si>
  <si>
    <t>Civil</t>
  </si>
  <si>
    <t>Ley 2.977, Ley 19.973</t>
  </si>
  <si>
    <t>Viernes, 19 de Abril</t>
  </si>
  <si>
    <t>Viernes Santo</t>
  </si>
  <si>
    <t>Religioso</t>
  </si>
  <si>
    <t>Ley 2.977</t>
  </si>
  <si>
    <t>Sábado, 20 de Abril</t>
  </si>
  <si>
    <t>Sábado Santo</t>
  </si>
  <si>
    <t>Miércoles, 01 de Mayo</t>
  </si>
  <si>
    <t>Día Nacional del Trabajo</t>
  </si>
  <si>
    <t>Código del Trabajo, Ley 19.973</t>
  </si>
  <si>
    <t>Martes, 21 de Mayo</t>
  </si>
  <si>
    <t>Día de las Glorias Navales</t>
  </si>
  <si>
    <t>Sábado, 29 de Junio</t>
  </si>
  <si>
    <t>San Pedro y San Pablo</t>
  </si>
  <si>
    <t>Ley 2.977, Ley 18.432, Ley 19.668</t>
  </si>
  <si>
    <t>Martes, 16 de Julio</t>
  </si>
  <si>
    <t>Día de la Virgen del Carmen</t>
  </si>
  <si>
    <t>Ley 20.148</t>
  </si>
  <si>
    <t>Jueves, 15 de Agosto</t>
  </si>
  <si>
    <t>Asunción de la Virgen</t>
  </si>
  <si>
    <t>Miércoles, 18 de Septiembre</t>
  </si>
  <si>
    <t>Independencia Nacional</t>
  </si>
  <si>
    <t>Jueves, 19 de Septiembre</t>
  </si>
  <si>
    <t>Día de las Glorias del Ejército</t>
  </si>
  <si>
    <t>Ley 2.977, Ley 20.629</t>
  </si>
  <si>
    <t>Viernes, 20 de Septiembre</t>
  </si>
  <si>
    <t>Fiestas Patrias</t>
  </si>
  <si>
    <t>Ley 20.215</t>
  </si>
  <si>
    <t>Sábado, 12 de Octubre</t>
  </si>
  <si>
    <t>Encuentro de Dos Mundos</t>
  </si>
  <si>
    <t>Ley 3.810, Ley 19.668</t>
  </si>
  <si>
    <t>Jueves, 31 de Octubre</t>
  </si>
  <si>
    <t>Día de las Iglesias Evangélicas y</t>
  </si>
  <si>
    <t>Ley 20.299</t>
  </si>
  <si>
    <t>Viernes, 01 de Noviembre</t>
  </si>
  <si>
    <t>Día de Todos los Santos</t>
  </si>
  <si>
    <t>Domingo, 08 de Diciembre</t>
  </si>
  <si>
    <t>Inmaculada Concepción</t>
  </si>
  <si>
    <t>Miércoles, 25 de Diciembre</t>
  </si>
  <si>
    <t>Navidad</t>
  </si>
  <si>
    <t>Feriados 2019</t>
  </si>
  <si>
    <t>REPOSICION LUMINARIAS PARA DIVERSOS SECTORES RURALES, COMUNA DE CHONCHI</t>
  </si>
  <si>
    <t>CONSERVACION GIMNASIO MUNICIPAL DE RIO PUELO</t>
  </si>
  <si>
    <t>CLASIFICACION</t>
  </si>
  <si>
    <t>VEHICULOS</t>
  </si>
  <si>
    <t>CAMIONES RSD</t>
  </si>
  <si>
    <t>LUMINARIAS</t>
  </si>
  <si>
    <t>CNOS NO ENROLADOS</t>
  </si>
  <si>
    <t>PAV. URBANOS</t>
  </si>
  <si>
    <t>EQ. EDUCATIVO</t>
  </si>
  <si>
    <t>MAQ. CNOS</t>
  </si>
  <si>
    <t>GLOSA 7 NO ENROLADOS</t>
  </si>
  <si>
    <t>VEH. ESCOLAR</t>
  </si>
  <si>
    <t>VIALIDAD CNOS</t>
  </si>
  <si>
    <t>VEREDAS</t>
  </si>
  <si>
    <t>BUS</t>
  </si>
  <si>
    <t>POLICIAL EQ.</t>
  </si>
  <si>
    <t>AMBULANCIAS</t>
  </si>
  <si>
    <t>EDIF. PUBLICA</t>
  </si>
  <si>
    <t>POL VEH.</t>
  </si>
  <si>
    <t>CONTENEDORES RSD</t>
  </si>
  <si>
    <t>ESTUDIO PG</t>
  </si>
  <si>
    <t>MULTIPROPOSITO</t>
  </si>
  <si>
    <t>REPOSICION MOTOS TODO TERRENO PARA LOS CUARTELES OPERATIVOS TERRITORIALES DE LOS LAGOS</t>
  </si>
  <si>
    <t>Feriados 2020</t>
  </si>
  <si>
    <t>EQ. SALUD</t>
  </si>
  <si>
    <t>125/15-01-2020</t>
  </si>
  <si>
    <t>ADQUISICION MAQUINARIA PESADA COMUNA DE MAULLIN</t>
  </si>
  <si>
    <t>X REGION</t>
  </si>
  <si>
    <t>370/10-02-2020</t>
  </si>
  <si>
    <t>SIN CLASIFIC.</t>
  </si>
  <si>
    <t>802/03-04-2020</t>
  </si>
  <si>
    <t>REGIONAL</t>
  </si>
  <si>
    <t>CONSERVACION GIMNASIO MUNICIPAL DE PUQUELDON</t>
  </si>
  <si>
    <t>1.645/06-07-2020</t>
  </si>
  <si>
    <t>2.324/30-07-2020</t>
  </si>
  <si>
    <t>CONSERVACION PER. CAM. VEC., C. DE CALBUCO Y MAULLÍN, REG. DE LOS LAGOS, 2020-2021</t>
  </si>
  <si>
    <t>REPOSICION CAMIONETAS MUNICIPALES, MUNICIPALIDAD DE LOS MUERMOS</t>
  </si>
  <si>
    <t>CONAF</t>
  </si>
  <si>
    <t>3.664/19-10-2020</t>
  </si>
  <si>
    <t>4.000/11-11-2020</t>
  </si>
  <si>
    <t>Feriados 2021</t>
  </si>
  <si>
    <t>ADQUISICION EQUIPAMIENTO PARA ESTABLECIMIENTOS DE PRE-BASICA,COMUNA DE PURRANQUE</t>
  </si>
  <si>
    <t>1.036/09-04-2021</t>
  </si>
  <si>
    <t>SEREMI MEDIO AMBIENTE</t>
  </si>
  <si>
    <t>1.322/07-05-2021</t>
  </si>
  <si>
    <t>2.203/13-06-2021</t>
  </si>
  <si>
    <t>ARI 2022</t>
  </si>
  <si>
    <t>2.380/06-08-2021</t>
  </si>
  <si>
    <t>REEV REPOSICION DE LUMINARIAS Y EQUIPOS DEL ALUMBRADO PÚBLICO, COMUNA DE PURRANQUE</t>
  </si>
  <si>
    <t>ADQUISICION CAMION RECOLECTOR RESIDUOS DOMICILIARIOS COMUNA DE MAULLIN</t>
  </si>
  <si>
    <t>2.737/20-09-2021</t>
  </si>
  <si>
    <t>2.697/13-09-2021</t>
  </si>
  <si>
    <t>ADQUISICION CAMION DE BASURA, COMUNA DE LLANQUIHUE</t>
  </si>
  <si>
    <r>
      <t xml:space="preserve">EL </t>
    </r>
    <r>
      <rPr>
        <b/>
        <sz val="20"/>
        <color indexed="10"/>
        <rFont val="Arial"/>
        <family val="2"/>
      </rPr>
      <t>ALEX</t>
    </r>
    <r>
      <rPr>
        <b/>
        <sz val="20"/>
        <rFont val="Arial"/>
        <family val="2"/>
      </rPr>
      <t xml:space="preserve"> SE LA COME </t>
    </r>
    <r>
      <rPr>
        <b/>
        <sz val="20"/>
        <color indexed="10"/>
        <rFont val="Arial"/>
        <family val="2"/>
      </rPr>
      <t>DOBLADA</t>
    </r>
  </si>
  <si>
    <t>3.073/19-10-21</t>
  </si>
  <si>
    <t>3.072/19-10-2021</t>
  </si>
  <si>
    <t>3.186/29-10-2021</t>
  </si>
  <si>
    <t>3.184/29-10-2021</t>
  </si>
  <si>
    <t>3.187/29-10-2021</t>
  </si>
  <si>
    <t>REPOSICION RETROEXCAVADORA Y ADQUISICIÓN RODILLO COMPACTADOR, COMUNA DE CHONCHI</t>
  </si>
  <si>
    <t>ADQUISICION CAMIÓN MULTIPROPÓSITO, PUNTOS LIMPIOS MÓVILES Y TRASLADO DE AGUA POTABLE</t>
  </si>
  <si>
    <t>REPOSICION DE EQUIPOS LUMINARIAS PÚBLICAS, COMUNA DE PUERTO OCTAY</t>
  </si>
  <si>
    <t>ADQUISICION CLINICA VETERINARIA MOVIL, COMUNA DE FRESIA</t>
  </si>
  <si>
    <t>CONSERVACION EDIFICIO MANUEL ANTONIO MATTA SSO , COMUNA OSORNO</t>
  </si>
  <si>
    <t>Feriados 2022</t>
  </si>
  <si>
    <t>CONSERVACION DE CALZADAS RAHUE BAJO, OSORNO</t>
  </si>
  <si>
    <t>VET.</t>
  </si>
  <si>
    <t>ADQUISICION DE CONTENEDORES PARA RSD COMUNA DE PUYEHUE</t>
  </si>
  <si>
    <t>CONSERVACION SALUD</t>
  </si>
  <si>
    <t>CONSERVACION CAMINOS ISLA TAC, COMUNA DE QUEMCHI.</t>
  </si>
  <si>
    <t>139/19-01-2022</t>
  </si>
  <si>
    <t>REPOSICION CAMION RECOLECTOR RSD UNIDAD MEDIO AMBIENTE, ASEO Y ORNATO, SAN JUAN DE LA COSTA</t>
  </si>
  <si>
    <t>CONSERVACION 7 CAMINOS VECINALES, COMUNA DE MAULLIN</t>
  </si>
  <si>
    <t>ADQUISICION CAMIÓN ALJIBE, COMUNA DE FRUTILLAR</t>
  </si>
  <si>
    <t>REPOSICION 1 CAMION RECOLECTOR DE RESIDUOS SOLIDOS EN LA COMUNA DE FRUTILLAR</t>
  </si>
  <si>
    <t>ALJIBE</t>
  </si>
  <si>
    <t>REPOSICION 2 AMBUL. EMERG. BASICA Y FURGON TRASLADO PROF. DE SALUD, COMUNA HUALAIHUE</t>
  </si>
  <si>
    <t>REEV ADQUISICION Y REPOSICION VEHICULOS Y MAQUINARIA CAMINOS VECINALES</t>
  </si>
  <si>
    <t>PPTO 2022</t>
  </si>
  <si>
    <t>414/14-03-2022</t>
  </si>
  <si>
    <t>440/17-03-2022</t>
  </si>
  <si>
    <t>BENEFICIARIOS DIRECTOS</t>
  </si>
  <si>
    <t>540/29-03-2022</t>
  </si>
  <si>
    <t>639/06-04-2022</t>
  </si>
  <si>
    <t>759/19-04-2022</t>
  </si>
  <si>
    <t>CONSERVACION CAMINOS NO ENROLADOS 12 SECTORES RURALES DE LA COMUNA DE PUYEHUE</t>
  </si>
  <si>
    <t>800/20-04-2022</t>
  </si>
  <si>
    <t>REPOSICION EQUIPOS PARA LA SECCIÓN FOTOGRAFÍA Y, QUÍMICA Y FÍSICA DEL LACRIM REGIONAL PMO</t>
  </si>
  <si>
    <t>REEV REPOSICION VEHÍCULOS PDI, REGIÓN POLICIAL DE LOS LAGOS</t>
  </si>
  <si>
    <t>ADQUISICION CAMION ALJIBE PARA TRANSPORTE Y SUMINISTRO DE AGUA POTABLE</t>
  </si>
  <si>
    <t>REPOSICION 2 CAMIONETAS PARA TRANSPORTE MUNICIPAL 2022</t>
  </si>
  <si>
    <t>ADQUISICION 4 CAMIONES RECOLECTORES DE BASURA PARA LA MUNICIPALIDAD DE ANCUD</t>
  </si>
  <si>
    <t>ADQUISICION EXCAVADORA COMUNA DE PURRANQUE</t>
  </si>
  <si>
    <t>ADQUISICION CAMION MULTIPROPÓSITO, COCHAMO</t>
  </si>
  <si>
    <t>REPOSICION CONTENEDORES PARA RESIDUOS SOLIDOS DOMICILIARIOS EN LA COMUNA DE PUERTO MONTT</t>
  </si>
  <si>
    <t>ADQUISICION MAQUINARIA, COMUNA DE FRESIA</t>
  </si>
  <si>
    <t>CONSERVACION CANCHA ESTADIO ALBERTO ALLAIRE, OSORNO</t>
  </si>
  <si>
    <t>REEV ADQUISICION EQUIPOS PARA ANALISIS EVIDENCIA INFORMÁTICA Y DIGITAL REGIÓN POLICIAL LOS LAGOS</t>
  </si>
  <si>
    <t>CONSERVACION 15 CAMINOS NO ENROLADOS COMUNA DE PURRANQUE</t>
  </si>
  <si>
    <t>REEV CONSERVACION PER. CAM. VEC., C. DE CALBUCO Y MAULLÍN, REG. DE LOS LAGOS, 2020-2021</t>
  </si>
  <si>
    <t>REPOSICION BUS MUNICIPAL DE QUEILEN</t>
  </si>
  <si>
    <t>ADQUISICION EQUIPOS Y EQUIPAMIENTO AULAS CAMPUS, UNIVERSIDAD DE LOS LAGOS</t>
  </si>
  <si>
    <t>ULA</t>
  </si>
  <si>
    <t>REPOSICION DE CONTENEDORES PARA RSD, COMUNA DE SAN PABLO</t>
  </si>
  <si>
    <t>REEV CONSERVACION CAMINOS ISLA CAUCAHUE, COMUNA DE QUEMCHI</t>
  </si>
  <si>
    <t xml:space="preserve">DALCAHUE </t>
  </si>
  <si>
    <t>ARI 2023</t>
  </si>
  <si>
    <t>REEV DIAGNOSTICO RECOPILACION DE ANTECEDENTES PARA ELABORACIÓN NSCA CUENCA DEL RIO RAHUE</t>
  </si>
  <si>
    <t>1.808/18-07-2022</t>
  </si>
  <si>
    <t>CONSERVACION ACERAS SECTOR PUERTO CHICO DE PUERTO VARAS</t>
  </si>
  <si>
    <t>CONSERVACION CAMINOS NO ENROLADOS DE 8 SECTORES RURALES, COMUNA DE CHONCHI</t>
  </si>
  <si>
    <t>REEV ADQUISICION MAQUINARIA MUNICIPAL, COMUNA DE SAN JUAN DE LA COSTA</t>
  </si>
  <si>
    <t>CONSERVACION CALZADAS SECTOR CENTRO, OSORNO</t>
  </si>
  <si>
    <t>CONSERVACION GIMNASIO HUILLINCO, COMUNA DE CHONCHI</t>
  </si>
  <si>
    <t>REPOSICION BUSES CORPORACION MUNICIPAL, CURACO DE VELEZ</t>
  </si>
  <si>
    <t>ADQUISICION Y REPOSICION MAQUINARIA VIAL, COMUNA QUEMCHI</t>
  </si>
  <si>
    <t>REPOSICION DE BUSES ESCUELA DIFERENCIAL AMANECER, COMUNA DE CHONCHI</t>
  </si>
  <si>
    <t>1.992/09-08-2022</t>
  </si>
  <si>
    <t>REPOSICION MAQUINARIA MUNICIPAL COMUNA QUINCHAO</t>
  </si>
  <si>
    <t>2.060/17-08-2022</t>
  </si>
  <si>
    <t>2.069/17-08-2022</t>
  </si>
  <si>
    <t>GORE LOS LAGOS</t>
  </si>
  <si>
    <t>ADQUISICION AMBULANCIA EMERGENCIA BASICA CECOSF CASCADAS, COMUNA PUERTO OCTAY</t>
  </si>
  <si>
    <t>REPOSICION Y ADQUISICION DE VEHICULOS Y MAQUINARIAS MUNICIPALES, COMUNA DE FUTALEUFU</t>
  </si>
  <si>
    <t>UOCT</t>
  </si>
  <si>
    <t>REPOSICION DE EQUIPOS LABORATORIOS DE CARRERAS MARÍTIMAS DEL TECNOLÓGICO U LAGOS</t>
  </si>
  <si>
    <t>CONSERVACION VEREDAS SECTOR NORTE COMUNA DE PURRANQUE</t>
  </si>
  <si>
    <t>ADQUISICION DE EQUIPOS PARA MEJORAMIENTO DE ACCESIBILIDAD UNIVERSAL EN CRUCES SEMAFORIZADOS</t>
  </si>
  <si>
    <t>2.389/06-09-2022</t>
  </si>
  <si>
    <t>REEV REPOSICIÓN CAMIÓN RECOLECTOR DE RESIDUOS SÓLIDOS DOMICILIARIOS</t>
  </si>
  <si>
    <t>REEV ADQUISICION BUS MUNICIPAL, CURACO DE VELEZ</t>
  </si>
  <si>
    <t>REPOSICION Y ADQUISICION DE CAMION COMPACTADOR Y CONTENEDORES DE BASURA, HUALAIHUE</t>
  </si>
  <si>
    <t>REEV ADQUISICION CAMIÓN RECOLECTOR DE BASURA URBANO, CAMIÓN RECOLECTOR DE BASURA RURAL Y LAVA CON</t>
  </si>
  <si>
    <t>REEV CONSERVACION PERIÓDICA, RUTA V-629 LA VARA-SENDA SUR KM 0,0 AL KM 7,5, COMUNA DE PUERTO MONTT</t>
  </si>
  <si>
    <t>ANÁLISIS CONSTRUCCIÓN POLÍTICA REGIONAL DEL ADULTO MAYOR REGIÓN DE LOS LAGOS</t>
  </si>
  <si>
    <t>2.467/12-09-2022</t>
  </si>
  <si>
    <t>CONSERVACION CAMINOS NO ENROLADOS 6 SECTORES RURALES DE LA COMUNA DE FRUTILLAR</t>
  </si>
  <si>
    <t>REPOSICION DE 5 AMBULANCIAS DE EMERGENCIA Y 1 CAMIONETA DE AVANZADA PARA SAMU PUERTO MONTT</t>
  </si>
  <si>
    <t>CONSERVACION CAMINOS NO ENROLADOS, COMUNA DE DALCAHUE</t>
  </si>
  <si>
    <t>2.541/15-09-2022</t>
  </si>
  <si>
    <t>REEV CONSERVACION VIAS URBANAS DISTINTOS SECTORES, PUERTO MONTT</t>
  </si>
  <si>
    <t>REPOSICION Y ADQUISICION DE CAMIONES RECOLECTORES DE RSD, COMUNA DE FUTALEUFU</t>
  </si>
  <si>
    <t>2.729/29-09-2022</t>
  </si>
  <si>
    <t>REEV CONSERVACION CAMINOS NO ENROLADOS DE 12 SECTORES RURALES COMUNA DE CHONCHI</t>
  </si>
  <si>
    <t>REEV CONSERVACION DE 11 CAMINOS VECINALES, LOS MUERMOS</t>
  </si>
  <si>
    <t>2.796/06-10-2022</t>
  </si>
  <si>
    <t>ADQUISICION EQUIPO ECOCARDIOGRAFO, HPM, SSDR</t>
  </si>
  <si>
    <t>CONSERVACION GIMNASIO COLISEO MUNICIPAL DE PUERTO VARAS</t>
  </si>
  <si>
    <t>2.857/07-10-2022</t>
  </si>
  <si>
    <t>REEV REPOSICION AMBULANCIAS VARIOS SECTORES COMUNA DE MAULLIN</t>
  </si>
  <si>
    <t>REPOSICION EQUIPAMIENTO SERVICIOS DE HOSPITALIZACIÓN HOSPITAL PUERTO MONTT, SERVICIO DE SALUD DEL RELONCAVÍ</t>
  </si>
  <si>
    <t>2.918/13-10-2022</t>
  </si>
  <si>
    <t>ADQUISICION DE DOS RETROEXCAVADORAS PARA LA ILUSTRE MUNICIPALIDAD DE ANCUD</t>
  </si>
  <si>
    <t>ADQUISICION MAQUINARIA PARA MANTENIMIENTO DE CAMINOS, COMUNA DE QUEILEN</t>
  </si>
  <si>
    <t>2.960/17-10-2022</t>
  </si>
  <si>
    <t>2.964/18-10-2022</t>
  </si>
  <si>
    <t>3.006/20-10-2022</t>
  </si>
  <si>
    <t>3.050/25-10-2022</t>
  </si>
  <si>
    <t>3.052/25-10-2022</t>
  </si>
  <si>
    <t>3.086/26-10-2022</t>
  </si>
  <si>
    <t>REEV CONSERVACION DE 14 CAMINOS NO ENROLADOS EN LA COMUNA DE PURRANQUE</t>
  </si>
  <si>
    <t>3.123/28-10-2022</t>
  </si>
  <si>
    <t>3.125/28-10-2022</t>
  </si>
  <si>
    <t>3.150/28-10-2022</t>
  </si>
  <si>
    <t>3.152/21-10-2022</t>
  </si>
  <si>
    <t>3.200/04-11-2022</t>
  </si>
  <si>
    <t>DEPORTE CONSERVACION</t>
  </si>
  <si>
    <t>REPOSICION EQUIPOS ESTABLECIMIENTOS DE SALUD, LOS MUERMOS</t>
  </si>
  <si>
    <t>REEV REPOSICION EQUIPOS DE ALUMBRADO PUBLICO CON TECNOLOGIA LED COMUNA DE MAULLIN</t>
  </si>
  <si>
    <t>3.332/17-11-2022</t>
  </si>
  <si>
    <t>REPOSICION CAMION RECOLECTOR RESIDUOS DOMICILIARIOS COMUNA DE PUERTO OCTAY</t>
  </si>
  <si>
    <t>CONSERVACION VEREDAS ENTRE LAGOS</t>
  </si>
  <si>
    <t>DIAGNOSTICO ESTUDIO Y CARACTERIZACIÓN DE LOS RSD Y SU GESTIÓN EN ZONAS DE REZAGO</t>
  </si>
  <si>
    <t>REPOSICION Y ADQUISICION VEHICULOS MUNICIPALES GESTION OPERATIVA, SAN JUAN DE LA COSTA</t>
  </si>
  <si>
    <t>ADQUISICION MATERIAL DIDÁCTICO PARA EDUCACIÓN PARVULARIA, ESCUELAS DE LA COMUNA DE PUYEHUE</t>
  </si>
  <si>
    <t>ADQUISICION DE VEHICULOS MUNICIPALES PARA LA COMUNA DE COCHAMÓ</t>
  </si>
  <si>
    <t>REPOSICION CAMIÓN TOLVA Y RETROEXCAVADORAS MUNICIPALIDAD DE CASTRO</t>
  </si>
  <si>
    <t>3.607/07-12-2022</t>
  </si>
  <si>
    <t>CONSERVACION CAMINOS VECINALES EN 6 SECTORES RURALES, COMUNA DE MAULLIN</t>
  </si>
  <si>
    <t>CONSERVACION CAMINOS NO ENROLADOS SECTORES LAS CASCADAS, CARRIL Y LA GRUTA., PUERTO OCTAY.</t>
  </si>
  <si>
    <t>3.772/21-12-2022</t>
  </si>
  <si>
    <t>Feriados 2023</t>
  </si>
  <si>
    <t>REEV CONSERVACION ESCUELA RURAL DE NOTUCO, COMUNA DE CHONCHI</t>
  </si>
  <si>
    <t>REPOSICION DE 2 AMBULANCIAS BASICAS PARA LA COMUNA DE CHONCHI</t>
  </si>
  <si>
    <t>CONSERVACION CAMINOS NO ENROLADOS SECTORES LAS CASCADAS, CARRIL Y LA GRUTA., PUERTO OCTAY</t>
  </si>
  <si>
    <t>REPOSICION CAMIÓN RECOLECTOR DE RESIDUOS SÓLIDOS EN LA COMUNA DE FRUTILLAR</t>
  </si>
  <si>
    <t>PPTO 2023</t>
  </si>
  <si>
    <t>REPOSICION BUS DE PASAJEROS COMUNA DE PUERTO OCTAY</t>
  </si>
  <si>
    <t>REPOSICION VEHICULOS MUNICIPALES DEPARTAMENTO SALUD PUERTO OCTAY</t>
  </si>
  <si>
    <t>106/16-01-2023</t>
  </si>
  <si>
    <t xml:space="preserve">VEHICULOS </t>
  </si>
  <si>
    <t>ADQUISICION AMBULANCIA PARA CONSULTORIO GENERAL RURAL DE TEGUALDA, COMUNA DE FRESIA</t>
  </si>
  <si>
    <t>188/27-01-2023</t>
  </si>
  <si>
    <t>190/30-01-2023</t>
  </si>
  <si>
    <t>NOMBRE DE LA INICIATIVA</t>
  </si>
  <si>
    <t>¿ES REEVALUACION?</t>
  </si>
  <si>
    <t>254/03-01-2023</t>
  </si>
  <si>
    <t>REPOSICION EQUIPOS LUMINARIAS PUBLICAS COMUNA DE FRESIA</t>
  </si>
  <si>
    <t>REPOSICION Y ADQUISICIÓN DE VEHÍCULOS Y MAQUINARIA DE CONSERVACIÓN DE CAMINOS VECINALES</t>
  </si>
  <si>
    <t>CONSERVACION CALLE ELEUTERIO RAMÍREZ, OSORNO</t>
  </si>
  <si>
    <t>CONSERVACION CAMINOS NO ENROLADOS ISLA QUEULLÍN</t>
  </si>
  <si>
    <t>CONSERVACION CAMINOS MECHUQUE Y CHENIAO-VOIGUE</t>
  </si>
  <si>
    <t>ANALISIS CONSTRUCCION POLITICA REGIONAL PARA LA SOSTENIBILIDAD HIDRICA, REG. LOS LAGOS</t>
  </si>
  <si>
    <t>REPOSICION EQUIPOS Y EQUIPAMIENTO CESFAM QUINTO CENTENARIO</t>
  </si>
  <si>
    <t>ADQUISICION CAMIÓN MULTIPROPÓSITO COMUNA DE RIO NEGRO</t>
  </si>
  <si>
    <t>562/07-03-2023</t>
  </si>
  <si>
    <t>563/07-03-2023</t>
  </si>
  <si>
    <t>REEV REPOSICION 2 AMBUL. EMERG. BASICA Y FURGON TRASLADO PROF. DE SALUD, COMUNA HUALAIHUE</t>
  </si>
  <si>
    <t>CONSERVACION CAMINOS NO ENROLADOS ISLA DE TRANQUI, COMUNA DE QUEILEN</t>
  </si>
  <si>
    <t>ES REEVALUACIÓN</t>
  </si>
  <si>
    <t xml:space="preserve">RECOMENDADOS </t>
  </si>
  <si>
    <t>RECOMENDADOS OCT</t>
  </si>
  <si>
    <t>RECOMENDADOS SEP</t>
  </si>
  <si>
    <t>ADQUISICION Y REPOSICIÓN DE MAQUINARIAS PARA DEPARTAMENTO DE OPERACIONES, COMUNA DE DALCAHUE</t>
  </si>
  <si>
    <t>818/22-03-2023</t>
  </si>
  <si>
    <t>ADQUISICION DE UN CAMIÓN MULTIPROPÓSITO, CURACO DE VÉLEZ</t>
  </si>
  <si>
    <t>REPOSICION CAMIONES COMPACTADORES RSD, COMUNA OSORNO</t>
  </si>
  <si>
    <t>SECTOR</t>
  </si>
  <si>
    <t>TRANSPORTE</t>
  </si>
  <si>
    <t>RECURSOS NATURALES Y MEDIO AMBIENTE</t>
  </si>
  <si>
    <t>MULTISECTORIAL</t>
  </si>
  <si>
    <t>RECURSOS HIDRICOS</t>
  </si>
  <si>
    <t>ADQUISICION EQUIPOS Y VEHÍCULOS PARA OPERACION DE GALPÓN DE ACOPIO EN RELLENO SANITARIO</t>
  </si>
  <si>
    <t>EQ. RSD</t>
  </si>
  <si>
    <t>ADQUISICION CAMION RECOLECTOR Y CONTENEDORES DE RSD, COMUNA CURACO DE VELEZ</t>
  </si>
  <si>
    <t>1.056/05-04-2023</t>
  </si>
  <si>
    <t>EDUCACION, CULTURA Y PATRIMONIO</t>
  </si>
  <si>
    <t>SALUD / BAJA COMPLEJIDAD</t>
  </si>
  <si>
    <t>ADQUISICION VEHÍCULO PARA TRASLADO DE PACIENTES DIALIZADOS, COMUNA DE FRUTILLAR</t>
  </si>
  <si>
    <t>REPOSICION EQUIPOS UNIDAD DE ENDOSCOPIA HOSPITAL PUERTO MONTT</t>
  </si>
  <si>
    <t>ADQUISICION LANCHA AMBULANCIA COMUNA DE CALBUCO</t>
  </si>
  <si>
    <t>1.197/18-04-2023</t>
  </si>
  <si>
    <t>737/16-03-2023</t>
  </si>
  <si>
    <t>1.289/21-04-2023</t>
  </si>
  <si>
    <t>ADQUISICION CONTENEDORES RSD Y RD, CAMION DE CARGA LATERAL Y CAMION CARGA TRASERA</t>
  </si>
  <si>
    <t>RSD CAMIÓN Y CONTENEDOR</t>
  </si>
  <si>
    <t xml:space="preserve">DIALIZADOS </t>
  </si>
  <si>
    <t>REPOSICION DE 4 AMBULANCIAS DE EMERGENCIA Y 1 CAMIONETA DE AVANZADA PARA SAMU PUERTO MONTT</t>
  </si>
  <si>
    <t>1.569/08-05-2023</t>
  </si>
  <si>
    <t>REPOSICION EQUIPOS PARA CTI COMUNA DE FUTALEUFÚ</t>
  </si>
  <si>
    <t>REEV REPOSICION VEHICULOS Y ADQUISICION MAQUINARIA DE ASFALTO PARA LA D.V. REGIÓN DE LOS LAGOS</t>
  </si>
  <si>
    <t>REPOSICION DE MAQUINA EXCAVADORA, PUERTO OCTAY</t>
  </si>
  <si>
    <t>1.648/11-05-2023</t>
  </si>
  <si>
    <t>REEV ADQUISICION EQUIPAMIENTO PABELLÓN HOSPITAL DE CALBUCO</t>
  </si>
  <si>
    <t>1.800/19-05-2023</t>
  </si>
  <si>
    <t>HUALAIHUÉ</t>
  </si>
  <si>
    <t>FUTALEUFÚ</t>
  </si>
  <si>
    <t>CURACO DE VÉLEZ</t>
  </si>
  <si>
    <t>QUEILÉN</t>
  </si>
  <si>
    <t>MUNICIPALIDAD HUALAIHUÉ</t>
  </si>
  <si>
    <t>MUNICIPALIDAD FUTALEUFÚ</t>
  </si>
  <si>
    <t>MUNICIPALIDAD QUELLÓN</t>
  </si>
  <si>
    <t>REEV REPOSICION EQUIPOS DE ALUMBRADO PUBLICO CON TECNOLOGIA LED COMUNA DE MAULLÍN</t>
  </si>
  <si>
    <t>REPOSICION Y ADQUISICION DE VEHICULOS Y MAQUINARIAS MUNICIPALES, COMUNA DE FUTALEUFÚ</t>
  </si>
  <si>
    <t>ACTUALIZACION ESTUDIOS PREVIOS PLAN REGULADOR COMUNAL DE QUELLÓN</t>
  </si>
  <si>
    <t>ADQUISICION MAQUINARIA MUNICIPAL PARA MANTENCION DE CAMINOS RURALES, QUELLÓN</t>
  </si>
  <si>
    <t>MUNICIPALIDAD RÍO NEGRO</t>
  </si>
  <si>
    <t>MUNICIPALIDAD QUEILÉN</t>
  </si>
  <si>
    <t>MUNICIPALIDAD CURACO DE VÉLEZ</t>
  </si>
  <si>
    <t>MUNICIPALIDAD PUQUELDÓN</t>
  </si>
  <si>
    <t>1.978/30-05-2023</t>
  </si>
  <si>
    <t>ENERGÍA/ALUMBRADO PÚBLICO</t>
  </si>
  <si>
    <t xml:space="preserve">ADQUISICION VEHÍCULOS AÉREOS NO TRIPULADOS DRONES Y ACCESORIOS </t>
  </si>
  <si>
    <t>2.004/01-06-2023</t>
  </si>
  <si>
    <t>2.042/06-06-2023</t>
  </si>
  <si>
    <t>DRONES</t>
  </si>
  <si>
    <t>1.977/30-05-2023</t>
  </si>
  <si>
    <t>ADQUISICION 150 CONTENEDORES PARA LA DISPOSICION TRANSITORIA DE RSD, SAN JUAN DE LA COSTA</t>
  </si>
  <si>
    <t>EDUCACION, CULTURA Y PATRIMONIO / EDUCACION PREBASICA</t>
  </si>
  <si>
    <t>REEV REPOSICION CAMIONES Y MAQUINARIAS - MUNICIPALIDAD DE PUERTO MONTT</t>
  </si>
  <si>
    <t>REEV REPOSICION CAMIONES TOLVA Y ADQUISICION EXCAVADORA, COMUNA DE CHAITEN</t>
  </si>
  <si>
    <t>EDUCACION, CULTURA Y PATRIMONIO / EDUCACION BASICA Y MEDIA</t>
  </si>
  <si>
    <t>CONSERVACION DE ACERAS CENTRO CÍVICO PUERTO MONTT</t>
  </si>
  <si>
    <t>CONSERVACION INTEGRAL MERCADO MUNICIPAL PRESIDENTE IBÁÑEZ</t>
  </si>
  <si>
    <t>2.381/29-06-2023</t>
  </si>
  <si>
    <t>2.403/30-06-23</t>
  </si>
  <si>
    <t>2.404/30-06-23</t>
  </si>
  <si>
    <t>ADQUISICION MATERIAL DIDÁCTICO PARA EDUCACIÓN BÁSICA ESCUELAS COMUNA DE PUYEHUE</t>
  </si>
  <si>
    <t>REPOSICION ECÓGRAFOS HOSPITALES DE FRUTILLAR, MAULLÍN, CALBUCO, FRESIA Y CESFAM RÍO NEGRO</t>
  </si>
  <si>
    <t>VIVIENDA Y DESARROLLO URBANO / DESARROLLO URBANO</t>
  </si>
  <si>
    <t>2.538/17-07-2023</t>
  </si>
  <si>
    <t>2.539/17-07-2023</t>
  </si>
  <si>
    <t>CONSERVACION DE CAMINOS NO ENROLADOS DE 5 SECTORES RURALES</t>
  </si>
  <si>
    <t>MERCADO</t>
  </si>
  <si>
    <t>REEV DIAGNOSTICO ESTUDIO Y CARACTERIZACIÓN DE LOS RSD Y SU GESTIÓN EN ZONAS DE REZAGO</t>
  </si>
  <si>
    <t>REEV REPOSICION BUSES CORPORACION MUNICIPAL, CURACO DE VELEZ</t>
  </si>
  <si>
    <t>2.813/26-07-2023</t>
  </si>
  <si>
    <t>REEV REPOSICION CONTENEDORES PARA RESIDUOS SOLIDOS DOMICILIARIOS EN LA COMUNA DE PUERTO MONTT</t>
  </si>
  <si>
    <t>3.041/08-08-2023</t>
  </si>
  <si>
    <t>SALUD / SALUD PUBLICA</t>
  </si>
  <si>
    <t>CONSERVACION 17 CAMINOS NO ENROLADOS 7 SECTORES, COMUNA DE FRESIA</t>
  </si>
  <si>
    <t>CONSERVACION CALLES COMUNA DE PUERTO MONTT</t>
  </si>
  <si>
    <t>REEV CONSERVACION CAMINOS NO ENROLADOS, COMUNA DE DALCAHUE</t>
  </si>
  <si>
    <t>REPOSICION ECÓGRAFOS HOSPITALES DE FUTALEUFÚ, CHAITEN Y PALENA</t>
  </si>
  <si>
    <t>EQUIPAMIENTO PABELLON HOSPITAL DE FRUTILLAR</t>
  </si>
  <si>
    <t>ADQUISICION EQUIPAMIENTO OFTALMOLOGIA, PROVINCIAS DE LLANQUIHUE Y PALENA</t>
  </si>
  <si>
    <t>ADQUISICION EQUIPO MAMOGRAFO HOSPITAL DE LLANQUIHUE</t>
  </si>
  <si>
    <t>ADQUISICION EQUIPAMIENTO COMPLEMENTARIO PABELLON CALBUCO</t>
  </si>
  <si>
    <t>CONSERVACION DE CAMINOS NO ENROLADOS DE 4 SECTORES RURALES COMUNA DE FUTALEUFU</t>
  </si>
  <si>
    <t>3.179/22-08-2023</t>
  </si>
  <si>
    <t>CONSERVACION 9 CAMINOS NO ENROLADOS 7 SECTORES, COMUNA DE FRESIA</t>
  </si>
  <si>
    <t>CONSERVACION CAMPUS CHINQUIHUE PUERTO MONTT ULAGOS</t>
  </si>
  <si>
    <t>CONSERVACION CAMPUS CHUYACA OSORNO ULAGOS</t>
  </si>
  <si>
    <t>REPOSICION CAMIONES TOLVA DE LA DIRECCION DE VIALIDAD, PROVINCIA DE OSORNO</t>
  </si>
  <si>
    <t>REPOSICION CAMIONES TOLVA DE LA DIRECCION DE VIALIDAD, PROVINCIA DE PALENA</t>
  </si>
  <si>
    <t>REPOSICION CAMIONES TOLVA DE LA DIRECCION DE VIALIDAD,PROVINCIA DE CHILOE</t>
  </si>
  <si>
    <t>REPOSICION CAMIONES TOLVA DE LA DIRECCION DE VIALIDAD,PROVINCIA DE LLANQUIHUE</t>
  </si>
  <si>
    <t>REPOSICION VEHICULOS Y ADQUISICION MAQUINARIA DE ASFALTO PARA LA D. V., PROVINCIA DE CHILOE</t>
  </si>
  <si>
    <t>3.177/22-08-2023</t>
  </si>
  <si>
    <t>SALUD / ALTA COMPLEJIDAD</t>
  </si>
  <si>
    <t>3.233/28-08-2023</t>
  </si>
  <si>
    <t>3.232/28-08-2023</t>
  </si>
  <si>
    <t>3.291/29-08-2023</t>
  </si>
  <si>
    <t>3.290/29-08-2023</t>
  </si>
  <si>
    <t>REPOSICION REPOSICIÓN EQUIPOS PLANTA DE AGUA PORTÁTIL HOSPITAL PUERTO MONTT</t>
  </si>
  <si>
    <t>REPOSICION RECAMBIO DE EQUIPOS DE HEMODIÁLISIS PARA LA UNIDAD DE NEFROLOGÍA Y DIÁLISIS HPM</t>
  </si>
  <si>
    <t>ARI 2024</t>
  </si>
  <si>
    <t>3.373/05-09-2023</t>
  </si>
  <si>
    <t>3.374/05-09-2023</t>
  </si>
  <si>
    <t>3.375/05-09-2023</t>
  </si>
  <si>
    <t>3.376/05-09-2023</t>
  </si>
  <si>
    <t>3.340/31-08-2023</t>
  </si>
  <si>
    <t>REPOSICION EQUIPOS DEL SERVICIO DE LAVANDERIA HOSPITAL DE FRESIA</t>
  </si>
  <si>
    <t>REEV REPOSICION MAQUINARIA MUNICIPAL COMUNA QUINCHAO</t>
  </si>
  <si>
    <t>3.505/12-09-2023</t>
  </si>
  <si>
    <t>3.542/20-09-2023</t>
  </si>
  <si>
    <t xml:space="preserve">RECURSOS NATURALES Y MEDIO AMBIENTE </t>
  </si>
  <si>
    <t>CONSERVACION GIMNASIO MUNICIPAL DE PUERTO OCTAY</t>
  </si>
  <si>
    <t>S/C</t>
  </si>
  <si>
    <t>3.646/27-09-2023</t>
  </si>
  <si>
    <t>3.643/27-09-2023</t>
  </si>
  <si>
    <t>3.661/28-09-2023</t>
  </si>
  <si>
    <t>3.724/02-10-2023</t>
  </si>
  <si>
    <t>REPOSICION AUTOCLAVE E INSTALACIÓN DE SISTEMA DE CLIMATIZACIÓN PARA SEDILE-CEFE HCASTRO</t>
  </si>
  <si>
    <t>SERVICIO SALUD CHILOÉ</t>
  </si>
  <si>
    <t>REPOSICION MOBILIARIO CLÍNICO EN ATENCIÓN CERRADA DEL HOSPITAL DE CASTRO</t>
  </si>
  <si>
    <t>ADQUISICION DE AERONAVES REMOTAMENTE PILOTADAS PARA LA ZONA CARABINEROS LOS LAGOS</t>
  </si>
  <si>
    <t>3.814/06-10-2023</t>
  </si>
  <si>
    <t>CONSERVACION DE 22 KM DE CAMINOS VECINALES, COMUNA DE CALBUCO</t>
  </si>
  <si>
    <t>3.861/13-10-2023</t>
  </si>
  <si>
    <t>3.862/13-10-2023</t>
  </si>
  <si>
    <t>RENOVACIÓN DE VEHÍCULOS DE POLICÍA MARÍTIMA PARA LA GOBERNACIÓN MARÍTIMA DE P. MONTT Y SUS CAPITANÍAS DE PUERTO</t>
  </si>
  <si>
    <t>RENOVACIÓN DE VEHÍCULOS DE POLICÍA MARÍTIMA PARA LA GOBERNACIÓN MARÍTIMA DE CASTRO Y SUS CAPITANÍAS DE PUERTO</t>
  </si>
  <si>
    <t>ARMADA DE CHILE</t>
  </si>
  <si>
    <t>S/CÓDIGO</t>
  </si>
  <si>
    <t>REPOSICION 4 CAMIONETAS Y UN MINIBUS Y ADQUISICION 3 CAMIONETAS, COMUNA DE CHAITEN</t>
  </si>
  <si>
    <t>3.891/16-10-2023</t>
  </si>
  <si>
    <t>CONSERVACION CAMINOS NO ENROLADOS VARIOS SECTORES RURALES, COMUNA PUERTO OCTAY</t>
  </si>
  <si>
    <t>REPOSICION MAQUINARIA PARA MANTENCION DE CAMINOS VECINALES, COMUNA PUQUELDON</t>
  </si>
  <si>
    <t>4.029/30-10-2023</t>
  </si>
  <si>
    <t>4.033/30-10-2023</t>
  </si>
  <si>
    <t>4.030/30-10-2023</t>
  </si>
  <si>
    <t>4.031/30-10-2023</t>
  </si>
  <si>
    <t>EDUCACION, CULTURA Y PATRIMONIO / EDUCACION SUPERIOR</t>
  </si>
  <si>
    <t>4.032/30-10-2023</t>
  </si>
  <si>
    <t>CONSERVACION DE DIVERSOS CAMINOS NO ENROLADOS ETAPA 2, CURACO DE VÉLEZ</t>
  </si>
  <si>
    <t>ADQUISICION MAQUINARIA VIAL, COMUNA QUEMCHI</t>
  </si>
  <si>
    <t>4.065/30-10-2023</t>
  </si>
  <si>
    <t>4.068/30-10-23</t>
  </si>
  <si>
    <t>4.067/30-10-2023</t>
  </si>
  <si>
    <t>REPOSICION ADQUISICION SISTEMA MISIÓN CRITICA DE RADIOCOMUNICACIONES GENDARMERIA</t>
  </si>
  <si>
    <t xml:space="preserve">GENDARMERIA </t>
  </si>
  <si>
    <t>REPOSICION DE VEHÍCULOS - MAQUINARIAS Y ADQUISICIÓN DE RETROEXCAVADORA, PARA RSD</t>
  </si>
  <si>
    <t>REEV REPOSICION EQUIPAMIENTO SERVICIOS DE HOSPITALIZACIÓN HOSPITAL PUERTO MONTT, SERVICIO DE SALUD DEL RELONCAVÍ</t>
  </si>
  <si>
    <t>CONSERVACION FERIA PEDRO AGUIRRE CERDA OSORNO</t>
  </si>
  <si>
    <t>4.354/27-11-2023</t>
  </si>
  <si>
    <t>ADQUISICION ADQUISICIÓN CAMION MULTIPROPOSITO PARA RSD, PODAS Y LUMINARIAS</t>
  </si>
  <si>
    <t>RENOVACIÓN DE VEHÍCULOS TIPO MOTOR HOME DE POLICÍA MARÍTIMA DE PUERTO MONTT Y SUS CAPITANÍAS DE PUERTO DEPENDIENTES</t>
  </si>
  <si>
    <t>REEV ADQUISICION CAMIONETAS MUNICIPALES PARA EL TRASLADO DE FUNCIONARIOS, HUALAIHUÉ</t>
  </si>
  <si>
    <t>REEV CONSERVACION VEREDAS COMUNA DE LOS MUERMOS</t>
  </si>
  <si>
    <t>REEV CONSERVACION CAMINOS NO ENROLADOS 6 SECTORES RURALES DE LA COMUNA DE FRUTILLAR</t>
  </si>
  <si>
    <t>4.669/29-12-23</t>
  </si>
  <si>
    <t>ADQUISICION MAQUINARIA VIAL, COMUNA QUEMCHI.</t>
  </si>
  <si>
    <t>PPTO 2024</t>
  </si>
  <si>
    <t>Feriados 2024</t>
  </si>
  <si>
    <t>CONSERVACION DE CAMINOS NO ENROLADOS DE 8 SECTORES RURALES, CURACO DE VÉLEZ</t>
  </si>
  <si>
    <t>REEV ANALISIS CONSTRUCCION POLITICA REGIONAL PARA LA SOSTENIBILIDAD HIDRICA, REG. LOS LAGOS</t>
  </si>
  <si>
    <t>REPOSICION MOBILIARIO ESCOLAR PARA TRES EE DEL SLEP, COMUNA DE FRESIA</t>
  </si>
  <si>
    <t>SLEP LLANQUIHUE</t>
  </si>
  <si>
    <t>ADQUISICION CAMIÓN ALJIBE PARA ABASTECIMIENTO DE AGUA POTABLE, COMUNA DE FRESIA.</t>
  </si>
  <si>
    <t>ADQUISICION MAQUINARIA PARA CONSERVACIÓN, MEJORAMIENTO Y APERTURA DE CAMINOS RURALES, SAN PABLO</t>
  </si>
  <si>
    <t>REEV CONSERVACION ACERAS DIVERSOS SECTORES DE PUERTO VARAS</t>
  </si>
  <si>
    <t>ADQUISICION EQUIPO Y EQUIPAMIENTO HABILITACION DEL CLUB INFANTIL HOSPITAL PUERTO MONTT</t>
  </si>
  <si>
    <t>REEV CONSERVACION 15 CAMINOS NO ENROLADOS COMUNA DE PURRANQUE</t>
  </si>
  <si>
    <t>CONSERVACION CALLE BERNARDO O'HIGGINS DE LA CIUDAD DE CHONCHI</t>
  </si>
  <si>
    <t>REEV CONSERVACION 7 CAMINOS VECINALES, COMUNA DE MAULLIN</t>
  </si>
  <si>
    <t>348/29-02-2024</t>
  </si>
  <si>
    <t>349/29-02-2024</t>
  </si>
  <si>
    <t>360/04-03-2024</t>
  </si>
  <si>
    <t>CONSERVACION DE 16 CAMINOS NO ENROLADOS EN SECTORES RURALES, COMUNA DE PUERTO OCTAY</t>
  </si>
  <si>
    <t>ANÁLISIS POLÍTICA DE DISCAPACIDAD E INCLUSIÓN SOCIAL, REGIÓN DE LOS LAGOS.</t>
  </si>
  <si>
    <t>429/12-03-2024</t>
  </si>
  <si>
    <t>REPOSICIÓN EQUIPOS Y MAQUINARIA PARA CTI COMUNA DE FUTALEUFÚ</t>
  </si>
  <si>
    <t>455/14-03-2024</t>
  </si>
  <si>
    <t>RECURSOS NATURALES Y MEDIO AMBIENTE / MEDIO AMBIENTE</t>
  </si>
  <si>
    <t>VIVIENDA Y DESARROLLO URBANO</t>
  </si>
  <si>
    <t>REEV CONSERVACION CALZADAS SECTOR CENTRO, OSORNO</t>
  </si>
  <si>
    <t>REPOSICION AMBULANCIAS COMUNA DE CHAITEN</t>
  </si>
  <si>
    <t>612/08-04-2024</t>
  </si>
  <si>
    <t>635/11-04-2024</t>
  </si>
  <si>
    <t>REPOSICION DOS EXCAVADORAS Y TRES CAMIONES TOLVAS PARA LA I. MUNICIPALIDAD ANCUD</t>
  </si>
  <si>
    <t>REEV CONSERVACION VEREDAS SECTOR NORTE COMUNA DE PURRANQUE</t>
  </si>
  <si>
    <t>CONSERVACION GIMNASIO MUNICIPAL DE FRUTILLAR</t>
  </si>
  <si>
    <t>MULTIPROPÓSITO</t>
  </si>
  <si>
    <t>REPOSICION 1 TRACTOCAMION, 1 CAMA BAJA Y 1 BATEA PARA LA I. MUNICIPALIDAD DE ANCUD</t>
  </si>
  <si>
    <t>REPOSICION EQUIPOS DE RADIO COMUNICACIONES INCENDIOS FORESTALES Y ASP CONAF LOS LAGOS</t>
  </si>
  <si>
    <t>CONSERVACION GIMNASIO ESCUELA HUILLINCO, COMUNA DE CHONCHI</t>
  </si>
  <si>
    <t>ADQUISICION Y REPOSICION SISTEMA CRITICA DE RADIOCOMUNICACIONES GENDDARMERIA</t>
  </si>
  <si>
    <t>Comuna</t>
  </si>
  <si>
    <t>Puerto Montt</t>
  </si>
  <si>
    <t>Puerto Varas</t>
  </si>
  <si>
    <t>Cochamó</t>
  </si>
  <si>
    <t>Calbuco</t>
  </si>
  <si>
    <t>Maullín</t>
  </si>
  <si>
    <t>Los Muermos</t>
  </si>
  <si>
    <t>Fresia</t>
  </si>
  <si>
    <t>Llanquihue</t>
  </si>
  <si>
    <t>Frutillar</t>
  </si>
  <si>
    <t>Prov. Llanquihue</t>
  </si>
  <si>
    <t>Ancud</t>
  </si>
  <si>
    <t>CHILOÉ</t>
  </si>
  <si>
    <t>Castro</t>
  </si>
  <si>
    <t>Quellón</t>
  </si>
  <si>
    <t>Chonchi</t>
  </si>
  <si>
    <t>Quinchao</t>
  </si>
  <si>
    <t>Quemchi</t>
  </si>
  <si>
    <t>Dalcahue</t>
  </si>
  <si>
    <t>Queilén</t>
  </si>
  <si>
    <t>Puqueldón</t>
  </si>
  <si>
    <t>Curaco de Vélez</t>
  </si>
  <si>
    <t>Prov. Chiloé</t>
  </si>
  <si>
    <t>Osorno</t>
  </si>
  <si>
    <t>San Pablo</t>
  </si>
  <si>
    <t>Puyehue</t>
  </si>
  <si>
    <t>Puerto Octay</t>
  </si>
  <si>
    <t>Purranque</t>
  </si>
  <si>
    <t>Río Negro</t>
  </si>
  <si>
    <t>San Juan de la Costa</t>
  </si>
  <si>
    <t>Prov. Osorno</t>
  </si>
  <si>
    <t>Palena</t>
  </si>
  <si>
    <t>Chaitén</t>
  </si>
  <si>
    <t>Hualaihué</t>
  </si>
  <si>
    <t>Futaleufú</t>
  </si>
  <si>
    <t>Prov. Palena</t>
  </si>
  <si>
    <t>Regional</t>
  </si>
  <si>
    <t>REEV REPOSICION BUS DE PASAJEROS COMUNA DE PUERTO OCTAY</t>
  </si>
  <si>
    <t>1.075/31-05-2024</t>
  </si>
  <si>
    <t>1.074/31-05-2024</t>
  </si>
  <si>
    <t>ADQUISICION DE EQUIPOS PARA CONTROL ACCESO Y SEGURIDAD PERIMETRAL CCP OSORNO</t>
  </si>
  <si>
    <t>REPOSICION 4 AMB. EMERGENCIA BASICA HOSPITALES PALENA FUTALEUFU CHAITEN Y CONS RIO NEGRO H</t>
  </si>
  <si>
    <t>PROV. PALENA</t>
  </si>
  <si>
    <t>ADQUISICION CAMIÓN ALJIBE, COMUNA DE LOS MUERMOS</t>
  </si>
  <si>
    <t>REPOSICION VEHICULO RECICLAJE MUNICIPAL, CURACO DE VELEZ</t>
  </si>
  <si>
    <t>CONSERVACION DE CAMINOS ISLAS TAUCULON, AULIN Y BUTACHAUQUES, COMUNA DE QUEMCHI.</t>
  </si>
  <si>
    <t>REPOSICION REPOSICION DE CAMION RECOLECTOR Y DE CONTENEDORES DE RSD</t>
  </si>
  <si>
    <t>ADQUISICION REPOSICIÓN Y ADQUISICIÓN DE CAMIÓN ALJIBE PARA AGUA POTABLE</t>
  </si>
  <si>
    <t>CONSERVACION CAMINOS VECINALES DE ÑANCUÁN CHANCHAN, SAN FLORENTINO Y QUISQUELELFUN, RÍO NEGRO</t>
  </si>
  <si>
    <t>ADQUISICION MAQUINARIA MUNICIPAL PARA MANTENCION DE CAMINOS RURALES, QUELLON</t>
  </si>
  <si>
    <t>1.485/08-07-2024</t>
  </si>
  <si>
    <t>ADQUISICION PLANTA POTABILIZADORA MOVIL, COMUNA PUERTO OCTAY</t>
  </si>
  <si>
    <t>CONSERVACION DE CAMINOS NO ENROLADOS DE 4 SECTORES RURALES, CURACO DE VELEZ</t>
  </si>
  <si>
    <t>REPOSICION EQUIPO MAMOGRAFO HOSPITAL CALBUCO</t>
  </si>
  <si>
    <t>1.536/12-07-2024</t>
  </si>
  <si>
    <t>REEV ADQUISICION DE VEHICULOS MUNICIPALES PARA LA COMUNA DE COCHAMÓ</t>
  </si>
  <si>
    <t>1.584/19-07-2024</t>
  </si>
  <si>
    <t>MULTISECTORIAL / INTERSUBSECTORIAL MULTISECTOR</t>
  </si>
  <si>
    <t>REPOSICION REPOSICIÓN 8 CENTRALES DE MONITOREO + MONITORES UPC ADULTO, HPM,SSDR</t>
  </si>
  <si>
    <t>CONSERVACION CAMINOS NO ENROLADOS ISLA PULUQUI</t>
  </si>
  <si>
    <t>1.623/25-07-2024</t>
  </si>
  <si>
    <t>REEV ADQUISICION VEHÍCULOS POLICIALES PARA PATRULLAS ANTI-ABIGEATO PROVINCIA LLANQUIHUE</t>
  </si>
  <si>
    <t>ADQUISICION INMUEBLE PARA DIRECCIÓN DE SEGURIDAD PÚBLICA, OSORNO</t>
  </si>
  <si>
    <t>REPOSICION Y ADQUISICIÓN DE CONTENEDORES PARA RETIRO DE RSD, COMUNA DE CHONCHI</t>
  </si>
  <si>
    <t>ARI 2025</t>
  </si>
  <si>
    <t xml:space="preserve">INMUEBLE </t>
  </si>
  <si>
    <t>GENDARMERIA</t>
  </si>
  <si>
    <t>RECICLAJE RSD</t>
  </si>
  <si>
    <t>POTABILIZADORA AP</t>
  </si>
  <si>
    <t>REPOSICION EQUIPOS RAYOS X OSTEOPULMONARES HOSPITALES DE FUTALEUFU, CHAITEN Y PALENA</t>
  </si>
  <si>
    <t>REPOSICION Y ADQUISICION MAQUINARIA MUNICIPAL, CURACO DE VELEZ</t>
  </si>
  <si>
    <t>ADQUISICION MAQUINARIA PARA MEJORAMIENTO DE CAMINOS VECINALES, COMUNA DE HUALAIHUÉ</t>
  </si>
  <si>
    <t>1.831/12-08-2024</t>
  </si>
  <si>
    <t>REEV CONSERVACION CAMINOS NO ENROLADOS DE 8 SECTORES RURALES, COMUNA DE CHONCHI</t>
  </si>
  <si>
    <t>ADQUISICION CAMION RECOLECTOR RSD SAN JUAN DE LA COSTA</t>
  </si>
  <si>
    <t>REPOSICION VEHICULOS DE SALUD MUNICIPAL, PUERTO MONTT</t>
  </si>
  <si>
    <t>REPOSICION DE VEHÍCULOS TIPO CAMIONETAS CONAF</t>
  </si>
  <si>
    <t>REPOSICION VEHICULOS TRASLADO DE FUNCIONARIOS PARA LOS HOSPITALES DE LA PROVINCIA DE PALENA</t>
  </si>
  <si>
    <t>REPOSICION CAMIÓN RECOLECTOR DE RESIDUOS DOMICILIARIOS, COMUNA DE MAULLÍN</t>
  </si>
  <si>
    <t>REEV CONSERVACION ACERAS SECTOR PUERTO CHICO DE PUERTO VARAS</t>
  </si>
  <si>
    <t>ANALISIS PLAN REGULADOR INTERCOMUNAL DE LOS LAGOS</t>
  </si>
  <si>
    <t>ADQUISICION VEHÍCULO MUNICIPAL, AMBULANCIA DEPARTAMENTO SALUD SAN JUAN DE LA COSTA</t>
  </si>
  <si>
    <t>REPOSICION CAMIONES RECOLECTORES DE BASURA Y ADQUISICIÓN CONTENEDORES, LOS MUERMOS</t>
  </si>
  <si>
    <t>CONSERVACION VEREDAS SECTOR AGUAS ANDINAS COMUNA DE PURRANQUE</t>
  </si>
  <si>
    <t>REEV CONSERVACION DE CAMINOS NO ENROLADOS DE 5 SECTORES RURALES</t>
  </si>
  <si>
    <t>2.267/23-09-2024</t>
  </si>
  <si>
    <t>SALUD VEH.</t>
  </si>
  <si>
    <t>REPOSICION LANCHA AMBULANCIA COMUNA DE QUEILEN</t>
  </si>
  <si>
    <t>DIPRES (D.DIG)</t>
  </si>
  <si>
    <t>ADQUISICIÓN CAMIÓN ¾, MINICARGADOR FRONTAL Y MAQUINARIA PARA LA OPERACIÓN DE RSD</t>
  </si>
  <si>
    <t>CONSERVACION CAMINOS NO ENROLADOS ISLA CHAULINEC, COMUNA DE QUINCHAO</t>
  </si>
  <si>
    <t>REPOSICION DE 6 AMBULANCIAS DE EMERGENCIA BASICA HOSPITALES DE LA PROVINCIA DE LLANQUIHUE</t>
  </si>
  <si>
    <t>PROV. LLANQUIHUE</t>
  </si>
  <si>
    <t>2.277/11-10-2024</t>
  </si>
  <si>
    <t>2.476/11-10-2024</t>
  </si>
  <si>
    <t>REPOSICION DE DOS CAMIONES RSD Y ADQUISICION DE UN CAMION RSD, COMUNA DE LLANQUIHUE</t>
  </si>
  <si>
    <t>REEV CONSERVACION CAMINOS MECHUQUE Y CHENIAO-VOIGUE</t>
  </si>
  <si>
    <t>ADQUISICION DE CUATRIMOTOS PARA LA ZONA DE CARABINEROS LOS LAGOS</t>
  </si>
  <si>
    <t>2.505/16-10-2024</t>
  </si>
  <si>
    <t>2.550/18-10-2024</t>
  </si>
  <si>
    <t>ADQUISICION REPOSICIÓN VEHÍCULOS OPERATIVOS PDI, PROVINCIA DE CHILOE 2024</t>
  </si>
  <si>
    <t>PROV. CHILOÉ</t>
  </si>
  <si>
    <t>CONSERVACION POLIDEPORTIVO ARENA PUERTO MONTT</t>
  </si>
  <si>
    <t>2.645/25-10-2024</t>
  </si>
  <si>
    <t>2.642/25-10-2024</t>
  </si>
  <si>
    <t>2.644/25-10-2024</t>
  </si>
  <si>
    <t>2.643/25-10-2024</t>
  </si>
  <si>
    <t>ADQUISICION CAMIÓN ALJIBE PARA SECTORES RURALES, COMUNA DE MAULLÍN</t>
  </si>
  <si>
    <t>REPOSICIÓN DE EQUIPO RESONADOR MAGNÉTICO, HPM, SSDR</t>
  </si>
  <si>
    <t>2.706/04-11-2024</t>
  </si>
  <si>
    <t>2.707/04-11-2024</t>
  </si>
  <si>
    <t>TRANSPORTE / TRANSPORTE CAMINERO</t>
  </si>
  <si>
    <t>REEV CONSERVACION GIMNASIO MUNICIPAL DE RIO PUELO</t>
  </si>
  <si>
    <t>2.735/07-11-2024</t>
  </si>
  <si>
    <t>2.738/07-11-2024</t>
  </si>
  <si>
    <t>2.780/13-11-2024</t>
  </si>
  <si>
    <t>ADQUISICION REPOSICION VEHÍCULOS OPERATIVOS PDI, PROVINCIA DE OSORNO 2024</t>
  </si>
  <si>
    <t>ADQUISICION EQUIPO ESCANEO CORPORAL DE ONDAS MILIMETRICAS PARA CIP CRC PUERTO MONTT</t>
  </si>
  <si>
    <t>SENAME</t>
  </si>
  <si>
    <t>REPOSICION EQUIPO TOMÓGRAFO COMPUTARIZADO, HOSPITAL PUERTO MONTT, SSDR.</t>
  </si>
  <si>
    <t>CONSTRUCCION CONSERVACION CAMINOS NO ENROLADOS EN 9 SECTORES DE LA COMUNA DE PUYEHUE</t>
  </si>
  <si>
    <t>2.979/10-12-2024</t>
  </si>
  <si>
    <t>REEV CONSERVACION CAMINOS NO ENROLADOS 12 SECTORES RURALES DE LA COMUNA DE PUYEHUE</t>
  </si>
  <si>
    <t>3.138/30-12-2024</t>
  </si>
  <si>
    <t>3.141/30-12-2024</t>
  </si>
  <si>
    <t>3.142/30-12-2024</t>
  </si>
  <si>
    <t>3.088/19-12-2024</t>
  </si>
  <si>
    <t>PPTO 2025</t>
  </si>
  <si>
    <t>Feriados 2025</t>
  </si>
  <si>
    <t xml:space="preserve">OBSERVADO </t>
  </si>
  <si>
    <t>NO APLICA</t>
  </si>
  <si>
    <t>ADQUISICION EQUIPOS Y EQUIPAMIENTOS PARA POSTAS DE SALUD RURAL, TERRITORIO CORDILLERA</t>
  </si>
  <si>
    <t>SECTOR (SNI)</t>
  </si>
  <si>
    <t>REEV REPOSICION CAMIÓN RECOLECTOR DE RESIDUOS SÓLIDOS EN LA COMUNA DE FRUTILLAR</t>
  </si>
  <si>
    <t>REPOSICION VEHICULOS MUNICIPALES VARIOS DEPARTAMENTOS, SAN PABLO</t>
  </si>
  <si>
    <t>CONSERVACION GIMNASIO MUNICIPAL DE CASMA</t>
  </si>
  <si>
    <t>REPOSICION VEHÍCULOS MUNICIPALES COMUNA DE FRUTILLAR</t>
  </si>
  <si>
    <t>425/13-03-2025</t>
  </si>
  <si>
    <t xml:space="preserve">DEPORTE </t>
  </si>
  <si>
    <t>REEV CONSERVACION 17 CAMINOS NO ENROLADOS 7 SECTORES, COMUNA DE FRESIA</t>
  </si>
  <si>
    <t>DIRECTEMAR</t>
  </si>
  <si>
    <t>ARMADA</t>
  </si>
  <si>
    <t>FIRMA OBS</t>
  </si>
  <si>
    <t>REPOSICION MAQUINARIA PARA MANTENCION DE CAMINOS RURALES, QUELLON</t>
  </si>
  <si>
    <t>ADQUISICION EQUIPO EQUIPAMIENTO PABELLON HOSPITAL DE FRUTILLAR</t>
  </si>
  <si>
    <t>ADUANAS</t>
  </si>
  <si>
    <t>ADQUISICION UNIDAD DESPLIEGUE POLICIA MARITIMA PARA GOB MARITIMA DE PTO MONTT</t>
  </si>
  <si>
    <t>REPOSICION VEHÍCULOS RECOLECTORES Y ADQUISICIÓN DE CONTENEDORES PARA RSD, COMUNA DE COCHAMÓ</t>
  </si>
  <si>
    <t xml:space="preserve">CHILOÉ </t>
  </si>
  <si>
    <t>RT FIRMA</t>
  </si>
  <si>
    <t>REPOSICION CAMIONETA MUNICIPALIDAD DE CASTRO</t>
  </si>
  <si>
    <t xml:space="preserve">CASTRO </t>
  </si>
  <si>
    <t>1.193/04-06-2025</t>
  </si>
  <si>
    <t xml:space="preserve"> REPOSICION 1 TRACTOCAMION Y 1 BATEA PARA LA I. MUNICIPALIDAD DE ANCUD</t>
  </si>
  <si>
    <t>ADQUISICION Y REPOSICION EQUIPOS Y EQUIPAMIENTO OTORRINOLARINGOLOGIA HOSPITAL BASE OSORNO</t>
  </si>
  <si>
    <t>REPOSICION AMBULANCIAS PROVINCIA DE CHILOE</t>
  </si>
  <si>
    <t xml:space="preserve">PROVINCIAL </t>
  </si>
  <si>
    <t>ACTUALIZACION PLAN REGULADOR COMUNA DE MAULLÍN</t>
  </si>
  <si>
    <t>ADQUISICION DE CAMIONETAS MUNICIPALIDAD DE MAULLIN</t>
  </si>
  <si>
    <t>ADQUISICION Y REPOSICIÓN DE MAQUINARIAS Y VEHICULO PARA ASEO Y ORNATO, FRUTILLAR</t>
  </si>
  <si>
    <t>1.548/08-07-2025</t>
  </si>
  <si>
    <t>REPOSICION BUS MUNICIPAL COMUNA DE DALCAHUE</t>
  </si>
  <si>
    <t>REPOSICION REPOSICIÓN VEHÍCULOS ÁREA SALUD, COMUNA DE DALCAHUE</t>
  </si>
  <si>
    <t>ARI 2026</t>
  </si>
  <si>
    <t>ADQUISICIÓN EQUIPAMIENTO TERAPÉUTICO, TELETÓN PUERTO MONTT</t>
  </si>
  <si>
    <t xml:space="preserve">TELETÓN </t>
  </si>
  <si>
    <t>CONSERVACION VÍAS URBANAS DE PUERTO VARAS</t>
  </si>
  <si>
    <t>CONSERVACION CAMINOS NO ENROLADOS QUIZAS-CHEUQUEMAPU, SAN JUAN DE LA COSTA</t>
  </si>
  <si>
    <t>ADQUISICION REPOSICIÓN DOS CAMIONES TOLVA PARA LA COMUNA DE RÍO NEGRO</t>
  </si>
  <si>
    <t xml:space="preserve">RÍO NEGRO </t>
  </si>
  <si>
    <t xml:space="preserve">MUNICIPALIDAD RÍO NEGRO </t>
  </si>
  <si>
    <t>REPOSICION MAQUINARIA MUNICIPAL</t>
  </si>
  <si>
    <t>CONSERVACION CENTRO SERVICIOS SALUD COMUNAL</t>
  </si>
  <si>
    <t>ADQUISICION Y REPOSICIÓN MAQUINARIA VIAL, COMUNA QUEMCHI.</t>
  </si>
  <si>
    <t>ADQUISICION VEHÍCULO MUNICIPAL, AMBULANCIA DEPARTAMENTO SALUD COMUNA SAN JUAN DE LA COSTA</t>
  </si>
  <si>
    <t>1.753/28-07-2025</t>
  </si>
  <si>
    <t>ADQUISICION DE VEHÍCULOS PARA PATRULLAJE MIXTO SEGURIDAD PÚBLICA, COMUNA DE PUERTO MONTT</t>
  </si>
  <si>
    <t>ADQUISICION FURGONES MUNICIPALES DEPARTAMENTO DE SALUD Y DIDECO SAN PABLO</t>
  </si>
  <si>
    <t>ADQUISICION DE VEHICULO Y MAQUINARIA PESADA PARA LA COMUNA DE CHONCHI</t>
  </si>
  <si>
    <t>REEV REPOSICION MAQUINARIA PARA MANTENCION DE CAMINOS VECINALES, COMUNA PUQUELDON</t>
  </si>
  <si>
    <t>REEV REPOSICION VEHICULOS Y ADQUISICION MAQUINARIA DE ASFALTO PARA LA D. V., PROVINCIA DE CHILOE</t>
  </si>
  <si>
    <t>REPOSICION CAMIONES COMPACTADORES PARA LA RECOLECCIÓN DE RSD</t>
  </si>
  <si>
    <t xml:space="preserve">PURRANQUE </t>
  </si>
  <si>
    <t>REPOSICION TRACTO CAMION CON CAMA BAJA, PUERTO OCTAY</t>
  </si>
  <si>
    <t xml:space="preserve">PUERTO OCTAY </t>
  </si>
  <si>
    <t xml:space="preserve">MUNICIPALIDAD PUERTO OCTAY </t>
  </si>
  <si>
    <t>CONSERVACION CAMINOS N.e. DE SOCOTUÉ, PALENA, S. ANTONIO, S. ALDEA, PISHUINCO y MICHAICAHUÍN</t>
  </si>
  <si>
    <t>ADQUISICION CAMION PLANO MUNICIPALIDAD DE MAULLIN</t>
  </si>
  <si>
    <t>REEV REPOSICION EQUIPOS LUMINARIAS PUBLICAS COMUNA DE FRESIA</t>
  </si>
  <si>
    <t>ADQUISICION CAMIÓN RSD URBANO Y ADQUISICIÓN CONTENEDORES, QUEILEN</t>
  </si>
  <si>
    <t xml:space="preserve">QUEILÉN </t>
  </si>
  <si>
    <t>REEV CONSERVACION DE CAMINOS NO ENROLADOS DE 4 SECTORES RURALES COMUNA DE FUTALEUFU</t>
  </si>
  <si>
    <t>CONSERVACION DE CAMINOS NO ENROLADOS EN SECTOR NORESTE, COMUNA DE CHONCHI</t>
  </si>
  <si>
    <t>REPOSICION REPOSICION CAMIÓN COMPACTADOR PARA LA RECOLECCIÓN DE RSD</t>
  </si>
  <si>
    <t>REPOSICION Y ADQUISICIÓN DE EQUIPOS Y EQUIPAMIENTO PLAN DE CÁNCER DEL HOSPITAL DE CASTRO</t>
  </si>
  <si>
    <t>CONSERVACION ACERAS DIVERSOS SECTORES, COMUNA DE FRESIA</t>
  </si>
  <si>
    <t>ADQUISICION MOTONIVELADORA , RODILLO Y MINI CARGADOR</t>
  </si>
  <si>
    <r>
      <t xml:space="preserve">Camión 1: </t>
    </r>
    <r>
      <rPr>
        <b/>
        <sz val="10"/>
        <rFont val="Arial"/>
        <family val="2"/>
      </rPr>
      <t>1.457,5 horas al año</t>
    </r>
    <r>
      <rPr>
        <sz val="10"/>
        <rFont val="Arial"/>
        <family val="2"/>
      </rPr>
      <t>.</t>
    </r>
  </si>
  <si>
    <r>
      <t xml:space="preserve">Camión 2: </t>
    </r>
    <r>
      <rPr>
        <b/>
        <sz val="10"/>
        <rFont val="Arial"/>
        <family val="2"/>
      </rPr>
      <t>1.707,5 horas al añ</t>
    </r>
  </si>
  <si>
    <t>2.397/16-09-2025</t>
  </si>
  <si>
    <t>2.413/24-09-2025</t>
  </si>
  <si>
    <t xml:space="preserve">SALUD </t>
  </si>
  <si>
    <t>2.593/30-09-2025</t>
  </si>
  <si>
    <t>ACTUALIZACION DISEÑO DE INDICADORES Y METAS PARA EL SEGUIMIENTO DEL PARCC LOS LAGOS</t>
  </si>
  <si>
    <t xml:space="preserve">SS ENERGÍA </t>
  </si>
  <si>
    <t>ACTUALIZACION PLAN REGULADOR COMUNA DE ANCUD</t>
  </si>
  <si>
    <t>2.549/02-10-2025</t>
  </si>
  <si>
    <t>REPOSICION MAQUINARIAS PARA LA I. MUNICIPALIDAD ANCUD</t>
  </si>
  <si>
    <t>2.589/07-10-2025</t>
  </si>
  <si>
    <t>CONSERVACION CAMINOS NO ENROLADOS MAICOLPI Y OTROS SECTORES, SAN JUAN DE LA COSTA</t>
  </si>
  <si>
    <t xml:space="preserve">BUS </t>
  </si>
  <si>
    <t>CONSERVACION RED VIAL PUENTE MODULAR CURANUE EN ROL W-877 KM 1,517 , COMUNA DE QUELLÓN</t>
  </si>
  <si>
    <t>ACTUALIZACION PLAN REGULADOR COMUNAL DE QUELLON</t>
  </si>
  <si>
    <t>ADQUISICION VEHÍCULOS ESPEC. PARA EL TRASLADO Y RESGUARDO DE CANES DETECTORES DE DROGAS-BRIANCO PMO Y BRIANCO ON</t>
  </si>
  <si>
    <t>REPOSICION VEHÍCULOS SLEP LLANQUIHUE</t>
  </si>
  <si>
    <t xml:space="preserve">SLEP LLANQUIHUE </t>
  </si>
  <si>
    <t>3.018/10-11-2025</t>
  </si>
  <si>
    <t>2.955/05-11-2025</t>
  </si>
  <si>
    <t>2.953/05-11-2025</t>
  </si>
  <si>
    <t>2.949/01-11-2025</t>
  </si>
  <si>
    <t>2.660/15-10-2025</t>
  </si>
  <si>
    <t>2.643/13-10-2025</t>
  </si>
  <si>
    <t>RSD</t>
  </si>
  <si>
    <t>MEDIO AMBIENTE</t>
  </si>
  <si>
    <t>2.644/13-10-2025</t>
  </si>
  <si>
    <t>2.743/21-10-2025</t>
  </si>
  <si>
    <t>2.878/30-10-2025</t>
  </si>
  <si>
    <t>2.977/06-11-2025</t>
  </si>
  <si>
    <t>2.843/28-10-2025</t>
  </si>
  <si>
    <t>2.842/28-10-2025</t>
  </si>
  <si>
    <t xml:space="preserve">SEGURIDAD </t>
  </si>
  <si>
    <t>2.841/28-10-2025</t>
  </si>
  <si>
    <t>3.020/10-11-2025</t>
  </si>
  <si>
    <t>3.019/10-11-2025</t>
  </si>
  <si>
    <t>CONSERVACION CAMINOS NO ENROLADOS LOS GUINDOS, EL MAÑÍO, LAS CUYAS, TROMPETILLA Y LOS CAÑONES</t>
  </si>
  <si>
    <t>CONSERVACION CAMINOS NO ENROLADOS SECTORES PUTABLA, QUILEN Y CHIFCA, COMUNA DE SAN PABLO</t>
  </si>
  <si>
    <t>REPOSICION EQUIPAMIENTO DE PABELLON PARA RESOLUCION GES ONCOLOGICOS HOSPITAL PUERTO MONTT</t>
  </si>
  <si>
    <t>CONSERVACION DE CAMINOS NO ENROLADOS SECTOR LOS TURBIOS COMUNA DE CHAITEN</t>
  </si>
  <si>
    <t xml:space="preserve">CHAITÉN </t>
  </si>
  <si>
    <t xml:space="preserve">MUNICIPALIDAD CHAITÉN </t>
  </si>
  <si>
    <t>CONSERVACION CAMINOS NO ENROLADOS SECTORES LA VEGA, BOTIJA, SAN NICOLÁS, EL PATO Y FRESIA</t>
  </si>
  <si>
    <t xml:space="preserve">MUNICIPALIDAD FRESIA </t>
  </si>
  <si>
    <t>3.071/13-11-2025</t>
  </si>
  <si>
    <t>3.043/13-11-2025</t>
  </si>
  <si>
    <t>REPOSICION Y ADQUISICION EQUIPOS Y EQUIPAMIENTO URGENCIA PEDIATRICA HBO</t>
  </si>
  <si>
    <t>CONSERVACION CAMINOS SECTORES METAHUE, NAYAHUE, CONEB Y SAN JOSÉ EN ISLA BUTACHAUQUES.</t>
  </si>
  <si>
    <t xml:space="preserve">MUNICIPALIDAD QUEMCHI </t>
  </si>
  <si>
    <t xml:space="preserve">9 de diciembre </t>
  </si>
  <si>
    <t>ADQUISICION VACUNATORIO MOVIL REGION DE LOS LAGOS</t>
  </si>
  <si>
    <t xml:space="preserve">SEREMI SALUD </t>
  </si>
  <si>
    <t>ADQUISICION TECNOLOGIA NO INVASIVA PARA EL AEROPUERTO EL TEPUAL</t>
  </si>
  <si>
    <t>REPOSICION CAMIONETAS MUNICIPALES PARA TRASLADO DE FUNCIONARIOS, COMUNA DE HUALAIHUÉ</t>
  </si>
  <si>
    <t>ADQUISICION DE EQUIPAMIENTO PERICIAL PARA SS, SERCRIM - REPOLAG</t>
  </si>
  <si>
    <t>ADQUISICION DE EQUIPO MAMOGRAFO PARA HOSPITAL DE MAULLIN</t>
  </si>
  <si>
    <t>REPOSICION DE 3 AMBULANCIAS DE EMERGENCIA BASICA HOSP PALENA, FUTALEUFU Y CONS rIO NEGRO H.</t>
  </si>
  <si>
    <t>3.206/03-12-2025</t>
  </si>
  <si>
    <t>3.072/13-11-2025</t>
  </si>
  <si>
    <t xml:space="preserve"> REPOSICION Y ADQUISICIÓN TRACTOR DESBROZADOR PARA LA MUNICIPALIDAD DE ANCUD</t>
  </si>
  <si>
    <t xml:space="preserve">MUNICIPALIDAD ancud </t>
  </si>
  <si>
    <t>REPOSICION DE VEHÍCULOS MUNICIPALES PARA LA MOVILIZACIÓN DE FUNCIONARIOS</t>
  </si>
  <si>
    <t>REPOSICION Y ADQUISICION MAQUINARIAS RED VIAL, COMUNA DE CALBUCO</t>
  </si>
  <si>
    <t>ADQUISICION Y REPOSICION DE EQUIPOS Y EQUIPAMIENTO CIRUGIA MENOR HOSPITAL BASE OSORNO</t>
  </si>
  <si>
    <t>ADQUISICION EQUIPOS Y EQUIPAMIENTO UNIDAD ENDOSCOPIA HOSPITAL BASE OSORNO</t>
  </si>
  <si>
    <t>ADQUISICION EQUIPO DE BACHEO, COMUNA DE PUERTO MONTT</t>
  </si>
  <si>
    <t xml:space="preserve">MULTISECTORIAL </t>
  </si>
  <si>
    <t>VIVIENDA Y URBANISMO</t>
  </si>
  <si>
    <t xml:space="preserve">ENERGÍA </t>
  </si>
  <si>
    <t>EDUCACIÓN</t>
  </si>
  <si>
    <t>EPG</t>
  </si>
  <si>
    <t xml:space="preserve">LUMINARIAS </t>
  </si>
  <si>
    <t>3.398/23-12-2025</t>
  </si>
  <si>
    <t>3.420/29-12-2025</t>
  </si>
  <si>
    <t>3.299/16-12-2025</t>
  </si>
  <si>
    <t>3.333/17-12-2025</t>
  </si>
  <si>
    <t>M-1.457/29-12-2025</t>
  </si>
  <si>
    <t>M-1.423/17-12-2025</t>
  </si>
  <si>
    <t>3.335/17-12-2025</t>
  </si>
  <si>
    <t>3.432/30-12-2025</t>
  </si>
  <si>
    <t>CONSERVACION CAMINOS NO ENROLADOS DIVERSOS SECTORES DE FRUTILLAR, ETAPA III</t>
  </si>
  <si>
    <t>CONSERVACION CALZADAS RAHUE ALTO SUR, UNIDAD VECINAL N.7, OSORNO</t>
  </si>
  <si>
    <t xml:space="preserve">MUNICIPALIDAD FRUTILLAR </t>
  </si>
  <si>
    <t xml:space="preserve">MUNICIPALIDAD OSORNO </t>
  </si>
  <si>
    <t>Feriados 2026</t>
  </si>
  <si>
    <t>CONSERVACION CALZADAS RAHUE ALTO SUR, UNIDAD VECINAL N.5, OSORNO</t>
  </si>
  <si>
    <t>CONSERVACION CALZADAS RAHUE ALTO SUR, UNIDADES VECINALES N.8, N.20 Y N.23, OSORNO</t>
  </si>
  <si>
    <t>CONSERVACION CALZADAS RAHUE ALTO SUR, UNIDAD VECINAL N.6, OSORNO</t>
  </si>
  <si>
    <t xml:space="preserve">MUNICIPALIDAD DALCAHUE </t>
  </si>
  <si>
    <t>ADQUISICIÓN CLINICA MOVIL GINECOLOGICA, COMUNA DE DALCAHUE</t>
  </si>
  <si>
    <t xml:space="preserve">CLÍNICA MÓVIL </t>
  </si>
  <si>
    <t>SALUD</t>
  </si>
  <si>
    <t>ADQUISICION VEHÍCULOS TRASLADO Y RESGUARDO DE CANES DETECTORES DE DROGAS-BRIANCO (PMO - ONO)</t>
  </si>
  <si>
    <t>CONSERVACION CAMINOS RURALES NO ENROLADOS EN LA COMUNA DE OSORNO</t>
  </si>
  <si>
    <t>202/28-01-2026</t>
  </si>
  <si>
    <t>$   305.704.-</t>
  </si>
  <si>
    <t>Máquinas y equipos</t>
  </si>
  <si>
    <t>REPOSICION EQUIPO DE ENDOSCOPÍA CENTRO DE REFERENCIA DIAGNÓSTICO MUNICIPAL, OSORNO</t>
  </si>
  <si>
    <t>ADQUISICION 02 CAMIONES MAMOGRAFICOS GINECOLÓGICOS PROVINCIA DE LLANQUIHUE Y PALENA</t>
  </si>
  <si>
    <t>CONSERVACION PERIÓDICA RUTA W-21 ZONA URBANA COMUNA DE QUEMCHI</t>
  </si>
  <si>
    <t xml:space="preserve">LOS MUERMOS </t>
  </si>
  <si>
    <t xml:space="preserve">MUNICIPALIDAD LOS MUERMOS  </t>
  </si>
  <si>
    <t>ADQUISICION Y REPOSICIÓN CAMIONES Y CONTENEDORES RSD</t>
  </si>
  <si>
    <t xml:space="preserve">QUELLÓN </t>
  </si>
  <si>
    <t xml:space="preserve">MUNICIPALIDAD QUELLÓN  </t>
  </si>
  <si>
    <t>DIAGNOSTICO ECOSISTEMA INTEGRADO TELEVIGILANCIA EN LAS COMUNAS DE LA REGION DE LOS LAGOS</t>
  </si>
  <si>
    <t>DIPRES</t>
  </si>
  <si>
    <t>ACTUALIZACION POLITICA DE TURISMO E IMAGEN REGION.</t>
  </si>
  <si>
    <t xml:space="preserve">MUNICIPALIDAD LLANQUIHUE  </t>
  </si>
  <si>
    <t>EQ. POL</t>
  </si>
  <si>
    <t>TURISMO</t>
  </si>
  <si>
    <t>REPOSICION DOS AMBULANCIAS DE LA COMUNA DE SAN PABLO</t>
  </si>
  <si>
    <t xml:space="preserve">MUNICIPALIDAD SAN PABLO  </t>
  </si>
  <si>
    <t>PERTINENCIA POLICIAL</t>
  </si>
  <si>
    <t>494/13-03-2026</t>
  </si>
  <si>
    <t>10:25 hrs</t>
  </si>
  <si>
    <t>REEV CONSERVACION CAMINOS VECINALES DE ÑANCUÁN CHANCHAN, SAN FLORENTINO Y QUISQUELELFUN, RÍO NEGRO</t>
  </si>
  <si>
    <t>REPOSICIÓN EQUIPOS Y EQUIPAMIENTO PABELLÓN Y POST OPERADO HOSPITAL BASE SAN JOSÉ DE OSORNO, SSO</t>
  </si>
  <si>
    <t>EQUIPAMIENTO ADQUISICIÓN EQUIPOS Y EQUIPAMIENTO PARA POSTAS DE SALUD RURAL COMUNA DE CHAITÉN</t>
  </si>
  <si>
    <t>REEV REPOSICION DE EQUIPOS LABORATORIOS DE CARRERAS MARÍTIMAS DEL TECNOLÓGICO U LAGOS</t>
  </si>
  <si>
    <t>916/23-04-2026</t>
  </si>
  <si>
    <t>512/16-03-2026</t>
  </si>
  <si>
    <t>REPOSICION Y ADQUISICIÓN DE VEHICULOS MENORES PARA LA COMUNA DE CHONCHI</t>
  </si>
  <si>
    <t xml:space="preserve">CHONCHI </t>
  </si>
  <si>
    <t>REPOSICION CAMIONETAS PARA EL SERVICIO MÉDICO LEGAL REGIÓN DE LOS LAGOS</t>
  </si>
  <si>
    <t>SERVICIO MÉDICO LEGAL</t>
  </si>
  <si>
    <t>1.070/11-05-2026</t>
  </si>
  <si>
    <t>ADQUISICION Y REPOSICIÓN DE CAMIONES PICKUP Y PUNTOS LIMPIOS MOVILES</t>
  </si>
  <si>
    <t xml:space="preserve">FUTALEUFÚ </t>
  </si>
  <si>
    <t xml:space="preserve">MUNICIPALIDAD FUTALEUFÚ </t>
  </si>
  <si>
    <t>REEV CONSERVACION CAMINOS NO ENROLADOS ISLA QUEULLÍN</t>
  </si>
  <si>
    <t>REPOSICIÓN MAQUINARIA MUNICIPAL, COMUNA DE CASTRO</t>
  </si>
  <si>
    <t>REEV ADQUISICION UNIDAD DESPLIEGUE POLICIA MARITIMA PARA GOB MARITIMA DE PTO MONTT</t>
  </si>
  <si>
    <t>REEV REPOSICION MOBILIARIO CLÍNICO EN ATENCIÓN CERRADA DEL HOSPITAL DE CASTRO</t>
  </si>
  <si>
    <t>REEV REPOSICION MAQUINARIA PARA MANTENCION DE CAMINOS RURALES, QUELLON</t>
  </si>
  <si>
    <t>1.333/01-06-2026</t>
  </si>
  <si>
    <t>CONSERVACIÓN DE ACERAS SECTOR URBANO DE FRESIA Y TEGUALDA</t>
  </si>
  <si>
    <t>REEV ADQUISICION DE CUATRIMOTOS PARA LA ZONA DE CARABINEROS LOS LAGOS</t>
  </si>
  <si>
    <t>REPOSICION BUS PARA ORGANIZACIONES COMUNITARIAS, COMUNA DE QUELLON</t>
  </si>
  <si>
    <t>ADQUISICIÓN EQUIPOS PARA HABILITACIÓN CENTRO ECMO EN HOSPITAL BASE SAN JOSÉ OSORNO</t>
  </si>
  <si>
    <t>REPOSICION CAMIÓN RECOLECTOR COMUNA DE CHONCHI</t>
  </si>
  <si>
    <t>1.252/25-05-2026</t>
  </si>
  <si>
    <t>1.273/27-05-2026</t>
  </si>
  <si>
    <t>REPOSICION AMBULANCIA CESFAM PUQUELDON</t>
  </si>
  <si>
    <t>ADQUISICIÓN EQUIPO MAMÓGRAFO HOSPITAL DE MAULLIN</t>
  </si>
  <si>
    <t>ADQUISICION RODILLO, MINI CARGADOR Y REPOSICIÓN MOTONIVELADORA, COMUNA DE FRESIA</t>
  </si>
  <si>
    <t>REPOSICION DE UNA AMBULANCIA , AEB CON EQUIPAMIENTO Y UN FURGON DE PASAJEROS PARA APS</t>
  </si>
  <si>
    <t>CONSERVACION CALLES URBANAS FRUTILLAR ALTO Y FRUTILLAR BAJO, COMUNA DE FRUTILLAR</t>
  </si>
  <si>
    <t>REPOSICION MAQUINARIA PARA DEPTO. OPERACIONES MUNICIPALIDAD DALCAHUE</t>
  </si>
  <si>
    <t>REEV REPOSICION AMBULANCIAS COMUNA DE CHAITEN</t>
  </si>
  <si>
    <t>REEV ADQUISICION DE AERONAVES REMOTAMENTE PILOTADAS PARA LA ZONA CARABINEROS LOS LAGOS</t>
  </si>
  <si>
    <t>REEV ADQUISICION CAMION RECOLECTOR RSD SAN JUAN DE LA COSTA</t>
  </si>
  <si>
    <t>ADQUISICION RETROEXCAVADORA Y CAMIÓN TOLVA OFICINA CAMINOS Y PUENTES, SAN JUAN DE LA COSTA</t>
  </si>
  <si>
    <t>ADQUISICION Y REPOSICIÓN DE VEHICULOS MUNICIPALES, COMUNA DE PUERTO OCTAY.</t>
  </si>
  <si>
    <t>ADQUISICION MAMOGRAFO PARA LA COMUNA DE PUERTO OCTAY</t>
  </si>
  <si>
    <t>REPOSICION MAMOGRAFO CENTRO DE REFERENCIA Y DIAGNOSTICO DE OSORNO</t>
  </si>
  <si>
    <t>ADQUISICION MAMOGRAFO PARA LA COMUNA DE PUYEHUE</t>
  </si>
  <si>
    <t>REPOSICION CAMIONES COMPACTADORES PARA LA RECOLECCIÓN DE RSD,COMUNA DE PURRANQUE</t>
  </si>
  <si>
    <t>REPOSICION CAMIÓN RECOLECTOR DE RESIDUOS SÓLIDOS DOMICILIARIOS, COMUNA DE MAULLÍN</t>
  </si>
  <si>
    <t>ADQUISICION DE BUS PARA APOYO DE ACTIVIDADES PERSONAS MAYORES</t>
  </si>
  <si>
    <t xml:space="preserve">CONSERVACION TERMINAL DE BUSES OSORNO </t>
  </si>
  <si>
    <t>ADQUISICION EQUIPOS PARA LABORATORIO DE CITOPATOLOGÍA GINECOLÓGICA HOSPITAL DE CASTRO</t>
  </si>
  <si>
    <t>ADQUISICION VEHÍCULOS BLINDADOS - PDI REGIÓN DE LOS LAGOS</t>
  </si>
  <si>
    <t>REPOSICION DE MAQUINARIAS CONSERVACIÓN RED VIAL, COMUNA DE CALBUCO</t>
  </si>
  <si>
    <t xml:space="preserve">MUNICIPALIDAD CALBUCO  </t>
  </si>
  <si>
    <t>REEV ACTUALIZACION DISEÑO DE INDICADORES Y METAS PARA EL SEGUIMIENTO DEL PARCC LOS LAGOS</t>
  </si>
  <si>
    <t>CONSERVACION CAMINOS NO ENROLADOS PRODUCTIVOS PENÍNSULA DE LACUY, COMUNA DE ANCUD</t>
  </si>
  <si>
    <t xml:space="preserve">MUNICIPALIDAD ANCUD  </t>
  </si>
  <si>
    <t>REEV ADQUISICION MAQUINARIA PESADA COMUNA DE MAULLIN</t>
  </si>
  <si>
    <t>CONSERVACION DE CALLES SECTOR ORIENTE DE LA COMUNA DE PUERTO MONTT</t>
  </si>
  <si>
    <t>REPOSICION EQUIPOS PARA NEUROLOGÍA, HOSPITAL DE PUERTO MONTT</t>
  </si>
  <si>
    <t>REPOSICION EQUIPO MAMÓGRAFO DIGITAL CON BIOPSIA ESTEREOTÁXICA, HPM, SSDR.</t>
  </si>
  <si>
    <t>REPOSICION VEHÍCULOS DE PATRULLAJE PREVENTIVO SEGURIDAD PÚBLICA, PUERTO MONTT.</t>
  </si>
  <si>
    <t>ADQUISICION Y REPOSICIÓN DEL BUS DE LA ILUSTRE MUNICIPALIDAD DE ANCUD</t>
  </si>
  <si>
    <t>ADQUISICIÓN DE EQUIPOS TECNOLÓGICOS, DOS VEHÍCULOS Y ACCESORIOS PARA LA SECCIÓN CRIMINALÍSTICA PUERTO MONTT</t>
  </si>
  <si>
    <t>S/CODIGO</t>
  </si>
  <si>
    <t>ACTUALIZACION PLAN REGULADOR COMUNAL DE PUERTO MONTT</t>
  </si>
  <si>
    <t>CONSERVACION CAMINOS NO ENROLADOS SECTORES LAS JUNTAS, EL ESCUDO Y NOCHACO, COMUNA DE PUERTO OCTAY</t>
  </si>
  <si>
    <t>CONSERVACION CAMINOS NO ENROLADOS COSTA CENTRO, SAN JUAN DE LA COSTA</t>
  </si>
  <si>
    <t>REPOSICION AMBULANCIAS DE EMERGENCIA BASICA, COMUNA DE LOS MUERMOS</t>
  </si>
  <si>
    <t>ADQUISICION CAMION RSD URBANO Y ADQUISICION CONTENEDORES, QUEILEN</t>
  </si>
  <si>
    <t>ADQUISICIÓN CAMIÓN ALJIBE PARA DISTRIBUCIÓN DE AGUA POTABLE, COMUNA DE HUALAIHUE</t>
  </si>
  <si>
    <t>REPOSICIÓN DE CAMIÓN MULTIPROPÓSITO PARA LA EJECUCIÓN DE SERVICIOS MUNICIPALES, COMUNA DE HUALAIHUÉ</t>
  </si>
  <si>
    <t>REPOSICIÓN DE EXCAVADORA PARA LA OPERACIÓN DEL VERTEDERO MUNICIPAL, COMUNA DE HUALAIHUÉ</t>
  </si>
  <si>
    <t>REPOSICIÓN DE MINIBÚS PARA APOYO A LA GESTIÓN MUNICIPAL Y COMUNITARIA, COMUNA DE HUALAIHUÉ</t>
  </si>
  <si>
    <t>CONSERVACION DE CAMINOS NO ENROLADOS EN SECTOR SURESTE, COMUNA DE CHONCHI</t>
  </si>
  <si>
    <t>ARI 2027</t>
  </si>
  <si>
    <t>REPOSICION AMBULANCIA EMERGENCIA BASICA CESFAM ENTRE LAGOS, COMUNA DE PUYEHUE</t>
  </si>
  <si>
    <t xml:space="preserve">si </t>
  </si>
  <si>
    <t>REPOSICION CAMIONES TOLVA, PUERTO OCTAY</t>
  </si>
  <si>
    <t>scd</t>
  </si>
  <si>
    <t>ADQUISICIÓN DE IMPLEMENTOS PARA UNIDAD TÉCNICA GORE - DIT</t>
  </si>
  <si>
    <t>REPOSICION EQUIPO RESONADOR MAGNÉTICO, HPM, SSDR</t>
  </si>
  <si>
    <t>ADQUISICION 1 RETEN MOVIL Y 2 MOTOCICLETAS PARA CARARBINEROS, SECTOR V CENTENARIO</t>
  </si>
  <si>
    <t>CONSERVACION CALLES SECTOR PONIENTE Y SECTOR ALERCE COMUNA DE PUERTO MONTT</t>
  </si>
  <si>
    <t>CONSERVACION CALLES SECTORES CENTRO BARRIO PUERTO BARRIO EGAÑA COMUNA PUERTO MONTT</t>
  </si>
  <si>
    <t>REPOSICION VEHICULO TRASLADO PACIENTES DIALISIS, HOSPITAL DE CALBUCO</t>
  </si>
  <si>
    <t>CONSERVACION DE CAMINOS VECINALES RIBERA SUR, COMUNA DE MAULLIN</t>
  </si>
  <si>
    <t>REPOSICION DE CAMIONETAS PARA LA MUNICIPALIDAD DE MAULLíN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</si>
</sst>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-* #,##0_-;\-* #,##0_-;_-* &quot;-&quot;??_-;_-@_-"/>
    <numFmt numFmtId="167" formatCode="_ * #,##0.00_ ;_ * \-#,##0.00_ ;_ * &quot;-&quot;_ ;_ @_ "/>
    <numFmt numFmtId="168" formatCode="0.0%"/>
  </numFmts>
  <fonts count="38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gency FB"/>
      <family val="2"/>
    </font>
    <font>
      <b/>
      <sz val="10"/>
      <color indexed="8"/>
      <name val="Agency FB"/>
      <family val="2"/>
    </font>
    <font>
      <sz val="10"/>
      <color indexed="8"/>
      <name val="Agency FB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u/>
      <sz val="9"/>
      <name val="Courier New"/>
      <family val="3"/>
    </font>
    <font>
      <b/>
      <sz val="9"/>
      <name val="Courier New"/>
      <family val="3"/>
    </font>
    <font>
      <sz val="9"/>
      <name val="Courier New"/>
      <family val="3"/>
    </font>
    <font>
      <sz val="10"/>
      <name val="Swis721 Cn BT"/>
      <family val="2"/>
    </font>
    <font>
      <b/>
      <sz val="10"/>
      <name val="Arial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sz val="9"/>
      <color rgb="FF000000"/>
      <name val="Trebuchet MS"/>
      <family val="2"/>
    </font>
    <font>
      <sz val="10"/>
      <color rgb="FFFF0000"/>
      <name val="Agency FB"/>
      <family val="2"/>
    </font>
    <font>
      <b/>
      <sz val="10"/>
      <color theme="0"/>
      <name val="Agency FB"/>
      <family val="2"/>
    </font>
    <font>
      <sz val="10"/>
      <color theme="1"/>
      <name val="Agency FB"/>
      <family val="2"/>
    </font>
    <font>
      <sz val="10"/>
      <color theme="1"/>
      <name val="Calibri"/>
      <family val="2"/>
      <scheme val="minor"/>
    </font>
    <font>
      <sz val="10"/>
      <color theme="7" tint="-0.249977111117893"/>
      <name val="Agency FB"/>
      <family val="2"/>
    </font>
    <font>
      <sz val="10"/>
      <color rgb="FF222222"/>
      <name val="Segoe UI"/>
      <family val="2"/>
    </font>
    <font>
      <sz val="10"/>
      <color rgb="FF00B050"/>
      <name val="Agency FB"/>
      <family val="2"/>
    </font>
    <font>
      <b/>
      <i/>
      <sz val="12"/>
      <color rgb="FF000000"/>
      <name val="Arial"/>
      <family val="2"/>
    </font>
    <font>
      <sz val="10"/>
      <color rgb="FF7030A0"/>
      <name val="Agency FB"/>
      <family val="2"/>
    </font>
    <font>
      <b/>
      <sz val="11"/>
      <color rgb="FFC7C7C7"/>
      <name val="Times New Roman"/>
      <family val="1"/>
    </font>
    <font>
      <sz val="11"/>
      <color rgb="FF1F1F1F"/>
      <name val="Arial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6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5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0" fontId="2" fillId="0" borderId="0" applyNumberFormat="0" applyFont="0" applyBorder="0" applyProtection="0"/>
    <xf numFmtId="0" fontId="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3" fontId="5" fillId="4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" fontId="3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/>
    <xf numFmtId="14" fontId="6" fillId="0" borderId="1" xfId="0" applyNumberFormat="1" applyFont="1" applyBorder="1"/>
    <xf numFmtId="14" fontId="0" fillId="0" borderId="0" xfId="0" applyNumberFormat="1"/>
    <xf numFmtId="0" fontId="1" fillId="0" borderId="0" xfId="0" applyFont="1"/>
    <xf numFmtId="10" fontId="6" fillId="0" borderId="0" xfId="14" applyNumberFormat="1" applyFont="1" applyAlignment="1">
      <alignment vertical="center" wrapText="1"/>
    </xf>
    <xf numFmtId="165" fontId="6" fillId="0" borderId="0" xfId="1" applyFont="1" applyAlignment="1">
      <alignment vertical="center" wrapText="1"/>
    </xf>
    <xf numFmtId="0" fontId="23" fillId="6" borderId="0" xfId="0" applyFont="1" applyFill="1" applyAlignment="1">
      <alignment vertical="center" wrapText="1"/>
    </xf>
    <xf numFmtId="0" fontId="24" fillId="6" borderId="0" xfId="0" applyFont="1" applyFill="1" applyAlignment="1">
      <alignment vertical="center" wrapText="1"/>
    </xf>
    <xf numFmtId="0" fontId="23" fillId="7" borderId="0" xfId="0" applyFont="1" applyFill="1" applyAlignment="1">
      <alignment vertical="center" wrapText="1"/>
    </xf>
    <xf numFmtId="0" fontId="24" fillId="7" borderId="0" xfId="0" applyFont="1" applyFill="1" applyAlignment="1">
      <alignment vertical="center" wrapText="1"/>
    </xf>
    <xf numFmtId="0" fontId="23" fillId="8" borderId="0" xfId="0" applyFont="1" applyFill="1" applyAlignment="1">
      <alignment vertical="center" wrapText="1"/>
    </xf>
    <xf numFmtId="0" fontId="24" fillId="8" borderId="0" xfId="0" applyFont="1" applyFill="1" applyAlignment="1">
      <alignment vertical="center" wrapText="1"/>
    </xf>
    <xf numFmtId="1" fontId="3" fillId="9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3" fontId="5" fillId="12" borderId="1" xfId="0" applyNumberFormat="1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14" fontId="3" fillId="13" borderId="1" xfId="0" applyNumberFormat="1" applyFont="1" applyFill="1" applyBorder="1" applyAlignment="1">
      <alignment vertical="center" wrapText="1"/>
    </xf>
    <xf numFmtId="1" fontId="25" fillId="2" borderId="1" xfId="0" applyNumberFormat="1" applyFont="1" applyFill="1" applyBorder="1" applyAlignment="1">
      <alignment horizontal="right" vertical="center" wrapText="1"/>
    </xf>
    <xf numFmtId="0" fontId="26" fillId="14" borderId="1" xfId="0" applyFont="1" applyFill="1" applyBorder="1" applyAlignment="1">
      <alignment horizontal="center" vertical="center" wrapText="1"/>
    </xf>
    <xf numFmtId="166" fontId="1" fillId="0" borderId="0" xfId="1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27" fillId="0" borderId="1" xfId="0" applyFont="1" applyBorder="1" applyAlignment="1">
      <alignment vertical="center" wrapText="1"/>
    </xf>
    <xf numFmtId="3" fontId="25" fillId="0" borderId="1" xfId="0" applyNumberFormat="1" applyFont="1" applyBorder="1" applyAlignment="1">
      <alignment vertical="center" wrapText="1"/>
    </xf>
    <xf numFmtId="166" fontId="27" fillId="0" borderId="1" xfId="1" applyNumberFormat="1" applyFont="1" applyBorder="1" applyAlignment="1" applyProtection="1">
      <alignment vertical="center" wrapText="1"/>
    </xf>
    <xf numFmtId="14" fontId="27" fillId="0" borderId="1" xfId="0" applyNumberFormat="1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41" fontId="1" fillId="0" borderId="0" xfId="2" applyFont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167" fontId="1" fillId="0" borderId="0" xfId="2" applyNumberFormat="1" applyFont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" fontId="3" fillId="2" borderId="0" xfId="0" applyNumberFormat="1" applyFont="1" applyFill="1" applyAlignment="1">
      <alignment horizontal="right" vertical="center" wrapText="1"/>
    </xf>
    <xf numFmtId="3" fontId="5" fillId="0" borderId="0" xfId="0" applyNumberFormat="1" applyFont="1" applyAlignment="1">
      <alignment vertical="center" wrapText="1"/>
    </xf>
    <xf numFmtId="0" fontId="25" fillId="0" borderId="1" xfId="0" applyFont="1" applyBorder="1" applyAlignment="1">
      <alignment vertical="center" wrapText="1"/>
    </xf>
    <xf numFmtId="14" fontId="3" fillId="12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41" fontId="5" fillId="0" borderId="2" xfId="2" applyFont="1" applyFill="1" applyBorder="1" applyAlignment="1">
      <alignment vertical="center" wrapText="1"/>
    </xf>
    <xf numFmtId="41" fontId="27" fillId="0" borderId="1" xfId="2" applyFont="1" applyBorder="1" applyAlignment="1">
      <alignment vertical="center" wrapText="1"/>
    </xf>
    <xf numFmtId="3" fontId="25" fillId="4" borderId="1" xfId="0" applyNumberFormat="1" applyFont="1" applyFill="1" applyBorder="1" applyAlignment="1">
      <alignment vertical="center" wrapText="1"/>
    </xf>
    <xf numFmtId="1" fontId="3" fillId="15" borderId="1" xfId="0" applyNumberFormat="1" applyFont="1" applyFill="1" applyBorder="1" applyAlignment="1">
      <alignment horizontal="right" vertical="center" wrapText="1"/>
    </xf>
    <xf numFmtId="3" fontId="5" fillId="15" borderId="1" xfId="0" applyNumberFormat="1" applyFont="1" applyFill="1" applyBorder="1" applyAlignment="1">
      <alignment vertical="center" wrapText="1"/>
    </xf>
    <xf numFmtId="3" fontId="13" fillId="0" borderId="0" xfId="0" applyNumberFormat="1" applyFont="1"/>
    <xf numFmtId="3" fontId="5" fillId="16" borderId="1" xfId="0" applyNumberFormat="1" applyFont="1" applyFill="1" applyBorder="1" applyAlignment="1">
      <alignment vertical="center" wrapText="1"/>
    </xf>
    <xf numFmtId="1" fontId="29" fillId="0" borderId="1" xfId="0" applyNumberFormat="1" applyFont="1" applyBorder="1" applyAlignment="1">
      <alignment horizontal="right" vertical="center" wrapText="1"/>
    </xf>
    <xf numFmtId="3" fontId="29" fillId="0" borderId="1" xfId="0" applyNumberFormat="1" applyFont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right" vertical="center" wrapText="1"/>
    </xf>
    <xf numFmtId="14" fontId="5" fillId="12" borderId="1" xfId="0" applyNumberFormat="1" applyFont="1" applyFill="1" applyBorder="1" applyAlignment="1">
      <alignment vertical="center" wrapText="1"/>
    </xf>
    <xf numFmtId="1" fontId="5" fillId="12" borderId="1" xfId="0" applyNumberFormat="1" applyFont="1" applyFill="1" applyBorder="1" applyAlignment="1">
      <alignment vertical="center" wrapText="1"/>
    </xf>
    <xf numFmtId="3" fontId="5" fillId="12" borderId="2" xfId="0" applyNumberFormat="1" applyFont="1" applyFill="1" applyBorder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3" fillId="0" borderId="2" xfId="0" applyFont="1" applyBorder="1" applyAlignment="1">
      <alignment vertical="center" wrapText="1"/>
    </xf>
    <xf numFmtId="9" fontId="5" fillId="0" borderId="0" xfId="14" applyFont="1" applyAlignment="1">
      <alignment vertical="center" wrapText="1"/>
    </xf>
    <xf numFmtId="3" fontId="30" fillId="0" borderId="0" xfId="0" applyNumberFormat="1" applyFont="1"/>
    <xf numFmtId="0" fontId="5" fillId="4" borderId="1" xfId="0" applyFont="1" applyFill="1" applyBorder="1" applyAlignment="1">
      <alignment vertical="center" wrapText="1"/>
    </xf>
    <xf numFmtId="41" fontId="5" fillId="0" borderId="1" xfId="2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41" fontId="5" fillId="0" borderId="1" xfId="2" applyFont="1" applyFill="1" applyBorder="1" applyAlignment="1">
      <alignment horizontal="center" vertical="center" wrapText="1"/>
    </xf>
    <xf numFmtId="41" fontId="5" fillId="0" borderId="2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1" fillId="0" borderId="1" xfId="0" applyNumberFormat="1" applyFont="1" applyBorder="1" applyAlignment="1">
      <alignment vertical="center" wrapText="1"/>
    </xf>
    <xf numFmtId="0" fontId="22" fillId="0" borderId="0" xfId="0" applyFont="1"/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26" fillId="14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vertical="center" wrapText="1"/>
    </xf>
    <xf numFmtId="0" fontId="4" fillId="1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1" fontId="4" fillId="0" borderId="5" xfId="0" applyNumberFormat="1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3" fontId="5" fillId="0" borderId="9" xfId="0" applyNumberFormat="1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41" fontId="1" fillId="0" borderId="0" xfId="0" applyNumberFormat="1" applyFont="1" applyAlignment="1">
      <alignment vertical="center" wrapText="1"/>
    </xf>
    <xf numFmtId="3" fontId="32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68" fontId="1" fillId="0" borderId="0" xfId="14" applyNumberFormat="1" applyFont="1" applyAlignment="1">
      <alignment vertical="center" wrapText="1"/>
    </xf>
    <xf numFmtId="3" fontId="16" fillId="0" borderId="10" xfId="0" applyNumberFormat="1" applyFont="1" applyBorder="1" applyAlignment="1">
      <alignment horizontal="right" vertical="center" wrapText="1"/>
    </xf>
    <xf numFmtId="3" fontId="16" fillId="0" borderId="11" xfId="0" applyNumberFormat="1" applyFont="1" applyBorder="1" applyAlignment="1">
      <alignment horizontal="right" vertical="center" wrapText="1"/>
    </xf>
    <xf numFmtId="3" fontId="17" fillId="0" borderId="0" xfId="0" applyNumberFormat="1" applyFont="1" applyAlignment="1">
      <alignment vertical="center"/>
    </xf>
    <xf numFmtId="165" fontId="1" fillId="0" borderId="0" xfId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9" fontId="1" fillId="0" borderId="0" xfId="14" applyFont="1" applyAlignment="1">
      <alignment vertical="center" wrapText="1"/>
    </xf>
    <xf numFmtId="1" fontId="3" fillId="17" borderId="1" xfId="0" applyNumberFormat="1" applyFont="1" applyFill="1" applyBorder="1" applyAlignment="1">
      <alignment horizontal="right" vertical="center" wrapText="1"/>
    </xf>
    <xf numFmtId="0" fontId="16" fillId="0" borderId="11" xfId="0" applyFont="1" applyBorder="1" applyAlignment="1">
      <alignment horizontal="right" vertical="center" wrapText="1"/>
    </xf>
    <xf numFmtId="3" fontId="5" fillId="15" borderId="0" xfId="0" applyNumberFormat="1" applyFont="1" applyFill="1" applyAlignment="1">
      <alignment vertical="center" wrapText="1"/>
    </xf>
    <xf numFmtId="3" fontId="16" fillId="0" borderId="12" xfId="0" applyNumberFormat="1" applyFont="1" applyBorder="1" applyAlignment="1">
      <alignment horizontal="right" vertical="center" wrapText="1"/>
    </xf>
    <xf numFmtId="3" fontId="16" fillId="0" borderId="13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14" fontId="25" fillId="0" borderId="1" xfId="0" applyNumberFormat="1" applyFont="1" applyBorder="1" applyAlignment="1">
      <alignment vertical="center" wrapText="1"/>
    </xf>
    <xf numFmtId="165" fontId="14" fillId="0" borderId="0" xfId="1" applyFont="1"/>
    <xf numFmtId="3" fontId="19" fillId="0" borderId="0" xfId="0" applyNumberFormat="1" applyFont="1"/>
    <xf numFmtId="0" fontId="16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6" fontId="16" fillId="0" borderId="0" xfId="0" applyNumberFormat="1" applyFont="1" applyAlignment="1">
      <alignment horizontal="justify" vertical="center"/>
    </xf>
    <xf numFmtId="3" fontId="33" fillId="0" borderId="1" xfId="0" applyNumberFormat="1" applyFont="1" applyBorder="1" applyAlignment="1">
      <alignment vertical="center" wrapText="1"/>
    </xf>
    <xf numFmtId="3" fontId="0" fillId="0" borderId="0" xfId="0" applyNumberFormat="1"/>
    <xf numFmtId="3" fontId="3" fillId="0" borderId="1" xfId="0" applyNumberFormat="1" applyFont="1" applyBorder="1" applyAlignment="1">
      <alignment vertical="center" wrapText="1"/>
    </xf>
    <xf numFmtId="3" fontId="3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35" fillId="0" borderId="0" xfId="0" applyNumberFormat="1" applyFont="1"/>
    <xf numFmtId="41" fontId="0" fillId="0" borderId="0" xfId="2" applyFont="1"/>
    <xf numFmtId="41" fontId="36" fillId="0" borderId="0" xfId="2" applyFont="1"/>
    <xf numFmtId="0" fontId="37" fillId="0" borderId="0" xfId="0" applyFont="1"/>
    <xf numFmtId="41" fontId="37" fillId="0" borderId="0" xfId="0" applyNumberFormat="1" applyFont="1"/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14" fontId="3" fillId="0" borderId="0" xfId="0" applyNumberFormat="1" applyFont="1" applyBorder="1" applyAlignment="1">
      <alignment vertical="center" wrapText="1"/>
    </xf>
    <xf numFmtId="0" fontId="3" fillId="10" borderId="0" xfId="0" applyFont="1" applyFill="1" applyBorder="1" applyAlignment="1">
      <alignment vertical="center" wrapText="1"/>
    </xf>
    <xf numFmtId="14" fontId="5" fillId="0" borderId="0" xfId="0" applyNumberFormat="1" applyFont="1" applyBorder="1" applyAlignment="1">
      <alignment vertical="center" wrapText="1"/>
    </xf>
    <xf numFmtId="14" fontId="3" fillId="13" borderId="0" xfId="0" applyNumberFormat="1" applyFont="1" applyFill="1" applyBorder="1" applyAlignment="1">
      <alignment vertical="center" wrapText="1"/>
    </xf>
    <xf numFmtId="0" fontId="3" fillId="11" borderId="0" xfId="0" applyFont="1" applyFill="1" applyBorder="1" applyAlignment="1">
      <alignment vertical="center" wrapText="1"/>
    </xf>
    <xf numFmtId="1" fontId="5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1" fontId="5" fillId="0" borderId="0" xfId="2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5">
    <cellStyle name="Millares" xfId="1" builtinId="3"/>
    <cellStyle name="Millares [0]" xfId="2" builtinId="6"/>
    <cellStyle name="Millares [0] 2" xfId="3" xr:uid="{00000000-0005-0000-0000-000002000000}"/>
    <cellStyle name="Millares [0] 3" xfId="4" xr:uid="{00000000-0005-0000-0000-000003000000}"/>
    <cellStyle name="Millares 2" xfId="5" xr:uid="{00000000-0005-0000-0000-000004000000}"/>
    <cellStyle name="Millares 3" xfId="6" xr:uid="{00000000-0005-0000-0000-000005000000}"/>
    <cellStyle name="Moneda [0]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4" xfId="11" xr:uid="{00000000-0005-0000-0000-00000B000000}"/>
    <cellStyle name="Normal 5" xfId="12" xr:uid="{00000000-0005-0000-0000-00000C000000}"/>
    <cellStyle name="Normal 6" xfId="13" xr:uid="{00000000-0005-0000-0000-00000D000000}"/>
    <cellStyle name="Porcentaje" xfId="14" builtinId="5"/>
  </cellStyles>
  <dxfs count="124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131</xdr:row>
      <xdr:rowOff>171450</xdr:rowOff>
    </xdr:from>
    <xdr:to>
      <xdr:col>9</xdr:col>
      <xdr:colOff>1609725</xdr:colOff>
      <xdr:row>138</xdr:row>
      <xdr:rowOff>133350</xdr:rowOff>
    </xdr:to>
    <xdr:pic>
      <xdr:nvPicPr>
        <xdr:cNvPr id="131152" name="Imagen 1">
          <a:extLst>
            <a:ext uri="{FF2B5EF4-FFF2-40B4-BE49-F238E27FC236}">
              <a16:creationId xmlns:a16="http://schemas.microsoft.com/office/drawing/2014/main" id="{C76F2C29-AE83-4E0C-8709-83F4D328F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0448925"/>
          <a:ext cx="59150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utte/Dropbox/ARI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utte/Dropbox/FND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ntrada%20Carga%20ARI%202027%20-%20Los%20Lag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utte/Dropbox/Entrada%20Carga%20ARI%202026%20-%20Los%20Lagos%20-%2010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"/>
      <sheetName val="FFF"/>
      <sheetName val="Hoja1"/>
    </sheetNames>
    <sheetDataSet>
      <sheetData sheetId="0">
        <row r="3">
          <cell r="B3">
            <v>40031458</v>
          </cell>
          <cell r="C3" t="str">
            <v>RS</v>
          </cell>
          <cell r="D3" t="str">
            <v>CONSERVACION VEREDAS COMUNA DE LOS MUERMOS</v>
          </cell>
          <cell r="E3" t="str">
            <v>Proyectos (31.02)</v>
          </cell>
        </row>
        <row r="4">
          <cell r="B4">
            <v>40031464</v>
          </cell>
          <cell r="C4" t="str">
            <v>RS</v>
          </cell>
          <cell r="D4" t="str">
            <v>MEJORAMIENTO DE LAS VIAS AV. LLICO, EL DIRIGENTE Y  EXT. SAN MARTIN, LOS MUERMOS</v>
          </cell>
          <cell r="E4" t="str">
            <v>Proyectos (31.02)</v>
          </cell>
        </row>
        <row r="5">
          <cell r="B5">
            <v>40014564</v>
          </cell>
          <cell r="C5" t="str">
            <v>RS</v>
          </cell>
          <cell r="D5" t="str">
            <v>CONSERVACION DE 11 CAMINOS VECINALES, LOS MUERMOS</v>
          </cell>
          <cell r="E5" t="str">
            <v>Proyectos (31.02)</v>
          </cell>
        </row>
        <row r="6">
          <cell r="B6">
            <v>30125824</v>
          </cell>
          <cell r="C6" t="str">
            <v>Sin Rate</v>
          </cell>
          <cell r="D6" t="str">
            <v>AMPLIACION Y REMODELACION INTEGRAL CONSISTORIAL LOS MUERMOS</v>
          </cell>
          <cell r="E6" t="str">
            <v>Proyectos (31.02)</v>
          </cell>
        </row>
        <row r="7">
          <cell r="B7">
            <v>30182972</v>
          </cell>
          <cell r="C7" t="str">
            <v>RS</v>
          </cell>
          <cell r="D7" t="str">
            <v>MEJORAMIENTO Y AMPLIACION GIMNASIO MUNICIPAL</v>
          </cell>
          <cell r="E7" t="str">
            <v>Proyectos (31.02)</v>
          </cell>
        </row>
        <row r="8">
          <cell r="B8">
            <v>30361529</v>
          </cell>
          <cell r="C8" t="str">
            <v>RS</v>
          </cell>
          <cell r="D8" t="str">
            <v>MEJORAMIENTO SISTEMA APR CAÑITAS-RIO FRIO, LOS MUERMOS</v>
          </cell>
          <cell r="E8" t="str">
            <v>Proyectos (31.02)</v>
          </cell>
        </row>
        <row r="9">
          <cell r="B9">
            <v>30463128</v>
          </cell>
          <cell r="C9" t="str">
            <v>RS</v>
          </cell>
          <cell r="D9" t="str">
            <v>MEJORAMIENTO   INFRAESTRUCTURA PEATONAL CALLE MANUEL MONTT, COMUNA DE LOS MUERMOS</v>
          </cell>
          <cell r="E9" t="str">
            <v>Proyectos (31.02)</v>
          </cell>
        </row>
        <row r="10">
          <cell r="B10">
            <v>30465403</v>
          </cell>
          <cell r="C10" t="str">
            <v>FI</v>
          </cell>
          <cell r="D10" t="str">
            <v>CONSTRUCCION APR SECTORES CUESTA LA VACA Y HUAUTRUNES, LOS MUERMOS</v>
          </cell>
          <cell r="E10" t="str">
            <v>Proyectos (31.02)</v>
          </cell>
        </row>
        <row r="11">
          <cell r="B11">
            <v>40004598</v>
          </cell>
          <cell r="C11" t="str">
            <v>FI</v>
          </cell>
          <cell r="D11" t="str">
            <v>REPOSICION CENTRO CULTURAL, COMUNA LOS MUERMOS</v>
          </cell>
          <cell r="E11" t="str">
            <v>Proyectos (31.02)</v>
          </cell>
        </row>
        <row r="12">
          <cell r="B12">
            <v>40040220</v>
          </cell>
          <cell r="C12" t="str">
            <v>Sin Rate</v>
          </cell>
          <cell r="D12" t="str">
            <v>CONSERVACION CAMINOS VECINALES, NO ENROLADOS. COMUNA DE LOS MUERMOS</v>
          </cell>
          <cell r="E12" t="str">
            <v>Proyectos (31.02)</v>
          </cell>
        </row>
        <row r="13">
          <cell r="B13">
            <v>40040251</v>
          </cell>
          <cell r="C13" t="str">
            <v>Sin Rate</v>
          </cell>
          <cell r="D13" t="str">
            <v>MEJORAMIENTO VÍAS LOCALES SECTOR  CAÑITAS, COMUNA DE LOS MUERMOS</v>
          </cell>
          <cell r="E13" t="str">
            <v>Proyectos (31.02)</v>
          </cell>
        </row>
        <row r="14">
          <cell r="B14">
            <v>30126943</v>
          </cell>
          <cell r="C14" t="str">
            <v>RS</v>
          </cell>
          <cell r="D14" t="str">
            <v>MEJORAMIENTO HOSPITAL DE RIO NEGRO</v>
          </cell>
          <cell r="E14" t="str">
            <v>Proyectos (31.02)</v>
          </cell>
        </row>
        <row r="15">
          <cell r="B15">
            <v>30280673</v>
          </cell>
          <cell r="C15" t="str">
            <v>RS</v>
          </cell>
          <cell r="D15" t="str">
            <v>CONSTRUCCION POSTA SALUD RURAL CHAN CHAN, RIO NEGRO</v>
          </cell>
          <cell r="E15" t="str">
            <v>Proyectos (31.02)</v>
          </cell>
        </row>
        <row r="16">
          <cell r="B16">
            <v>40010103</v>
          </cell>
          <cell r="C16" t="str">
            <v>RS</v>
          </cell>
          <cell r="D16" t="str">
            <v>CONSTRUCCION CECOSF URBANO CHIFIN, COMUNA DE RIO NEGRO</v>
          </cell>
          <cell r="E16" t="str">
            <v>Proyectos (31.02)</v>
          </cell>
        </row>
        <row r="17">
          <cell r="B17">
            <v>40008370</v>
          </cell>
          <cell r="C17" t="str">
            <v>RE</v>
          </cell>
          <cell r="D17" t="str">
            <v>CONSTRUCCION POSTA DE SALUD RURAL COSTA RIO BLANCO, COMUNA DE RIO NEGRO</v>
          </cell>
          <cell r="E17" t="str">
            <v>Proyectos (31.02)</v>
          </cell>
        </row>
        <row r="18">
          <cell r="B18">
            <v>40003812</v>
          </cell>
          <cell r="C18" t="str">
            <v>Sin Rate</v>
          </cell>
          <cell r="D18" t="str">
            <v>CONSERVACION GIMNASIO MUNICIPAL DE RIO PUELO</v>
          </cell>
          <cell r="E18" t="str">
            <v>Proyectos (31.02)</v>
          </cell>
        </row>
        <row r="19">
          <cell r="B19">
            <v>40005745</v>
          </cell>
          <cell r="C19" t="str">
            <v>RS</v>
          </cell>
          <cell r="D19" t="str">
            <v>REPOSICION CUARTEL PRIMERA COMPAÑÍA DE BOMBEROS DE RIO PUELO, COMUNA DE COCHAMÓ.</v>
          </cell>
          <cell r="E19" t="str">
            <v>Proyectos (31.02)</v>
          </cell>
        </row>
        <row r="20">
          <cell r="B20">
            <v>40015528</v>
          </cell>
          <cell r="C20" t="str">
            <v>RS</v>
          </cell>
          <cell r="D20" t="str">
            <v>REPOSICION POSTA DE SALUD RURAL LLANADA GRANDE, COMUNA COCHAMO</v>
          </cell>
          <cell r="E20" t="str">
            <v>Proyectos (31.02)</v>
          </cell>
        </row>
        <row r="21">
          <cell r="B21">
            <v>30088194</v>
          </cell>
          <cell r="C21" t="str">
            <v>Sin Rate</v>
          </cell>
          <cell r="D21" t="str">
            <v>REPOSICION ESCUELAS ANDREW JACKSON Y RÍO NEGRO, COMUNA RÍO NEGRO</v>
          </cell>
          <cell r="E21" t="str">
            <v>Proyectos (31.02)</v>
          </cell>
        </row>
        <row r="22">
          <cell r="B22">
            <v>40019107</v>
          </cell>
          <cell r="C22" t="str">
            <v>RS</v>
          </cell>
          <cell r="D22" t="str">
            <v>CONSTRUCCION SUM. ENERGIA FOTOVOLTAICA  EL MANSO-L V GORMAZ-L T. TAGUA-LOS GUINDOS, COCHAMO</v>
          </cell>
          <cell r="E22" t="str">
            <v>Proyectos (31.02)</v>
          </cell>
        </row>
        <row r="23">
          <cell r="B23">
            <v>40019209</v>
          </cell>
          <cell r="C23" t="str">
            <v>Sin Rate</v>
          </cell>
          <cell r="D23" t="str">
            <v>HABILITACION SUMINISTRO E.E. SISTEMAS FOTOVOLTAICOS INDIVIDUALES DIVERSOS SECTORES COCHAMO</v>
          </cell>
          <cell r="E23" t="str">
            <v>Proyectos (31.02)</v>
          </cell>
        </row>
        <row r="24">
          <cell r="B24">
            <v>40039645</v>
          </cell>
          <cell r="C24" t="str">
            <v>Sin Rate</v>
          </cell>
          <cell r="D24" t="str">
            <v>HABILITACION SUMINISTRO ENERGIA ELECTRICA SECTOR CHAPACO Y OTROS</v>
          </cell>
          <cell r="E24" t="str">
            <v>Proyectos (31.02)</v>
          </cell>
        </row>
        <row r="25">
          <cell r="B25">
            <v>40032117</v>
          </cell>
          <cell r="C25" t="str">
            <v>Sin Rate</v>
          </cell>
          <cell r="D25" t="str">
            <v>CONSERVACION DE CAMINOS NO ENROLADOS, COMUNA DE RIO NEGRO</v>
          </cell>
          <cell r="E25" t="str">
            <v>Proyectos (31.02)</v>
          </cell>
        </row>
        <row r="26">
          <cell r="B26">
            <v>40032116</v>
          </cell>
          <cell r="C26" t="str">
            <v>Sin Rate</v>
          </cell>
          <cell r="D26" t="str">
            <v>HABILITACION SUMINISTRO ENERGIA ELECTRICA SECTOR HUENTELELFU Y CHAN CHAN BAJO</v>
          </cell>
          <cell r="E26" t="str">
            <v>Proyectos (31.02)</v>
          </cell>
        </row>
        <row r="27">
          <cell r="B27">
            <v>40041382</v>
          </cell>
          <cell r="C27" t="str">
            <v>Sin Rate</v>
          </cell>
          <cell r="D27" t="str">
            <v>CONSTRUCCION POSTA DE SALUD RURAL EL PONCHO, COMUNA DE PUERTO OCTAY</v>
          </cell>
          <cell r="E27" t="str">
            <v>Proyectos (31.02)</v>
          </cell>
        </row>
        <row r="28">
          <cell r="B28">
            <v>30134714</v>
          </cell>
          <cell r="C28" t="str">
            <v>RE</v>
          </cell>
          <cell r="D28" t="str">
            <v>CONSTRUCCION ESTADIO MUNICIPAL ANFUR, COMUNA DE FRESIA</v>
          </cell>
          <cell r="E28" t="str">
            <v>Proyectos (31.02)</v>
          </cell>
        </row>
        <row r="29">
          <cell r="B29">
            <v>30212472</v>
          </cell>
          <cell r="C29" t="str">
            <v>RS</v>
          </cell>
          <cell r="D29" t="str">
            <v>CONSTRUCCION SERVICIO APR SECTOR RURAL EL MAÑIO, FRESIA (LIQUIDACIÓN)</v>
          </cell>
          <cell r="E29" t="str">
            <v>Proyectos (31.02)</v>
          </cell>
        </row>
        <row r="30">
          <cell r="B30">
            <v>40042403</v>
          </cell>
          <cell r="C30" t="str">
            <v>Sin Rate</v>
          </cell>
          <cell r="D30" t="str">
            <v>CONSERVACION CAMINOS NO ENROLADOS, COMUNA DE FRESIA</v>
          </cell>
          <cell r="E30" t="str">
            <v>Proyectos (31.02)</v>
          </cell>
        </row>
        <row r="31">
          <cell r="B31">
            <v>30071878</v>
          </cell>
          <cell r="C31" t="str">
            <v>RS</v>
          </cell>
          <cell r="D31" t="str">
            <v>REPOSICION CONSULTORIO DE SALUD RURAL BAHIA MANSA</v>
          </cell>
          <cell r="E31" t="str">
            <v>Proyectos (31.02)</v>
          </cell>
        </row>
        <row r="32">
          <cell r="B32">
            <v>40019284</v>
          </cell>
          <cell r="C32" t="str">
            <v>Sin Rate</v>
          </cell>
          <cell r="D32" t="str">
            <v>CONSTRUCCION SISTEMAS FOTOVOLTAICOS SECTOR LA BARRA DEL RIO BUENO, SAN JUAN DE LA COSTA</v>
          </cell>
          <cell r="E32" t="str">
            <v>Proyectos (31.02)</v>
          </cell>
        </row>
        <row r="33">
          <cell r="B33">
            <v>40037348</v>
          </cell>
          <cell r="C33" t="str">
            <v>Sin Rate</v>
          </cell>
          <cell r="D33" t="str">
            <v>HABILITACION SUMINISTRO ENERGIA ELECTRICA SECTOR CHOROY TRAIGUEN ETAPA 2, SAN JUAN DE LA COSTA</v>
          </cell>
          <cell r="E33" t="str">
            <v>Proyectos (31.02)</v>
          </cell>
        </row>
        <row r="34">
          <cell r="B34">
            <v>30110580</v>
          </cell>
          <cell r="C34" t="str">
            <v>RS</v>
          </cell>
          <cell r="D34" t="str">
            <v>REPOSICION LICEO E INTERNADO ANTULAFKEN DE PUAUCHO</v>
          </cell>
          <cell r="E34" t="str">
            <v>Proyectos (31.02)</v>
          </cell>
        </row>
        <row r="35">
          <cell r="B35">
            <v>30291073</v>
          </cell>
          <cell r="C35" t="str">
            <v>RS</v>
          </cell>
          <cell r="D35" t="str">
            <v>CONSTRUCCION POSTA DE SALUD RURAL PUCATRIHUE, SAN JUAN DE LA COSTA</v>
          </cell>
          <cell r="E35" t="str">
            <v>Proyectos (31.02)</v>
          </cell>
        </row>
        <row r="36">
          <cell r="B36">
            <v>30085259</v>
          </cell>
          <cell r="C36" t="str">
            <v>RS</v>
          </cell>
          <cell r="D36" t="str">
            <v>REPOSICION ESCUELA ARTURO ALESSANDRI PALMA FRUTILLAR</v>
          </cell>
          <cell r="E36" t="str">
            <v>Proyectos (31.02)</v>
          </cell>
        </row>
        <row r="37">
          <cell r="B37">
            <v>30485115</v>
          </cell>
          <cell r="C37" t="str">
            <v>RS</v>
          </cell>
          <cell r="D37" t="str">
            <v>CONSTRUCCION SERVICIO DE APR SECTOR BALMACEDA-PARAGUAY, FRUTILLAR (LIQUIDACIÓN)</v>
          </cell>
          <cell r="E37" t="str">
            <v>Proyectos (31.02)</v>
          </cell>
        </row>
        <row r="38">
          <cell r="B38">
            <v>30485139</v>
          </cell>
          <cell r="C38" t="str">
            <v>RS</v>
          </cell>
          <cell r="D38" t="str">
            <v>CONSTRUCCION SERVICIO DE APR SECTOR PICHILOPEZ, FRUTILLAR</v>
          </cell>
          <cell r="E38" t="str">
            <v>Proyectos (31.02)</v>
          </cell>
        </row>
        <row r="39">
          <cell r="B39">
            <v>40008106</v>
          </cell>
          <cell r="C39" t="str">
            <v>RS</v>
          </cell>
          <cell r="D39" t="str">
            <v>REPOSICION CUARTEL 2º COMPAÑIA DE BOMBEROS, FRUTILLAR</v>
          </cell>
          <cell r="E39" t="str">
            <v>Proyectos (31.02)</v>
          </cell>
        </row>
        <row r="40">
          <cell r="B40">
            <v>40013412</v>
          </cell>
          <cell r="C40" t="str">
            <v>Sin Rate</v>
          </cell>
          <cell r="D40" t="str">
            <v>REPOSICION POSTA DE SALUD RURAL CASMA</v>
          </cell>
          <cell r="E40" t="str">
            <v>Proyectos (31.02)</v>
          </cell>
        </row>
        <row r="41">
          <cell r="B41">
            <v>40034637</v>
          </cell>
          <cell r="C41" t="str">
            <v>Sin Rate</v>
          </cell>
          <cell r="D41" t="str">
            <v>CONSERVACION CAMINOS NO ENROLADOS 7 SECTORES RURALES DE LA COMUNA DE FRUTILLAR</v>
          </cell>
          <cell r="E41" t="str">
            <v>Proyectos (31.02)</v>
          </cell>
        </row>
        <row r="42">
          <cell r="B42">
            <v>40039621</v>
          </cell>
          <cell r="C42" t="str">
            <v>Sin Rate</v>
          </cell>
          <cell r="D42" t="str">
            <v>HABILITACION SUMINISTRO ENERGIA ELECTRICA SECTOR PUENTE HUELLELHUE</v>
          </cell>
          <cell r="E42" t="str">
            <v>Proyectos (31.02)</v>
          </cell>
        </row>
        <row r="43">
          <cell r="B43">
            <v>30465134</v>
          </cell>
          <cell r="C43" t="str">
            <v/>
          </cell>
          <cell r="D43" t="str">
            <v>ACTUALIZACION PLAN REGULADOR COMUNAL CALBUCO</v>
          </cell>
          <cell r="E43" t="str">
            <v>Servicios Técnicos y Profesionales (22.11)</v>
          </cell>
        </row>
        <row r="44">
          <cell r="B44">
            <v>30479286</v>
          </cell>
          <cell r="C44" t="str">
            <v>RS</v>
          </cell>
          <cell r="D44" t="str">
            <v>CONSTRUCCION SERVICIO AGUA POTABLE RURAL ISLA QUENU, COMUNA DE CALBUCO.</v>
          </cell>
          <cell r="E44" t="str">
            <v>Proyectos (31.02)</v>
          </cell>
        </row>
        <row r="45">
          <cell r="B45">
            <v>40005930</v>
          </cell>
          <cell r="C45" t="str">
            <v>RS</v>
          </cell>
          <cell r="D45" t="str">
            <v>CONSTRUCCION SERVICIO AGUA POTABLE RURAL AVELLANAL, CALBUCO</v>
          </cell>
          <cell r="E45" t="str">
            <v>Proyectos (31.02)</v>
          </cell>
        </row>
        <row r="46">
          <cell r="B46">
            <v>20181416</v>
          </cell>
          <cell r="C46" t="str">
            <v>Sin Rate</v>
          </cell>
          <cell r="D46" t="str">
            <v>REPOSICION POSTA DE SALUD PEÑASMO, CALBUCO</v>
          </cell>
          <cell r="E46" t="str">
            <v>Proyectos (31.02)</v>
          </cell>
        </row>
        <row r="47">
          <cell r="B47">
            <v>30135967</v>
          </cell>
          <cell r="C47" t="str">
            <v>RE</v>
          </cell>
          <cell r="D47" t="str">
            <v>CONSTRUCCION ESTACION DE TRANSFERENCIA LA CAMPANA, CALBUCO</v>
          </cell>
          <cell r="E47" t="str">
            <v>Proyectos (31.02)</v>
          </cell>
        </row>
        <row r="48">
          <cell r="B48">
            <v>30326322</v>
          </cell>
          <cell r="C48" t="str">
            <v>OT</v>
          </cell>
          <cell r="D48" t="str">
            <v>REPOSICION ESCUELA BERNARDO OHIGGINS, CALBUCO</v>
          </cell>
          <cell r="E48" t="str">
            <v>Proyectos (31.02)</v>
          </cell>
        </row>
        <row r="49">
          <cell r="B49">
            <v>30380331</v>
          </cell>
          <cell r="C49" t="str">
            <v>RS</v>
          </cell>
          <cell r="D49" t="str">
            <v>CONSTRUCCION Y HABILITACION CENTRO DE DIALISIS HOSPITAL DE CALBUCO</v>
          </cell>
          <cell r="E49" t="str">
            <v>Proyectos (31.02)</v>
          </cell>
        </row>
        <row r="50">
          <cell r="B50">
            <v>40019378</v>
          </cell>
          <cell r="C50" t="str">
            <v>Sin Rate</v>
          </cell>
          <cell r="D50" t="str">
            <v>CONSTRUCCION AGUA POTABLE RURAL TOTORAL, COMUNA DE LLANQUIHUE</v>
          </cell>
          <cell r="E50" t="str">
            <v>Proyectos (31.02)</v>
          </cell>
        </row>
        <row r="51">
          <cell r="B51">
            <v>40019376</v>
          </cell>
          <cell r="C51" t="str">
            <v>RS</v>
          </cell>
          <cell r="D51" t="str">
            <v>DIAGNOSTICO PLAN MAESTRO AGUAS LLUVIAS COMUNA DE LLANQUIHUE</v>
          </cell>
          <cell r="E51" t="str">
            <v>Estudios Básicos (31.01)</v>
          </cell>
        </row>
        <row r="52">
          <cell r="B52">
            <v>40027009</v>
          </cell>
          <cell r="C52" t="str">
            <v>RS</v>
          </cell>
          <cell r="D52" t="str">
            <v>CONSERVACION PER. CAM. VEC., C. DE CALBUCO Y MAULLÍN, REG. DE LOS LAGOS, 2020-2021</v>
          </cell>
          <cell r="E52" t="str">
            <v>Proyectos (31.02)</v>
          </cell>
        </row>
        <row r="53">
          <cell r="B53">
            <v>40009718</v>
          </cell>
          <cell r="C53" t="str">
            <v/>
          </cell>
          <cell r="D53" t="str">
            <v>REPOSICION DE EQUIPOS LUMINARIAS PÚBLICAS, COMUNA DE LLANQUIHUE</v>
          </cell>
          <cell r="E53" t="str">
            <v>ADQUISICION DE ACTIVOS NO FINANCIEROS (29)</v>
          </cell>
        </row>
        <row r="54">
          <cell r="B54">
            <v>40035178</v>
          </cell>
          <cell r="C54" t="str">
            <v>RS</v>
          </cell>
          <cell r="D54" t="str">
            <v>REPOSICION RETÉN CONTAO, COMUNA DE HUALAIHUÉ</v>
          </cell>
          <cell r="E54" t="str">
            <v>Proyectos (31.02)</v>
          </cell>
        </row>
        <row r="55">
          <cell r="B55">
            <v>30421729</v>
          </cell>
          <cell r="C55" t="str">
            <v>RS</v>
          </cell>
          <cell r="D55" t="str">
            <v>REPOSICION OFICINA DEL REGISTRO CIVIL E IDENTIF. DE HORNOPIREN</v>
          </cell>
          <cell r="E55" t="str">
            <v>Proyectos (31.02)</v>
          </cell>
        </row>
        <row r="56">
          <cell r="B56">
            <v>40009995</v>
          </cell>
          <cell r="C56" t="str">
            <v>Sin Rate</v>
          </cell>
          <cell r="D56" t="str">
            <v>CONSTRUCCION CENTRO COMUNITARIO MULTIPROPOSITO BAHIA MANSA, SAN JUAN DE LA COSTA</v>
          </cell>
          <cell r="E56" t="str">
            <v>Proyectos (31.02)</v>
          </cell>
        </row>
        <row r="57">
          <cell r="B57">
            <v>40015654</v>
          </cell>
          <cell r="C57" t="str">
            <v>OT</v>
          </cell>
          <cell r="D57" t="str">
            <v>Habilitación SS EE ST Quilloimo Comp</v>
          </cell>
          <cell r="E57" t="str">
            <v>Proyectos (31.02)</v>
          </cell>
        </row>
        <row r="58">
          <cell r="B58">
            <v>40039329</v>
          </cell>
          <cell r="C58" t="str">
            <v>Sin Rate</v>
          </cell>
          <cell r="D58" t="str">
            <v>CONSTRUCCION AGUA POTABLE RURAL SECTOR PURRETRUN PUCATRIHUE, SAN JUAN DE LA COSTA</v>
          </cell>
          <cell r="E58" t="str">
            <v>Proyectos (31.02)</v>
          </cell>
        </row>
        <row r="59">
          <cell r="B59">
            <v>30064230</v>
          </cell>
          <cell r="C59" t="str">
            <v>RS</v>
          </cell>
          <cell r="D59" t="str">
            <v>REPOSICION ESTADIO EWALDO KLEIN DE PUERTO VARAS</v>
          </cell>
          <cell r="E59" t="str">
            <v>Proyectos (31.02)</v>
          </cell>
        </row>
        <row r="60">
          <cell r="B60">
            <v>30077182</v>
          </cell>
          <cell r="C60" t="str">
            <v>RS</v>
          </cell>
          <cell r="D60" t="str">
            <v>REPOSICION CUARTEL INVESTIGACIONES PUERTO VARAS</v>
          </cell>
          <cell r="E60" t="str">
            <v>Proyectos (31.02)</v>
          </cell>
        </row>
        <row r="61">
          <cell r="B61">
            <v>30087304</v>
          </cell>
          <cell r="C61" t="str">
            <v>Sin Rate</v>
          </cell>
          <cell r="D61" t="str">
            <v>REPOSICION POSTA RURAL DE PEULLA, PUERTO VARAS</v>
          </cell>
          <cell r="E61" t="str">
            <v>Proyectos (31.02)</v>
          </cell>
        </row>
        <row r="62">
          <cell r="B62">
            <v>30125885</v>
          </cell>
          <cell r="C62" t="str">
            <v>Sin Rate</v>
          </cell>
          <cell r="D62" t="str">
            <v>CONSTRUCCION SERVICIO APR TERMAS DE RALUN, PUERTO VARAS</v>
          </cell>
          <cell r="E62" t="str">
            <v>Proyectos (31.02)</v>
          </cell>
        </row>
        <row r="63">
          <cell r="B63">
            <v>40019241</v>
          </cell>
          <cell r="C63" t="str">
            <v>Sin Rate</v>
          </cell>
          <cell r="D63" t="str">
            <v>CONSTRUCCION SOLUCIONES FOTOVOLTAICAS INDIVIDUALES LAGO TODOS LOS SANTOS</v>
          </cell>
          <cell r="E63" t="str">
            <v>Proyectos (31.02)</v>
          </cell>
        </row>
        <row r="64">
          <cell r="B64">
            <v>30204522</v>
          </cell>
          <cell r="C64" t="str">
            <v>RS</v>
          </cell>
          <cell r="D64" t="str">
            <v>REPOSICION CUARTEL SEXTA COMPAÑIA DE BOMBEROS, PUERTO VARAS</v>
          </cell>
          <cell r="E64" t="str">
            <v>Proyectos (31.02)</v>
          </cell>
        </row>
        <row r="65">
          <cell r="B65">
            <v>30485331</v>
          </cell>
          <cell r="C65" t="str">
            <v>RS</v>
          </cell>
          <cell r="D65" t="str">
            <v>MEJORAMIENTO PARQUE CERRO PHILIPPI PUERTO VARAS</v>
          </cell>
          <cell r="E65" t="str">
            <v>Proyectos (31.02)</v>
          </cell>
        </row>
        <row r="66">
          <cell r="B66">
            <v>40012083</v>
          </cell>
          <cell r="C66" t="str">
            <v>RS</v>
          </cell>
          <cell r="D66" t="str">
            <v>CONSTRUCCION CESFAM NUEVA BRAUNAU, PUERTO VARAS</v>
          </cell>
          <cell r="E66" t="str">
            <v>Proyectos (31.02)</v>
          </cell>
        </row>
        <row r="67">
          <cell r="B67">
            <v>40015147</v>
          </cell>
          <cell r="C67" t="str">
            <v>RS</v>
          </cell>
          <cell r="D67" t="str">
            <v>CONSERVACION ACERAS DIVERSOS SECTORES DE PUERTO VARAS</v>
          </cell>
          <cell r="E67" t="str">
            <v>Proyectos (31.02)</v>
          </cell>
        </row>
        <row r="68">
          <cell r="B68">
            <v>40023990</v>
          </cell>
          <cell r="C68" t="str">
            <v>RS</v>
          </cell>
          <cell r="D68" t="str">
            <v>DIAGNOSTICO SISTEMA DE TRANSPORTE URBANO CIUDAD DE PUERTO VARAS, ETAPA I</v>
          </cell>
          <cell r="E68" t="str">
            <v>Estudios Básicos (31.01)</v>
          </cell>
        </row>
        <row r="69">
          <cell r="B69">
            <v>40042364</v>
          </cell>
          <cell r="C69" t="str">
            <v>Sin Rate</v>
          </cell>
          <cell r="D69" t="str">
            <v>CONSERVACION GIMNASIO COLISEO MUNICIPAL DE PUERTO VARAS</v>
          </cell>
          <cell r="E69" t="str">
            <v>Proyectos (31.02)</v>
          </cell>
        </row>
        <row r="70">
          <cell r="B70">
            <v>40042379</v>
          </cell>
          <cell r="C70" t="str">
            <v>Sin Rate</v>
          </cell>
          <cell r="D70" t="str">
            <v>CONSERVACION ACERAS SECTOR PUERTO CHICO DE PUERTO VARAS</v>
          </cell>
          <cell r="E70" t="str">
            <v>Proyectos (31.02)</v>
          </cell>
        </row>
        <row r="71">
          <cell r="B71">
            <v>30485133</v>
          </cell>
          <cell r="C71" t="str">
            <v>RS</v>
          </cell>
          <cell r="D71" t="str">
            <v>CONSTRUCCION SISTEMA DE AGUA POTABLE RURAL SECTOR PEDERNAL,  FRUTILLAR</v>
          </cell>
          <cell r="E71" t="str">
            <v>Proyectos (31.02)</v>
          </cell>
        </row>
        <row r="72">
          <cell r="B72">
            <v>30077481</v>
          </cell>
          <cell r="C72" t="str">
            <v>RS</v>
          </cell>
          <cell r="D72" t="str">
            <v>RESTAURACION IGLESIA N. S. DE LA CANDELARIA DE CARELMAPU, MAULLIN</v>
          </cell>
          <cell r="E72" t="str">
            <v>Proyectos (31.02)</v>
          </cell>
        </row>
        <row r="73">
          <cell r="B73">
            <v>30134234</v>
          </cell>
          <cell r="C73" t="str">
            <v>RS</v>
          </cell>
          <cell r="D73" t="str">
            <v>CONSTRUCCION GIMNASIO TEN - TEN, COMUNA DE MAULLIN</v>
          </cell>
          <cell r="E73" t="str">
            <v>Proyectos (31.02)</v>
          </cell>
        </row>
        <row r="74">
          <cell r="B74">
            <v>30399945</v>
          </cell>
          <cell r="C74" t="str">
            <v>RS</v>
          </cell>
          <cell r="D74" t="str">
            <v>REPOSICION CENTRO COMUNITARIO QUENUIR, COMUNA DE MAULLIN</v>
          </cell>
          <cell r="E74" t="str">
            <v>Proyectos (31.02)</v>
          </cell>
        </row>
        <row r="75">
          <cell r="B75">
            <v>40007573</v>
          </cell>
          <cell r="C75" t="str">
            <v>RS</v>
          </cell>
          <cell r="D75" t="str">
            <v>REPOSICION ESCUELA JOSE ABELARDO NUÑEZ, COMUNA DE MAULLIN</v>
          </cell>
          <cell r="E75" t="str">
            <v>Proyectos (31.02)</v>
          </cell>
        </row>
        <row r="76">
          <cell r="B76">
            <v>40007939</v>
          </cell>
          <cell r="C76" t="str">
            <v/>
          </cell>
          <cell r="D76" t="str">
            <v>REPOSICION EQUIPOS DE ALUMBRADO PÚBLICO CON TECNOLOGIA LED COMUNA DE MAULLIN</v>
          </cell>
          <cell r="E76" t="str">
            <v>ADQUISICION DE ACTIVOS NO FINANCIEROS (29)</v>
          </cell>
        </row>
        <row r="77">
          <cell r="B77">
            <v>40034838</v>
          </cell>
          <cell r="C77" t="str">
            <v>RS</v>
          </cell>
          <cell r="D77" t="str">
            <v>MEJORAMIENTO CALLES LOTEO TIERRA VERDE, CARELMAPU, COMUNA DE MAULLIN</v>
          </cell>
          <cell r="E77" t="str">
            <v>Proyectos (31.02)</v>
          </cell>
        </row>
        <row r="78">
          <cell r="B78">
            <v>40038150</v>
          </cell>
          <cell r="C78" t="str">
            <v>Sin Rate</v>
          </cell>
          <cell r="D78" t="str">
            <v>MEJORAMIENTO 5 CALLES DE MAULLIN URBANO, COMUNA DE MAULLIN</v>
          </cell>
          <cell r="E78" t="str">
            <v>Proyectos (31.02)</v>
          </cell>
        </row>
        <row r="79">
          <cell r="B79">
            <v>40038210</v>
          </cell>
          <cell r="C79" t="str">
            <v>Sin Rate</v>
          </cell>
          <cell r="D79" t="str">
            <v>CONSERVACION CAMINOS VECINALES EN 6 SECTORES RURALES, COMUNA DE MAULLIN</v>
          </cell>
          <cell r="E79" t="str">
            <v>Proyectos (31.02)</v>
          </cell>
        </row>
        <row r="80">
          <cell r="B80">
            <v>40043136</v>
          </cell>
          <cell r="C80" t="str">
            <v>Sin Rate</v>
          </cell>
          <cell r="D80" t="str">
            <v>HABILITACION SUMINISTRO ENERGIA ELECTRICA</v>
          </cell>
          <cell r="E80" t="str">
            <v>Proyectos (31.02)</v>
          </cell>
        </row>
        <row r="81">
          <cell r="B81">
            <v>40043137</v>
          </cell>
          <cell r="C81" t="str">
            <v>Sin Rate</v>
          </cell>
          <cell r="D81" t="str">
            <v>HABILITACION SUMINITRO DE ENERGIA ELECTRICA PENINSULA AMORTAJADO</v>
          </cell>
          <cell r="E81" t="str">
            <v>Proyectos (31.02)</v>
          </cell>
        </row>
        <row r="82">
          <cell r="B82">
            <v>20195455</v>
          </cell>
          <cell r="C82" t="str">
            <v>FI</v>
          </cell>
          <cell r="D82" t="str">
            <v>MEJORAMIENTO CALLE PADRE HARTER DE PUERTO MONTT</v>
          </cell>
          <cell r="E82" t="str">
            <v>Proyectos (31.02)</v>
          </cell>
        </row>
        <row r="83">
          <cell r="B83">
            <v>30072731</v>
          </cell>
          <cell r="C83" t="str">
            <v>RS</v>
          </cell>
          <cell r="D83" t="str">
            <v>MEJORAMIENTO CALLE ANTONIO VARAS, PUERTO MONTT</v>
          </cell>
          <cell r="E83" t="str">
            <v>Proyectos (31.02)</v>
          </cell>
        </row>
        <row r="84">
          <cell r="B84">
            <v>30077490</v>
          </cell>
          <cell r="C84" t="str">
            <v>RS</v>
          </cell>
          <cell r="D84" t="str">
            <v>CONSERVACION CASA PAULY PUERTO MONTT</v>
          </cell>
          <cell r="E84" t="str">
            <v>Proyectos (31.02)</v>
          </cell>
        </row>
        <row r="85">
          <cell r="B85">
            <v>30080921</v>
          </cell>
          <cell r="C85" t="str">
            <v>Sin Rate</v>
          </cell>
          <cell r="D85" t="str">
            <v>REPOSICION POSTA  RURAL DE PIEDRA  AZUL, PUERTO MONTT</v>
          </cell>
          <cell r="E85" t="str">
            <v>Proyectos (31.02)</v>
          </cell>
        </row>
        <row r="86">
          <cell r="B86">
            <v>30080922</v>
          </cell>
          <cell r="C86" t="str">
            <v>RS</v>
          </cell>
          <cell r="D86" t="str">
            <v>REPOSICION POSTA DE SALUD  RURAL DE HUELMO, PUERTO MONTT</v>
          </cell>
          <cell r="E86" t="str">
            <v>Proyectos (31.02)</v>
          </cell>
        </row>
        <row r="87">
          <cell r="B87">
            <v>30091074</v>
          </cell>
          <cell r="C87" t="str">
            <v>RS</v>
          </cell>
          <cell r="D87" t="str">
            <v>CONSTRUCCION BIBLIOTECA REGIONAL  LOS LAGOS, PUERTO MONTT</v>
          </cell>
          <cell r="E87" t="str">
            <v>Proyectos (31.02)</v>
          </cell>
        </row>
        <row r="88">
          <cell r="B88">
            <v>30115395</v>
          </cell>
          <cell r="C88" t="str">
            <v>RS</v>
          </cell>
          <cell r="D88" t="str">
            <v>CONSTRUCCION CUARTEL OCTAVA COMPAÑIA DE BOMBEROS, PUERTO MONTT</v>
          </cell>
          <cell r="E88" t="str">
            <v>Proyectos (31.02)</v>
          </cell>
        </row>
        <row r="89">
          <cell r="B89">
            <v>30127010</v>
          </cell>
          <cell r="C89" t="str">
            <v>RS</v>
          </cell>
          <cell r="D89" t="str">
            <v>MEJORAMIENTO CALLE EL TENIENTE, BARRIO INDUSTRIAL DE PUERTO MONTT</v>
          </cell>
          <cell r="E89" t="str">
            <v>Proyectos (31.02)</v>
          </cell>
        </row>
        <row r="90">
          <cell r="B90">
            <v>30270222</v>
          </cell>
          <cell r="C90" t="str">
            <v>RS</v>
          </cell>
          <cell r="D90" t="str">
            <v>REPOSICION POSTA RURAL DE CORRENTOSO, PUERTO MONTT</v>
          </cell>
          <cell r="E90" t="str">
            <v>Proyectos (31.02)</v>
          </cell>
        </row>
        <row r="91">
          <cell r="B91">
            <v>30376572</v>
          </cell>
          <cell r="C91" t="str">
            <v>RS</v>
          </cell>
          <cell r="D91" t="str">
            <v>ACTUALIZACION PLAN MAESTRO AGUAS LLUVIAS PUERTO MONTT</v>
          </cell>
          <cell r="E91" t="str">
            <v>Estudios Básicos (31.01)</v>
          </cell>
        </row>
        <row r="92">
          <cell r="B92">
            <v>30437675</v>
          </cell>
          <cell r="C92" t="str">
            <v>RS</v>
          </cell>
          <cell r="D92" t="str">
            <v>CONSTRUCCION CONECTIVIDAD INTERTERRAZAS PUERTO MONTT</v>
          </cell>
          <cell r="E92" t="str">
            <v>Proyectos (31.02)</v>
          </cell>
        </row>
        <row r="93">
          <cell r="B93">
            <v>30484441</v>
          </cell>
          <cell r="C93" t="str">
            <v>Sin Rate</v>
          </cell>
          <cell r="D93" t="str">
            <v>REPOSICION SAPU DEL CESFAM PADRE HURTADO COMUNA DE PUERTO MONTT</v>
          </cell>
          <cell r="E93" t="str">
            <v>Proyectos (31.02)</v>
          </cell>
        </row>
        <row r="94">
          <cell r="B94">
            <v>40005337</v>
          </cell>
          <cell r="C94" t="str">
            <v>Sin Rate</v>
          </cell>
          <cell r="D94" t="str">
            <v>REPOSICION POSTA TRAPEN, PUERTO MONTT</v>
          </cell>
          <cell r="E94" t="str">
            <v>Proyectos (31.02)</v>
          </cell>
        </row>
        <row r="95">
          <cell r="B95">
            <v>40009792</v>
          </cell>
          <cell r="C95" t="str">
            <v>RS</v>
          </cell>
          <cell r="D95" t="str">
            <v>Construcción Jardín Infantil La Vara</v>
          </cell>
          <cell r="E95" t="str">
            <v>Proyectos (31.02)</v>
          </cell>
        </row>
        <row r="96">
          <cell r="B96">
            <v>40033297</v>
          </cell>
          <cell r="C96" t="str">
            <v>RS</v>
          </cell>
          <cell r="D96" t="str">
            <v>CONSERVACION PERIÓDICA, RUTA V-629 LA VARA-SENDA SUR KM 0,0 AL KM 7,5, COMUNA DE PUERTO MONTT</v>
          </cell>
          <cell r="E96" t="str">
            <v>Proyectos (31.02)</v>
          </cell>
        </row>
        <row r="97">
          <cell r="B97">
            <v>30435722</v>
          </cell>
          <cell r="C97" t="str">
            <v>Sin Rate</v>
          </cell>
          <cell r="D97" t="str">
            <v>CONSTRUCCION CENTRO CULTURAL, COMUNA DE FRESIA</v>
          </cell>
          <cell r="E97" t="str">
            <v>Proyectos (31.02)</v>
          </cell>
        </row>
        <row r="98">
          <cell r="B98">
            <v>40025032</v>
          </cell>
          <cell r="C98" t="str">
            <v>RS</v>
          </cell>
          <cell r="D98" t="str">
            <v>CONSERVACION VEREDAS, FRESIA URBANO</v>
          </cell>
          <cell r="E98" t="str">
            <v>Proyectos (31.02)</v>
          </cell>
        </row>
        <row r="99">
          <cell r="B99">
            <v>40027989</v>
          </cell>
          <cell r="C99" t="str">
            <v/>
          </cell>
          <cell r="D99" t="str">
            <v>ADQUISICION MAQUINARIA, COMUNA DE FRESIA</v>
          </cell>
          <cell r="E99" t="str">
            <v>ADQUISICION DE ACTIVOS NO FINANCIEROS (29)</v>
          </cell>
        </row>
        <row r="100">
          <cell r="B100">
            <v>40036932</v>
          </cell>
          <cell r="C100" t="str">
            <v/>
          </cell>
          <cell r="D100" t="str">
            <v>ADQUISICION AMBULANCIA BASICA, COMUNA DE FRESIA</v>
          </cell>
          <cell r="E100" t="str">
            <v>ADQUISICION DE ACTIVOS NO FINANCIEROS (29)</v>
          </cell>
        </row>
        <row r="101">
          <cell r="B101">
            <v>40039887</v>
          </cell>
          <cell r="C101" t="str">
            <v/>
          </cell>
          <cell r="D101" t="str">
            <v>ADQUISICION CAMION MULTIPROPÓSITO, COCHAMO</v>
          </cell>
          <cell r="E101" t="str">
            <v>ADQUISICION DE ACTIVOS NO FINANCIEROS (29)</v>
          </cell>
        </row>
        <row r="102">
          <cell r="B102">
            <v>40031422</v>
          </cell>
          <cell r="C102" t="str">
            <v/>
          </cell>
          <cell r="D102" t="str">
            <v>REPOSICION CAMIÓN RECOLECTOR DE RESIDUOS SÓLIDOS EN LA COMUNA DE FRUTILLAR</v>
          </cell>
          <cell r="E102" t="str">
            <v>ADQUISICION DE ACTIVOS NO FINANCIEROS (29)</v>
          </cell>
        </row>
        <row r="103">
          <cell r="B103">
            <v>40032936</v>
          </cell>
          <cell r="C103" t="str">
            <v/>
          </cell>
          <cell r="D103" t="str">
            <v>ADQUISICION CAMIONES Y CONTENEDORES PARA LA RECOLECCIÓN DE RSD, COMUNA DE LLANQUIHUE</v>
          </cell>
          <cell r="E103" t="str">
            <v>ADQUISICION DE ACTIVOS NO FINANCIEROS (29)</v>
          </cell>
        </row>
        <row r="104">
          <cell r="B104">
            <v>40034362</v>
          </cell>
          <cell r="C104" t="str">
            <v/>
          </cell>
          <cell r="D104" t="str">
            <v>REPOSICION EQUIPOS ESTABLECIMIENTOS DE SALUD, LOS MUERMOS</v>
          </cell>
          <cell r="E104" t="str">
            <v>ADQUISICION DE ACTIVOS NO FINANCIEROS (29)</v>
          </cell>
        </row>
        <row r="105">
          <cell r="B105">
            <v>40034762</v>
          </cell>
          <cell r="C105" t="str">
            <v/>
          </cell>
          <cell r="D105" t="str">
            <v>ADQUISICION CAMION RECOLECTOR RESIDUOS DOMICILIARIOS COMUNA DE MAULLIN</v>
          </cell>
          <cell r="E105" t="str">
            <v>ADQUISICION DE ACTIVOS NO FINANCIEROS (29)</v>
          </cell>
        </row>
        <row r="106">
          <cell r="B106">
            <v>40033774</v>
          </cell>
          <cell r="C106" t="str">
            <v/>
          </cell>
          <cell r="D106" t="str">
            <v>REPOSICION CAMIONES Y MAQUINARIAS - MUNICIPALIDAD DE PUERTO MONTT</v>
          </cell>
          <cell r="E106" t="str">
            <v>ADQUISICION DE ACTIVOS NO FINANCIEROS (29)</v>
          </cell>
        </row>
        <row r="107">
          <cell r="B107">
            <v>40039211</v>
          </cell>
          <cell r="C107" t="str">
            <v/>
          </cell>
          <cell r="D107" t="str">
            <v>ADQUISICION CAMIÓN ALJIBE PARA TRANSPORTE Y SUMINISTRO DE AGUA POTABLE</v>
          </cell>
          <cell r="E107" t="str">
            <v>ADQUISICION DE ACTIVOS NO FINANCIEROS (29)</v>
          </cell>
        </row>
        <row r="108">
          <cell r="B108">
            <v>30488894</v>
          </cell>
          <cell r="C108" t="str">
            <v/>
          </cell>
          <cell r="D108" t="str">
            <v>ADQUISICION EQUIPOS Y EQUIPAMIENTOS PARA HABILITACION PABELLON CMA</v>
          </cell>
          <cell r="E108" t="str">
            <v>ADQUISICION DE ACTIVOS NO FINANCIEROS (29)</v>
          </cell>
        </row>
        <row r="109">
          <cell r="B109">
            <v>40035805</v>
          </cell>
          <cell r="C109" t="str">
            <v>OT</v>
          </cell>
          <cell r="D109" t="str">
            <v>CONSTRUCCION GIMNASIO ESCUELA MIRASOL, PUERTO MONTT</v>
          </cell>
          <cell r="E109" t="str">
            <v>Proyectos (31.02)</v>
          </cell>
        </row>
        <row r="110">
          <cell r="B110">
            <v>40039653</v>
          </cell>
          <cell r="C110" t="str">
            <v/>
          </cell>
          <cell r="D110" t="str">
            <v>ADQUISICION LANCHA AMBULANCIA COMUNA DE CALBUCO</v>
          </cell>
          <cell r="E110" t="str">
            <v>ADQUISICION DE ACTIVOS NO FINANCIEROS (29)</v>
          </cell>
        </row>
        <row r="111">
          <cell r="B111">
            <v>20086686</v>
          </cell>
          <cell r="C111" t="str">
            <v>RS</v>
          </cell>
          <cell r="D111" t="str">
            <v>REPOSICION PARCIAL LICEO POLITECNICO ,  CALBUCO</v>
          </cell>
          <cell r="E111" t="str">
            <v>Proyectos (31.02)</v>
          </cell>
        </row>
        <row r="112">
          <cell r="B112">
            <v>30106468</v>
          </cell>
          <cell r="C112" t="str">
            <v>RS</v>
          </cell>
          <cell r="D112" t="str">
            <v>REPOSICION ESCUELA RURAL LAGUNITAS COMUNA DE PUERTO MONTT</v>
          </cell>
          <cell r="E112" t="str">
            <v>Proyectos (31.02)</v>
          </cell>
        </row>
        <row r="113">
          <cell r="B113">
            <v>40043567</v>
          </cell>
          <cell r="C113" t="str">
            <v/>
          </cell>
          <cell r="D113" t="str">
            <v>REPOSICION  MAQUINARIA MUNICIPAL, COMUNA QUEMCHI.</v>
          </cell>
          <cell r="E113" t="str">
            <v>ADQUISICION DE ACTIVOS NO FINANCIEROS (29)</v>
          </cell>
        </row>
        <row r="114">
          <cell r="B114">
            <v>40037544</v>
          </cell>
          <cell r="C114" t="str">
            <v/>
          </cell>
          <cell r="D114" t="str">
            <v>REPOSICION VEHICULOS DE LA MUNICIPALIDAD DE SAN JUAN DE LA COSTA</v>
          </cell>
          <cell r="E114" t="str">
            <v>ADQUISICION DE ACTIVOS NO FINANCIEROS (29)</v>
          </cell>
        </row>
        <row r="115">
          <cell r="B115">
            <v>40041298</v>
          </cell>
          <cell r="C115" t="str">
            <v/>
          </cell>
          <cell r="D115" t="str">
            <v>ADQUISICION  EXCAVADORA COMUNA DE PURRANQUE</v>
          </cell>
          <cell r="E115" t="str">
            <v>ADQUISICION DE ACTIVOS NO FINANCIEROS (29)</v>
          </cell>
        </row>
        <row r="116">
          <cell r="B116">
            <v>40026933</v>
          </cell>
          <cell r="C116" t="str">
            <v/>
          </cell>
          <cell r="D116" t="str">
            <v>ADQUISICION CAMIÓN RSD URBANO, CAMIÓN LAVACONTENEDOR Y REPOSICIÓN CAMIÓN RSD RURAL, CHONCHI</v>
          </cell>
          <cell r="E116" t="str">
            <v>ADQUISICION DE ACTIVOS NO FINANCIEROS (29)</v>
          </cell>
        </row>
        <row r="117">
          <cell r="B117">
            <v>40037793</v>
          </cell>
          <cell r="C117" t="str">
            <v/>
          </cell>
          <cell r="D117" t="str">
            <v>ADQUISICION 4 CAMIONES RECOLECTORES DE BASURA PARA LA MUNICIPALIDAD DE ANCUD</v>
          </cell>
          <cell r="E117" t="str">
            <v>ADQUISICION DE ACTIVOS NO FINANCIEROS (29)</v>
          </cell>
        </row>
        <row r="118">
          <cell r="B118">
            <v>40030948</v>
          </cell>
          <cell r="C118" t="str">
            <v/>
          </cell>
          <cell r="D118" t="str">
            <v>ADQUISICION EQUIPAMIENTO PARA ESTABLECIMIENTOS DE PRE-BASICA,COMUNA DE PURRANQUE (C33)</v>
          </cell>
          <cell r="E118" t="str">
            <v>ADQUISICION DE ACTIVOS NO FINANCIEROS (29)</v>
          </cell>
        </row>
        <row r="119">
          <cell r="B119">
            <v>40041628</v>
          </cell>
          <cell r="C119" t="str">
            <v/>
          </cell>
          <cell r="D119" t="str">
            <v>ADQUISICION AMBULANCIA DE EMERGENCIA BASICA LAS CASCADAS</v>
          </cell>
          <cell r="E119" t="str">
            <v>ADQUISICION DE ACTIVOS NO FINANCIEROS (29)</v>
          </cell>
        </row>
        <row r="120">
          <cell r="B120">
            <v>40039987</v>
          </cell>
          <cell r="C120" t="str">
            <v/>
          </cell>
          <cell r="D120" t="str">
            <v>REPOSICION Y ADQUISICIÓN DE CAMION COMPACTADOR Y CONTENEDORES DE BASURA, HUALAIHUE</v>
          </cell>
          <cell r="E120" t="str">
            <v>ADQUISICION DE ACTIVOS NO FINANCIEROS (29)</v>
          </cell>
        </row>
        <row r="121">
          <cell r="B121">
            <v>40033852</v>
          </cell>
          <cell r="C121" t="str">
            <v/>
          </cell>
          <cell r="D121" t="str">
            <v>REPOSICION CAMIONES TOLVA Y ADQUISICION  EXCAVADORA, COMUNA DE CHAITEN</v>
          </cell>
          <cell r="E121" t="str">
            <v>ADQUISICION DE ACTIVOS NO FINANCIEROS (29)</v>
          </cell>
        </row>
        <row r="122">
          <cell r="B122">
            <v>40034406</v>
          </cell>
          <cell r="C122" t="str">
            <v/>
          </cell>
          <cell r="D122" t="str">
            <v>ADQUISICION DE CAMION MULTIPROPOSITO EN LA COMUNA DE RIO NEGRO</v>
          </cell>
          <cell r="E122" t="str">
            <v>ADQUISICION DE ACTIVOS NO FINANCIEROS (29)</v>
          </cell>
        </row>
        <row r="123">
          <cell r="B123">
            <v>40039802</v>
          </cell>
          <cell r="C123" t="str">
            <v/>
          </cell>
          <cell r="D123" t="str">
            <v>REPOSICION EQUIPOS Y EQUIPAMIENTO CESFAM QUINTO CENTENARIO</v>
          </cell>
          <cell r="E123" t="str">
            <v>ADQUISICION DE ACTIVOS NO FINANCIEROS (29)</v>
          </cell>
        </row>
        <row r="124">
          <cell r="B124">
            <v>40019377</v>
          </cell>
          <cell r="C124" t="str">
            <v>Sin Rate</v>
          </cell>
          <cell r="D124" t="str">
            <v>CONSTRUCCION CASA DE LA DISCAPACIDAD, COMUNA DE LLANQUIHUE</v>
          </cell>
          <cell r="E124" t="str">
            <v>Proyectos (31.02)</v>
          </cell>
        </row>
        <row r="125">
          <cell r="B125">
            <v>40035233</v>
          </cell>
          <cell r="C125" t="str">
            <v>RS</v>
          </cell>
          <cell r="D125" t="str">
            <v>CONSERVACION 7 CAMINOS VECINALES, COMUNA DE MAULLIN</v>
          </cell>
          <cell r="E125" t="str">
            <v>Proyectos (31.02)</v>
          </cell>
        </row>
        <row r="126">
          <cell r="B126">
            <v>40043006</v>
          </cell>
          <cell r="C126" t="str">
            <v/>
          </cell>
          <cell r="D126" t="str">
            <v>REPOSICION Y ADQUISICION DE CAMIONES RECOLECTORES DE RSD, COMUNA DE FUTALEUFU</v>
          </cell>
          <cell r="E126" t="str">
            <v>ADQUISICION DE ACTIVOS NO FINANCIEROS (29)</v>
          </cell>
        </row>
        <row r="127">
          <cell r="B127">
            <v>40043234</v>
          </cell>
          <cell r="C127" t="str">
            <v/>
          </cell>
          <cell r="D127" t="str">
            <v>REPOSICION CAMIÓN TOLVA Y RETROEXCAVADORAS MUNICIPALIDAD DE CASTRO</v>
          </cell>
          <cell r="E127" t="str">
            <v>ADQUISICION DE ACTIVOS NO FINANCIEROS (29)</v>
          </cell>
        </row>
        <row r="128">
          <cell r="B128">
            <v>40015505</v>
          </cell>
          <cell r="C128" t="str">
            <v/>
          </cell>
          <cell r="D128" t="str">
            <v>REPOSICION BUS MUNICIPAL DE QUEILEN</v>
          </cell>
          <cell r="E128" t="str">
            <v>ADQUISICION DE ACTIVOS NO FINANCIEROS (29)</v>
          </cell>
        </row>
        <row r="129">
          <cell r="B129">
            <v>40040641</v>
          </cell>
          <cell r="C129" t="str">
            <v/>
          </cell>
          <cell r="D129" t="str">
            <v>ADQUISICION MAQUINARIA PARA MANTENIMIENTO DE CAMINOS, COMUNA DE QUEILEN</v>
          </cell>
          <cell r="E129" t="str">
            <v>ADQUISICION DE ACTIVOS NO FINANCIEROS (29)</v>
          </cell>
        </row>
        <row r="130">
          <cell r="B130">
            <v>40035522</v>
          </cell>
          <cell r="C130" t="str">
            <v/>
          </cell>
          <cell r="D130" t="str">
            <v>REPOSICION RETROEXCAVADORA Y ADQUISICIÓN RODILLO COMPACTADOR, COMUNA DE CHONCHI</v>
          </cell>
          <cell r="E130" t="str">
            <v>ADQUISICION DE ACTIVOS NO FINANCIEROS (29)</v>
          </cell>
        </row>
        <row r="131">
          <cell r="B131">
            <v>40042474</v>
          </cell>
          <cell r="C131" t="str">
            <v/>
          </cell>
          <cell r="D131" t="str">
            <v>REPOSICION AMBULANCHAS EMERGENCIA PARA 9 ISLAS DE COMUNA QUINCHAO</v>
          </cell>
          <cell r="E131" t="str">
            <v>ADQUISICION DE ACTIVOS NO FINANCIEROS (29)</v>
          </cell>
        </row>
        <row r="132">
          <cell r="B132">
            <v>40042473</v>
          </cell>
          <cell r="C132" t="str">
            <v/>
          </cell>
          <cell r="D132" t="str">
            <v>REPOSICION MAQUINARIA MUNICIPAL COMUNA QUINCHAO</v>
          </cell>
          <cell r="E132" t="str">
            <v>ADQUISICION DE ACTIVOS NO FINANCIEROS (29)</v>
          </cell>
        </row>
        <row r="133">
          <cell r="B133">
            <v>40013891</v>
          </cell>
          <cell r="C133" t="str">
            <v/>
          </cell>
          <cell r="D133" t="str">
            <v>ADQUISICION LUMINARIAS PARA DIVERSOS SECTORES RURALES, COMUNA DE CHONCHI</v>
          </cell>
          <cell r="E133" t="str">
            <v>ADQUISICION DE ACTIVOS NO FINANCIEROS (29)</v>
          </cell>
        </row>
        <row r="134">
          <cell r="B134">
            <v>40037170</v>
          </cell>
          <cell r="C134" t="str">
            <v/>
          </cell>
          <cell r="D134" t="str">
            <v>ADQUISICION DE CONTENEDORES PARA RSD COMUNA DE PUYEHUE</v>
          </cell>
          <cell r="E134" t="str">
            <v>ADQUISICION DE ACTIVOS NO FINANCIEROS (29)</v>
          </cell>
        </row>
        <row r="135">
          <cell r="B135">
            <v>40013818</v>
          </cell>
          <cell r="C135" t="str">
            <v/>
          </cell>
          <cell r="D135" t="str">
            <v>REPOSICION Y ADQUISICION MAQUINARIA  PARA MANTENCION DE CAMINOS VECINALES  COM. PUQUELDON</v>
          </cell>
          <cell r="E135" t="str">
            <v>ADQUISICION DE ACTIVOS NO FINANCIEROS (29)</v>
          </cell>
        </row>
        <row r="136">
          <cell r="B136">
            <v>40024504</v>
          </cell>
          <cell r="C136" t="str">
            <v/>
          </cell>
          <cell r="D136" t="str">
            <v>ADQUISICION EQUIPOS Y EQUIPAMIENTO PARA HABILITACIÓN ILUSTRE MUNICIPALIDAD DE FUTALEUFÚ</v>
          </cell>
          <cell r="E136" t="str">
            <v>ADQUISICION DE ACTIVOS NO FINANCIEROS (29)</v>
          </cell>
        </row>
        <row r="137">
          <cell r="B137">
            <v>40043012</v>
          </cell>
          <cell r="C137" t="str">
            <v/>
          </cell>
          <cell r="D137" t="str">
            <v>REPOSICION BUSES CORPORACION MUNICIPAL, CURACO DE VELEZ</v>
          </cell>
          <cell r="E137" t="str">
            <v>ADQUISICION DE ACTIVOS NO FINANCIEROS (29)</v>
          </cell>
        </row>
        <row r="138">
          <cell r="B138">
            <v>40035555</v>
          </cell>
          <cell r="C138" t="str">
            <v/>
          </cell>
          <cell r="D138" t="str">
            <v>ADQUISICION CAMIÓN MULTIPROPÓSITO, PUNTOS LIMPIOS MÓVILES Y TRASLADO DE AGUA POTABLE</v>
          </cell>
          <cell r="E138" t="str">
            <v>ADQUISICION DE ACTIVOS NO FINANCIEROS (29)</v>
          </cell>
        </row>
        <row r="139">
          <cell r="B139">
            <v>40037837</v>
          </cell>
          <cell r="C139" t="str">
            <v/>
          </cell>
          <cell r="D139" t="str">
            <v>REPOSICION EQUIPOS PARA LA SECCIÓN FOTOGRAFÍA Y, QUÍMICA Y FÍSICA DEL LACRIM REGIONAL PMO</v>
          </cell>
          <cell r="E139" t="str">
            <v>ADQUISICION DE ACTIVOS NO FINANCIEROS (29)</v>
          </cell>
        </row>
        <row r="140">
          <cell r="B140">
            <v>40020318</v>
          </cell>
          <cell r="C140" t="str">
            <v/>
          </cell>
          <cell r="D140" t="str">
            <v>REPOSICION  VEHÍCULOS PDI, REGIÓN POLICIAL DE LOS LAGOS</v>
          </cell>
          <cell r="E140" t="str">
            <v>ADQUISICION DE ACTIVOS NO FINANCIEROS (29)</v>
          </cell>
        </row>
        <row r="141">
          <cell r="B141">
            <v>40043206</v>
          </cell>
          <cell r="C141" t="str">
            <v/>
          </cell>
          <cell r="D141" t="str">
            <v>ADQUISICION MATERIAL AEREO Y TERRESTRE PARA LA IMPLEMENTACIÓN DE LA SECCIÓN RPAS LOS LAGOS</v>
          </cell>
          <cell r="E141" t="str">
            <v>ADQUISICION DE ACTIVOS NO FINANCIEROS (29)</v>
          </cell>
        </row>
        <row r="142">
          <cell r="B142">
            <v>40019624</v>
          </cell>
          <cell r="C142" t="str">
            <v/>
          </cell>
          <cell r="D142" t="str">
            <v>REPOSICION MOTOS TODO TERRENO PARA LOS CUARTELES OPERATIVOS TERRITORIALES DE LOS LAGOS</v>
          </cell>
          <cell r="E142" t="str">
            <v>ADQUISICION DE ACTIVOS NO FINANCIEROS (29)</v>
          </cell>
        </row>
        <row r="143">
          <cell r="B143">
            <v>40038820</v>
          </cell>
          <cell r="C143" t="str">
            <v/>
          </cell>
          <cell r="D143" t="str">
            <v>ADQUISICION MEJORAMIENTO DE ACCESIBILIDAD UNIVERSAL E INCLUSION DE LAS PERSONAS INVIDENTES</v>
          </cell>
          <cell r="E143" t="str">
            <v>ADQUISICION DE ACTIVOS NO FINANCIEROS (29)</v>
          </cell>
        </row>
        <row r="144">
          <cell r="B144">
            <v>40018773</v>
          </cell>
          <cell r="C144" t="str">
            <v>RS</v>
          </cell>
          <cell r="D144" t="str">
            <v>AMPLIACION SISTEMA AGUA POTABLE RURAL ÑADI PICHIDAMAS, PUYEHUE</v>
          </cell>
          <cell r="E144" t="str">
            <v>Proyectos (31.02)</v>
          </cell>
        </row>
        <row r="145">
          <cell r="B145">
            <v>40018788</v>
          </cell>
          <cell r="C145" t="str">
            <v>Sin Rate</v>
          </cell>
          <cell r="D145" t="str">
            <v>CONSERVACION CAMINOS NO ENROLADOS 12 SECTORES RURALES DE LA COMUNA DE PUYEHUE</v>
          </cell>
          <cell r="E145" t="str">
            <v>Proyectos (31.02)</v>
          </cell>
        </row>
        <row r="146">
          <cell r="B146">
            <v>30070314</v>
          </cell>
          <cell r="C146" t="str">
            <v>FI</v>
          </cell>
          <cell r="D146" t="str">
            <v>REPOSICION ESCUELA ESTACIÓN NUEVO PORVENIR, PUYEHUE</v>
          </cell>
          <cell r="E146" t="str">
            <v>Proyectos (31.02)</v>
          </cell>
        </row>
        <row r="147">
          <cell r="B147">
            <v>30068433</v>
          </cell>
          <cell r="C147" t="str">
            <v>RS</v>
          </cell>
          <cell r="D147" t="str">
            <v>CONSTRUCCION POSTA RURAL MANQUEMAPU - PURRANQUE</v>
          </cell>
          <cell r="E147" t="str">
            <v>Proyectos (31.02)</v>
          </cell>
        </row>
        <row r="148">
          <cell r="B148">
            <v>30171924</v>
          </cell>
          <cell r="C148" t="str">
            <v>FI</v>
          </cell>
          <cell r="D148" t="str">
            <v>REPOSICION POSTA RURAL COLONIA PONCE, PURRANQUE</v>
          </cell>
          <cell r="E148" t="str">
            <v>Proyectos (31.02)</v>
          </cell>
        </row>
        <row r="149">
          <cell r="B149">
            <v>40000904</v>
          </cell>
          <cell r="C149" t="str">
            <v>FI</v>
          </cell>
          <cell r="D149" t="str">
            <v>HABILITACION SUMINISTRO ENERGIA ELECTRICA SECTOR COLLIHUINCO</v>
          </cell>
          <cell r="E149" t="str">
            <v>Proyectos (31.02)</v>
          </cell>
        </row>
        <row r="150">
          <cell r="B150">
            <v>40031584</v>
          </cell>
          <cell r="C150" t="str">
            <v>RS</v>
          </cell>
          <cell r="D150" t="str">
            <v>CONSERVACION DE 14 CAMINOS NO ENROLADOS EN LA COMUNA DE PURRANQUE</v>
          </cell>
          <cell r="E150" t="str">
            <v>Proyectos (31.02)</v>
          </cell>
        </row>
        <row r="151">
          <cell r="B151">
            <v>40032775</v>
          </cell>
          <cell r="C151" t="str">
            <v>FI</v>
          </cell>
          <cell r="D151" t="str">
            <v>CONSTRUCCION CENTRO DE DÍA PARA ADULTOS MAYORES DE PURRANQUE</v>
          </cell>
          <cell r="E151" t="str">
            <v>Proyectos (31.02)</v>
          </cell>
        </row>
        <row r="152">
          <cell r="B152">
            <v>40033254</v>
          </cell>
          <cell r="C152" t="str">
            <v>RS</v>
          </cell>
          <cell r="D152" t="str">
            <v>CONSERVACION DE VEREDAS SECTOR OESTE COMUNA DE PURRANQUE</v>
          </cell>
          <cell r="E152" t="str">
            <v>Proyectos (31.02)</v>
          </cell>
        </row>
        <row r="153">
          <cell r="B153">
            <v>40039693</v>
          </cell>
          <cell r="C153" t="str">
            <v>Sin Rate</v>
          </cell>
          <cell r="D153" t="str">
            <v>CONSERVACION 15 CAMINOS NO ENROLADOS  DE PURRANQUE</v>
          </cell>
          <cell r="E153" t="str">
            <v>Proyectos (31.02)</v>
          </cell>
        </row>
        <row r="154">
          <cell r="B154">
            <v>40041500</v>
          </cell>
          <cell r="C154" t="str">
            <v>Sin Rate</v>
          </cell>
          <cell r="D154" t="str">
            <v>MEJORAMIENTO 4 CALLES DE CORTE ALTO</v>
          </cell>
          <cell r="E154" t="str">
            <v>Proyectos (31.02)</v>
          </cell>
        </row>
        <row r="155">
          <cell r="B155">
            <v>40012751</v>
          </cell>
          <cell r="C155" t="str">
            <v>RS</v>
          </cell>
          <cell r="D155" t="str">
            <v>MEJORAMIENTO ESPACIO PÚBLICO 21 DE MAYO, PURRANQUE</v>
          </cell>
          <cell r="E155" t="str">
            <v>Proyectos (31.02)</v>
          </cell>
        </row>
        <row r="156">
          <cell r="B156">
            <v>30070862</v>
          </cell>
          <cell r="C156" t="str">
            <v>RS</v>
          </cell>
          <cell r="D156" t="str">
            <v>REPOSICION LICEO CARMELA CARVAJAL DE PRAT, OSORNO.</v>
          </cell>
          <cell r="E156" t="str">
            <v>Proyectos (31.02)</v>
          </cell>
        </row>
        <row r="157">
          <cell r="B157">
            <v>30257472</v>
          </cell>
          <cell r="C157" t="str">
            <v>RS</v>
          </cell>
          <cell r="D157" t="str">
            <v>CONSTRUCCION RED DE ALCANTARILLADO Y PLANTA DE TRATAMIENTO SECTOR PICHIL, OSORNO</v>
          </cell>
          <cell r="E157" t="str">
            <v>Proyectos (31.02)</v>
          </cell>
        </row>
        <row r="158">
          <cell r="B158">
            <v>30463800</v>
          </cell>
          <cell r="C158" t="str">
            <v>RS</v>
          </cell>
          <cell r="D158" t="str">
            <v>REPOSICION HOSPEDERIA HOGAR DE CRISTO, OSORNO</v>
          </cell>
          <cell r="E158" t="str">
            <v>Proyectos (31.02)</v>
          </cell>
        </row>
        <row r="159">
          <cell r="B159">
            <v>40004690</v>
          </cell>
          <cell r="C159" t="str">
            <v>RS</v>
          </cell>
          <cell r="D159" t="str">
            <v>MEJORAMIENTO INSTALACIONES ATLÉTICAS VILLA OLÍMPICA, OSORNO</v>
          </cell>
          <cell r="E159" t="str">
            <v>Proyectos (31.02)</v>
          </cell>
        </row>
        <row r="160">
          <cell r="B160">
            <v>40039788</v>
          </cell>
          <cell r="C160" t="str">
            <v>Sin Rate</v>
          </cell>
          <cell r="D160" t="str">
            <v>CONSERVACION CALZADAS SECTOR CENTRO, OSORNO</v>
          </cell>
          <cell r="E160" t="str">
            <v>Proyectos (31.02)</v>
          </cell>
        </row>
        <row r="161">
          <cell r="B161">
            <v>40039724</v>
          </cell>
          <cell r="C161" t="str">
            <v>Sin Rate</v>
          </cell>
          <cell r="D161" t="str">
            <v>CONSERVACION CALLE ELEUTERIO RAMÍREZ, OSORNO</v>
          </cell>
          <cell r="E161" t="str">
            <v>Proyectos (31.02)</v>
          </cell>
        </row>
        <row r="162">
          <cell r="B162">
            <v>40037470</v>
          </cell>
          <cell r="C162" t="str">
            <v>Sin Rate</v>
          </cell>
          <cell r="D162" t="str">
            <v>MEJORAMIENTO PLAZA LAS AMERICAS, POBLACION PEDRO AGUIRRE CERDA, OSORNO</v>
          </cell>
          <cell r="E162" t="str">
            <v>Proyectos (31.02)</v>
          </cell>
        </row>
        <row r="163">
          <cell r="B163">
            <v>40036922</v>
          </cell>
          <cell r="C163" t="str">
            <v>RS</v>
          </cell>
          <cell r="D163" t="str">
            <v>CONSERVACION DE CALZADAS RAHUE BAJO, OSORNO</v>
          </cell>
          <cell r="E163" t="str">
            <v>Proyectos (31.02)</v>
          </cell>
        </row>
        <row r="164">
          <cell r="B164">
            <v>40035147</v>
          </cell>
          <cell r="C164" t="str">
            <v>Sin Rate</v>
          </cell>
          <cell r="D164" t="str">
            <v>REPOSICION VEREDAS VILLA DORADA, OSORNO</v>
          </cell>
          <cell r="E164" t="str">
            <v>Proyectos (31.02)</v>
          </cell>
        </row>
        <row r="165">
          <cell r="B165">
            <v>40032254</v>
          </cell>
          <cell r="C165" t="str">
            <v>RS</v>
          </cell>
          <cell r="D165" t="str">
            <v>MEJORAMIENTO PLAZA OSORNO LA MAYOR, OSORNO</v>
          </cell>
          <cell r="E165" t="str">
            <v>Proyectos (31.02)</v>
          </cell>
        </row>
        <row r="166">
          <cell r="B166">
            <v>40028984</v>
          </cell>
          <cell r="C166" t="str">
            <v>RS</v>
          </cell>
          <cell r="D166" t="str">
            <v>MEJORAMIENTO PLAZA LOS PINOS, OSORNO</v>
          </cell>
          <cell r="E166" t="str">
            <v>Proyectos (31.02)</v>
          </cell>
        </row>
        <row r="167">
          <cell r="B167">
            <v>40027468</v>
          </cell>
          <cell r="C167" t="str">
            <v>RS</v>
          </cell>
          <cell r="D167" t="str">
            <v>MEJORAMIENTO COMPLEJO DEPORTIVO RAHUE ALTO, OSORNO</v>
          </cell>
          <cell r="E167" t="str">
            <v>Proyectos (31.02)</v>
          </cell>
        </row>
        <row r="168">
          <cell r="B168">
            <v>40025378</v>
          </cell>
          <cell r="C168" t="str">
            <v>RS</v>
          </cell>
          <cell r="D168" t="str">
            <v>CONSTRUCCION PLAZA LOS AROMOS, OSORNO</v>
          </cell>
          <cell r="E168" t="str">
            <v>Proyectos (31.02)</v>
          </cell>
        </row>
        <row r="169">
          <cell r="B169">
            <v>40025366</v>
          </cell>
          <cell r="C169" t="str">
            <v>Sin Rate</v>
          </cell>
          <cell r="D169" t="str">
            <v>REPOSICION CENTRO COMUNITARIO Y CULTURAL FRANCKE, OSORNO</v>
          </cell>
          <cell r="E169" t="str">
            <v>Proyectos (31.02)</v>
          </cell>
        </row>
        <row r="170">
          <cell r="B170">
            <v>40019026</v>
          </cell>
          <cell r="C170" t="str">
            <v>RS</v>
          </cell>
          <cell r="D170" t="str">
            <v>CONSERVACION VEREDAS SECTOR CENTRO OSORNO</v>
          </cell>
          <cell r="E170" t="str">
            <v>Proyectos (31.02)</v>
          </cell>
        </row>
        <row r="171">
          <cell r="B171">
            <v>40019022</v>
          </cell>
          <cell r="C171" t="str">
            <v>RS</v>
          </cell>
          <cell r="D171" t="str">
            <v>REPOSICION VEREDAS POBLACIÓN ANGULO COMUNA OSORNO</v>
          </cell>
          <cell r="E171" t="str">
            <v>Proyectos (31.02)</v>
          </cell>
        </row>
        <row r="172">
          <cell r="B172">
            <v>40019001</v>
          </cell>
          <cell r="C172" t="str">
            <v>RS</v>
          </cell>
          <cell r="D172" t="str">
            <v>CONSTRUCCION RED ALC. Y AGUA POTABLE PJ. ROSARIO Y ERWIN ESCOBAR, POB MOYANO, OSORNO</v>
          </cell>
          <cell r="E172" t="str">
            <v>Proyectos (31.02)</v>
          </cell>
        </row>
        <row r="173">
          <cell r="B173">
            <v>40015398</v>
          </cell>
          <cell r="C173" t="str">
            <v>RS</v>
          </cell>
          <cell r="D173" t="str">
            <v>MEJORAMIENTO CANCHA DE FÚTBOL POBLACIÓN CARLOS CONDELL, OSORNO</v>
          </cell>
          <cell r="E173" t="str">
            <v>Proyectos (31.02)</v>
          </cell>
        </row>
        <row r="174">
          <cell r="B174">
            <v>40008282</v>
          </cell>
          <cell r="C174" t="str">
            <v>RS</v>
          </cell>
          <cell r="D174" t="str">
            <v>REPOSICION SEXTA COMPAÑÍA DE BOMBEROS DE OSORNO</v>
          </cell>
          <cell r="E174" t="str">
            <v>Proyectos (31.02)</v>
          </cell>
        </row>
        <row r="175">
          <cell r="B175">
            <v>30086815</v>
          </cell>
          <cell r="C175" t="str">
            <v>RE</v>
          </cell>
          <cell r="D175" t="str">
            <v>CONSTRUCCION RELLENO SANITARIO PROVINCIA DE OSORNO</v>
          </cell>
          <cell r="E175" t="str">
            <v>Proyectos (31.02)</v>
          </cell>
        </row>
        <row r="176">
          <cell r="B176">
            <v>30123182</v>
          </cell>
          <cell r="C176" t="str">
            <v>RS</v>
          </cell>
          <cell r="D176" t="str">
            <v>CONSTRUCCION PARQUE HOTT DE OSORNO</v>
          </cell>
          <cell r="E176" t="str">
            <v>Proyectos (31.02)</v>
          </cell>
        </row>
        <row r="177">
          <cell r="B177">
            <v>30376573</v>
          </cell>
          <cell r="C177" t="str">
            <v>RS</v>
          </cell>
          <cell r="D177" t="str">
            <v>ACTUALIZACION PLAN MAESTRO AGUAS LLUVIAS OSORNO</v>
          </cell>
          <cell r="E177" t="str">
            <v>Estudios Básicos (31.01)</v>
          </cell>
        </row>
        <row r="178">
          <cell r="B178">
            <v>40016735</v>
          </cell>
          <cell r="C178" t="str">
            <v>RS</v>
          </cell>
          <cell r="D178" t="str">
            <v>RESTAURACION CENTRO CULTURAL SOFÍA HOTT, OSORNO</v>
          </cell>
          <cell r="E178" t="str">
            <v>Proyectos (31.02)</v>
          </cell>
        </row>
        <row r="179">
          <cell r="B179">
            <v>40027982</v>
          </cell>
          <cell r="C179" t="str">
            <v>RS</v>
          </cell>
          <cell r="D179" t="str">
            <v>CONSTRUCCION RELLENO SANITARIO PROVINCIA DE OSORNO (PROYECTO SUSTITUTO)</v>
          </cell>
          <cell r="E179" t="str">
            <v>Proyectos (31.02)</v>
          </cell>
        </row>
        <row r="180">
          <cell r="B180">
            <v>40029293</v>
          </cell>
          <cell r="C180" t="str">
            <v>FI</v>
          </cell>
          <cell r="D180" t="str">
            <v>CONSTRUCCION BASE SAMU RAHUE, OSORNO</v>
          </cell>
          <cell r="E180" t="str">
            <v>Proyectos (31.02)</v>
          </cell>
        </row>
        <row r="181">
          <cell r="B181">
            <v>40030820</v>
          </cell>
          <cell r="C181" t="str">
            <v>RS</v>
          </cell>
          <cell r="D181" t="str">
            <v>CONSTRUCCION SALA DE ACOGIDA INTERCULTURAL (SRUKA) HOSPITAL BASE SAN JOSE, OSORNO</v>
          </cell>
          <cell r="E181" t="str">
            <v>Proyectos (31.02)</v>
          </cell>
        </row>
        <row r="182">
          <cell r="B182">
            <v>40032797</v>
          </cell>
          <cell r="C182" t="str">
            <v/>
          </cell>
          <cell r="D182" t="str">
            <v>DIAGNOSTICO RECOPILACIÓN DE ANTECEDENTES PARA ELABORACIÓN NSCA CUENCA DEL RÍO RAHUE</v>
          </cell>
          <cell r="E182" t="str">
            <v>Servicios Técnicos y Profesionales (22.11)</v>
          </cell>
        </row>
        <row r="183">
          <cell r="B183">
            <v>40033559</v>
          </cell>
          <cell r="C183" t="str">
            <v>RS</v>
          </cell>
          <cell r="D183" t="str">
            <v>CONSTRUCCION COSAM RAHUE, COMUNA OSORNO</v>
          </cell>
          <cell r="E183" t="str">
            <v>Proyectos (31.02)</v>
          </cell>
        </row>
        <row r="184">
          <cell r="B184">
            <v>40036867</v>
          </cell>
          <cell r="C184" t="str">
            <v>Sin Rate</v>
          </cell>
          <cell r="D184" t="str">
            <v>CONSERVACION EDIFICIO MANUEL ANTONIO MATTA SSO , COMUNA OSORNO</v>
          </cell>
          <cell r="E184" t="str">
            <v>Proyectos (31.02)</v>
          </cell>
        </row>
        <row r="185">
          <cell r="B185">
            <v>30186523</v>
          </cell>
          <cell r="C185" t="str">
            <v>RS</v>
          </cell>
          <cell r="D185" t="str">
            <v>CONSTRUCCION CONEXION VIAL ISLA TALCAN ARCH. DESERTORES,CHAITEN</v>
          </cell>
          <cell r="E185" t="str">
            <v>Proyectos (31.02)</v>
          </cell>
        </row>
        <row r="186">
          <cell r="B186">
            <v>30103541</v>
          </cell>
          <cell r="C186" t="str">
            <v>FI</v>
          </cell>
          <cell r="D186" t="str">
            <v>REPOSICION EDIFICIO MUNICIPAL DE CHAITEN</v>
          </cell>
          <cell r="E186" t="str">
            <v>Proyectos (31.02)</v>
          </cell>
        </row>
        <row r="187">
          <cell r="B187">
            <v>30060589</v>
          </cell>
          <cell r="C187" t="str">
            <v>RS</v>
          </cell>
          <cell r="D187" t="str">
            <v>MEJORAMIENTO HOSPITAL DE  CHAITEN.</v>
          </cell>
          <cell r="E187" t="str">
            <v>Proyectos (31.02)</v>
          </cell>
        </row>
        <row r="188">
          <cell r="B188">
            <v>30342673</v>
          </cell>
          <cell r="C188" t="str">
            <v>RS</v>
          </cell>
          <cell r="D188" t="str">
            <v>CONSTRUCCION CAMINO RUTA W-807,SECTOR:PTE.NEGRO-PTE.AQUELLAS,CHAITEN</v>
          </cell>
          <cell r="E188" t="str">
            <v>Proyectos (31.02)</v>
          </cell>
        </row>
        <row r="189">
          <cell r="B189">
            <v>30384677</v>
          </cell>
          <cell r="C189" t="str">
            <v>RS</v>
          </cell>
          <cell r="D189" t="str">
            <v>MEJORAMIENTO RUTA 235-CH SECTOR V. S. LUCIA-P. RAMIREZ, PROV. PALENA</v>
          </cell>
          <cell r="E189" t="str">
            <v>Proyectos (31.02)</v>
          </cell>
        </row>
        <row r="190">
          <cell r="B190">
            <v>30352430</v>
          </cell>
          <cell r="C190" t="str">
            <v>RS</v>
          </cell>
          <cell r="D190" t="str">
            <v>CONSTRUCCION PARQUE MUNICIPAL DE FUTALEUFU</v>
          </cell>
          <cell r="E190" t="str">
            <v>Proyectos (31.02)</v>
          </cell>
        </row>
        <row r="191">
          <cell r="B191">
            <v>40031970</v>
          </cell>
          <cell r="C191" t="str">
            <v>RS</v>
          </cell>
          <cell r="D191" t="str">
            <v>MEJORAMIENTO INFRAESTRUCTURA PEATONAL CALLE O´HIGGINS, FUTALEUFÚ.</v>
          </cell>
          <cell r="E191" t="str">
            <v>Proyectos (31.02)</v>
          </cell>
        </row>
        <row r="192">
          <cell r="B192">
            <v>30115295</v>
          </cell>
          <cell r="C192" t="str">
            <v>RS</v>
          </cell>
          <cell r="D192" t="str">
            <v>REPOSICION Y AMPLIACION CUARTEL 1° COMPAÑIA DE BOMBEROS DE PALENA</v>
          </cell>
          <cell r="E192" t="str">
            <v>Proyectos (31.02)</v>
          </cell>
        </row>
        <row r="193">
          <cell r="B193">
            <v>30474713</v>
          </cell>
          <cell r="C193" t="str">
            <v/>
          </cell>
          <cell r="D193" t="str">
            <v>ACTUALIZACION PLAN REGULADOR COMUNAL DE PALENA</v>
          </cell>
          <cell r="E193" t="str">
            <v>Servicios Técnicos y Profesionales (22.11)</v>
          </cell>
        </row>
        <row r="194">
          <cell r="B194">
            <v>30384235</v>
          </cell>
          <cell r="C194" t="str">
            <v>RS</v>
          </cell>
          <cell r="D194" t="str">
            <v>CONSTRUCCION CONEXIÓN VIAL SECTOR:PALENA - LAGO PALENA,COMUNA PALENA</v>
          </cell>
          <cell r="E194" t="str">
            <v>Proyectos (31.02)</v>
          </cell>
        </row>
        <row r="195">
          <cell r="B195">
            <v>40013068</v>
          </cell>
          <cell r="C195" t="str">
            <v>RS</v>
          </cell>
          <cell r="D195" t="str">
            <v>REPOSICION POSTA DE SALUD RURAL VILLA CHAULINEC, ISLA CHAULINEC - QUINCHAO</v>
          </cell>
          <cell r="E195" t="str">
            <v>Proyectos (31.02)</v>
          </cell>
        </row>
        <row r="196">
          <cell r="B196">
            <v>30396026</v>
          </cell>
          <cell r="C196" t="str">
            <v>RS</v>
          </cell>
          <cell r="D196" t="str">
            <v>CONSERVACION CAMINOS RURALES SECTOR SUR, COMUNA DE QUEMCHI</v>
          </cell>
          <cell r="E196" t="str">
            <v>Proyectos (31.02)</v>
          </cell>
        </row>
        <row r="197">
          <cell r="B197">
            <v>30485216</v>
          </cell>
          <cell r="C197" t="str">
            <v>OT</v>
          </cell>
          <cell r="D197" t="str">
            <v>CONSTRUCCION CENTRO CULTURAL SAN PABLO</v>
          </cell>
          <cell r="E197" t="str">
            <v>Proyectos (31.02)</v>
          </cell>
        </row>
        <row r="198">
          <cell r="B198">
            <v>40043228</v>
          </cell>
          <cell r="C198" t="str">
            <v>Sin Rate</v>
          </cell>
          <cell r="D198" t="str">
            <v>CONSTRUCCION CANCHA SINTETICA Y GRADERIAS COMUNA DE SAN PABLO</v>
          </cell>
          <cell r="E198" t="str">
            <v>Proyectos (31.02)</v>
          </cell>
        </row>
        <row r="199">
          <cell r="B199">
            <v>30065600</v>
          </cell>
          <cell r="C199" t="str">
            <v>RS</v>
          </cell>
          <cell r="D199" t="str">
            <v>CONSTRUCCION SISTEMA AGUA POTABLE RURAL EL MANZANO, HUALAIHUE</v>
          </cell>
          <cell r="E199" t="str">
            <v>Proyectos (31.02)</v>
          </cell>
        </row>
        <row r="200">
          <cell r="B200">
            <v>30419694</v>
          </cell>
          <cell r="C200" t="str">
            <v>OT</v>
          </cell>
          <cell r="D200" t="str">
            <v>REPOSICION ESCUELA RURAL CALETA EL MANZANO, HUALAIHUE</v>
          </cell>
          <cell r="E200" t="str">
            <v>Proyectos (31.02)</v>
          </cell>
        </row>
        <row r="201">
          <cell r="B201">
            <v>40003992</v>
          </cell>
          <cell r="C201" t="str">
            <v>RS</v>
          </cell>
          <cell r="D201" t="str">
            <v>CONSTRUCCION SUMINISTRO E. ELECTRICA FOTOVOLTAICA LOC. DE QUIACA-ISLA LLANCAHUE, HUALAIHUE</v>
          </cell>
          <cell r="E201" t="str">
            <v>Proyectos (31.02)</v>
          </cell>
        </row>
        <row r="202">
          <cell r="B202">
            <v>40037891</v>
          </cell>
          <cell r="C202" t="str">
            <v>Sin Rate</v>
          </cell>
          <cell r="D202" t="str">
            <v>REPOSICION ESTADIO MUNICIPAL DE CONTAO, HUALAIHUÉ</v>
          </cell>
          <cell r="E202" t="str">
            <v>Proyectos (31.02)</v>
          </cell>
        </row>
        <row r="203">
          <cell r="B203">
            <v>40039992</v>
          </cell>
          <cell r="C203" t="str">
            <v>Sin Rate</v>
          </cell>
          <cell r="D203" t="str">
            <v>CONSERVACION CAMINOS NO ENROLADOS COMUNA DE HUALAIHUÉ</v>
          </cell>
          <cell r="E203" t="str">
            <v>Proyectos (31.02)</v>
          </cell>
        </row>
        <row r="204">
          <cell r="B204">
            <v>30116040</v>
          </cell>
          <cell r="C204" t="str">
            <v>Sin Rate</v>
          </cell>
          <cell r="D204" t="str">
            <v>REPOSICION BODEGA Y GALPON MUNICIPAL, PALENA</v>
          </cell>
          <cell r="E204" t="str">
            <v>Proyectos (31.02)</v>
          </cell>
        </row>
        <row r="205">
          <cell r="B205">
            <v>30341678</v>
          </cell>
          <cell r="C205" t="str">
            <v/>
          </cell>
          <cell r="D205" t="str">
            <v>ANALISIS ESTUDIO PLAN REGULADOR COMUNAL DE FUTALEUFÚ</v>
          </cell>
          <cell r="E205" t="str">
            <v>Servicios Técnicos y Profesionales (22.11)</v>
          </cell>
        </row>
        <row r="206">
          <cell r="B206">
            <v>40012082</v>
          </cell>
          <cell r="C206" t="str">
            <v>Sin Rate</v>
          </cell>
          <cell r="D206" t="str">
            <v>HABILITACION  SUMINISTRO ENERGÍA ELÉCTRICA SECTORES RÍO CHICO Y LAS ESCALAS, FUTALEUFU</v>
          </cell>
          <cell r="E206" t="str">
            <v>Proyectos (31.02)</v>
          </cell>
        </row>
        <row r="207">
          <cell r="B207">
            <v>40024235</v>
          </cell>
          <cell r="C207" t="str">
            <v>Sin Rate</v>
          </cell>
          <cell r="D207" t="str">
            <v>REPOSICIÓN EDIFICIO CONSISTORIAL COMUNA DE FUTALEUFÚ</v>
          </cell>
          <cell r="E207" t="str">
            <v>Proyectos (31.02)</v>
          </cell>
        </row>
        <row r="208">
          <cell r="B208">
            <v>40041636</v>
          </cell>
          <cell r="C208" t="str">
            <v>Sin Rate</v>
          </cell>
          <cell r="D208" t="str">
            <v>REPOSICION POSTA SALUD RURAL EL ESPOLON COMUNA DE FUTALEUFU</v>
          </cell>
          <cell r="E208" t="str">
            <v>Proyectos (31.02)</v>
          </cell>
        </row>
        <row r="209">
          <cell r="B209">
            <v>30458729</v>
          </cell>
          <cell r="C209" t="str">
            <v>RS</v>
          </cell>
          <cell r="D209" t="str">
            <v>MEJORAMIENTO AREA DE MOVIMIENTO AERODROMO AYACARA, CHAITEN</v>
          </cell>
          <cell r="E209" t="str">
            <v>Proyectos (31.02)</v>
          </cell>
        </row>
        <row r="210">
          <cell r="B210">
            <v>40005413</v>
          </cell>
          <cell r="C210" t="str">
            <v>RS</v>
          </cell>
          <cell r="D210" t="str">
            <v>CONSTRUCCION PLANTA ELEVADORA E IMPULSION DE AGUA SERVIDAS CHAITEN SUR</v>
          </cell>
          <cell r="E210" t="str">
            <v>Proyectos (31.02)</v>
          </cell>
        </row>
        <row r="211">
          <cell r="B211">
            <v>30468388</v>
          </cell>
          <cell r="C211" t="str">
            <v>RS</v>
          </cell>
          <cell r="D211" t="str">
            <v>AMPLIACION ÁREA DE MOVIMIENTO PEQUEÑO AERÓDROMO ALTO PALENA</v>
          </cell>
          <cell r="E211" t="str">
            <v>Proyectos (31.02)</v>
          </cell>
        </row>
        <row r="212">
          <cell r="B212">
            <v>40033325</v>
          </cell>
          <cell r="C212" t="str">
            <v>Sin Rate</v>
          </cell>
          <cell r="D212" t="str">
            <v>CONSERVACION CAMINOS ISLA TAC, COMUNA DE QUEMCHI.</v>
          </cell>
          <cell r="E212" t="str">
            <v>Proyectos (31.02)</v>
          </cell>
        </row>
        <row r="213">
          <cell r="B213">
            <v>30101055</v>
          </cell>
          <cell r="C213" t="str">
            <v>FI</v>
          </cell>
          <cell r="D213" t="str">
            <v>CONSTRUCCION INFRAESTRUCTURA AGUA POTABLE Y ALCANTARILLADO, QUEMCHI</v>
          </cell>
          <cell r="E213" t="str">
            <v>Proyectos (31.02)</v>
          </cell>
        </row>
        <row r="214">
          <cell r="B214">
            <v>30133125</v>
          </cell>
          <cell r="C214" t="str">
            <v>RE</v>
          </cell>
          <cell r="D214" t="str">
            <v>CONSTRUCCION ESTADIO MUNICIPAL DE QUEMCHI.</v>
          </cell>
          <cell r="E214" t="str">
            <v>Proyectos (31.02)</v>
          </cell>
        </row>
        <row r="215">
          <cell r="B215">
            <v>30430173</v>
          </cell>
          <cell r="C215" t="str">
            <v>RS</v>
          </cell>
          <cell r="D215" t="str">
            <v>CONSERVACION CAMINOS ISLA BUTACHAUQUES</v>
          </cell>
          <cell r="E215" t="str">
            <v>Proyectos (31.02)</v>
          </cell>
        </row>
        <row r="216">
          <cell r="B216">
            <v>40014315</v>
          </cell>
          <cell r="C216" t="str">
            <v>RS</v>
          </cell>
          <cell r="D216" t="str">
            <v>CONSERVACION CAMINOS ISLA CAUCAHUE, COMUNA DE QUEMCHI</v>
          </cell>
          <cell r="E216" t="str">
            <v>Proyectos (31.02)</v>
          </cell>
        </row>
        <row r="217">
          <cell r="B217">
            <v>40027221</v>
          </cell>
          <cell r="C217" t="str">
            <v>OT</v>
          </cell>
          <cell r="D217" t="str">
            <v>REPOSICION REPOSICIÓN ESCUELA RURAL DE ALAO, QUINCHAO</v>
          </cell>
          <cell r="E217" t="str">
            <v>Proyectos (31.02)</v>
          </cell>
        </row>
        <row r="218">
          <cell r="B218">
            <v>30076949</v>
          </cell>
          <cell r="C218" t="str">
            <v>FI</v>
          </cell>
          <cell r="D218" t="str">
            <v>REPOSICION ESCUELA DE LA CULTURA, FRIDOLINA BARRIENTOS, CASTRO</v>
          </cell>
          <cell r="E218" t="str">
            <v>Proyectos (31.02)</v>
          </cell>
        </row>
        <row r="219">
          <cell r="B219">
            <v>20140221</v>
          </cell>
          <cell r="C219" t="str">
            <v>RS</v>
          </cell>
          <cell r="D219" t="str">
            <v>REPOSICION POSTA DE SALUD RURAL DE LA ISLA CHELÍN, CASTRO</v>
          </cell>
          <cell r="E219" t="str">
            <v>Proyectos (31.02)</v>
          </cell>
        </row>
        <row r="220">
          <cell r="B220">
            <v>30381175</v>
          </cell>
          <cell r="C220" t="str">
            <v>RS</v>
          </cell>
          <cell r="D220" t="str">
            <v>CONSTRUCCION CANCHA Y PISTA ATLETICA CANCHA RAYADA DE CASTRO</v>
          </cell>
          <cell r="E220" t="str">
            <v>Proyectos (31.02)</v>
          </cell>
        </row>
        <row r="221">
          <cell r="B221">
            <v>40002877</v>
          </cell>
          <cell r="C221" t="str">
            <v>RE</v>
          </cell>
          <cell r="D221" t="str">
            <v>MEJORAMIENTO URBANISTICO AVENIDA O´HIGGINS Y AVENIDA SAN MARTIN CASTRO</v>
          </cell>
          <cell r="E221" t="str">
            <v>Proyectos (31.02)</v>
          </cell>
        </row>
        <row r="222">
          <cell r="B222">
            <v>40015899</v>
          </cell>
          <cell r="C222" t="str">
            <v>Sin Rate</v>
          </cell>
          <cell r="D222" t="str">
            <v>MEJORAMIENTO CANCHA SINTETICA LIGA RURAL UNION SUR QUILQUICO.</v>
          </cell>
          <cell r="E222" t="str">
            <v>Proyectos (31.02)</v>
          </cell>
        </row>
        <row r="223">
          <cell r="B223">
            <v>40018989</v>
          </cell>
          <cell r="C223" t="str">
            <v>OT</v>
          </cell>
          <cell r="D223" t="str">
            <v>Construcción Colector Red Primaria de Aguas Lluvias Bernardo O'Higgins</v>
          </cell>
          <cell r="E223" t="str">
            <v>Proyectos (31.02)</v>
          </cell>
        </row>
        <row r="224">
          <cell r="B224">
            <v>40019999</v>
          </cell>
          <cell r="C224" t="str">
            <v>RS</v>
          </cell>
          <cell r="D224" t="str">
            <v>MEJORAMIENTO AVDA. GALVARINO RIVEROS NORTE DE CASTRO</v>
          </cell>
          <cell r="E224" t="str">
            <v>Proyectos (31.02)</v>
          </cell>
        </row>
        <row r="225">
          <cell r="B225">
            <v>40023336</v>
          </cell>
          <cell r="C225" t="str">
            <v>RS</v>
          </cell>
          <cell r="D225" t="str">
            <v>REPOSICION CON RELOCALIZACION CESFAM RENE TAPIA, CASTRO</v>
          </cell>
          <cell r="E225" t="str">
            <v>Proyectos (31.02)</v>
          </cell>
        </row>
        <row r="226">
          <cell r="B226">
            <v>40043230</v>
          </cell>
          <cell r="C226" t="str">
            <v>Sin Rate</v>
          </cell>
          <cell r="D226" t="str">
            <v>CONSERVACION VEREDAS Y CALZADAS DE ADOQUINES DIVERSAS VILLAS DE CASTRO</v>
          </cell>
          <cell r="E226" t="str">
            <v>Proyectos (31.02)</v>
          </cell>
        </row>
        <row r="227">
          <cell r="B227">
            <v>30095333</v>
          </cell>
          <cell r="C227" t="str">
            <v>RS</v>
          </cell>
          <cell r="D227" t="str">
            <v>REPOSICION ESTADIO MUNICIPAL DE CURACO DE VÉLEZ</v>
          </cell>
          <cell r="E227" t="str">
            <v>Proyectos (31.02)</v>
          </cell>
        </row>
        <row r="228">
          <cell r="B228">
            <v>30072730</v>
          </cell>
          <cell r="C228" t="str">
            <v>Sin Rate</v>
          </cell>
          <cell r="D228" t="str">
            <v>REPOSICION EDIFICIO CONSISTORIAL, CURACO DE VELEZ</v>
          </cell>
          <cell r="E228" t="str">
            <v>Proyectos (31.02)</v>
          </cell>
        </row>
        <row r="229">
          <cell r="B229">
            <v>30069919</v>
          </cell>
          <cell r="C229" t="str">
            <v>RS</v>
          </cell>
          <cell r="D229" t="str">
            <v>CONSTRUCCION GIMNASIO ESCUELA ORIENTE DE QUELLÓN</v>
          </cell>
          <cell r="E229" t="str">
            <v>Proyectos (31.02)</v>
          </cell>
        </row>
        <row r="230">
          <cell r="B230">
            <v>40009684</v>
          </cell>
          <cell r="C230" t="str">
            <v>RS</v>
          </cell>
          <cell r="D230" t="str">
            <v>AMPLIACION DE RED PUBLICA SIST DE AGUA POTABLE Y ALC SECTOR ALCÁZAR COMUNA DE QUELLON</v>
          </cell>
          <cell r="E230" t="str">
            <v>Proyectos (31.02)</v>
          </cell>
        </row>
        <row r="231">
          <cell r="B231">
            <v>30488426</v>
          </cell>
          <cell r="C231" t="str">
            <v>RS</v>
          </cell>
          <cell r="D231" t="str">
            <v>INSTALACION SISTEMA AGUA POTABLE RURAL ISLA LAITEC, QUELLON</v>
          </cell>
          <cell r="E231" t="str">
            <v>Proyectos (31.02)</v>
          </cell>
        </row>
        <row r="232">
          <cell r="B232">
            <v>30135630</v>
          </cell>
          <cell r="C232" t="str">
            <v>RS</v>
          </cell>
          <cell r="D232" t="str">
            <v>REPOSICION ESCUELA RURAL DE COMPU, COMUNA DE QUELLON</v>
          </cell>
          <cell r="E232" t="str">
            <v>Proyectos (31.02)</v>
          </cell>
        </row>
        <row r="233">
          <cell r="B233">
            <v>40021925</v>
          </cell>
          <cell r="C233" t="str">
            <v>RS</v>
          </cell>
          <cell r="D233" t="str">
            <v>REPOSICION ESTADIO MUNICIPAL, COMUNA DE QUELLON</v>
          </cell>
          <cell r="E233" t="str">
            <v>Proyectos (31.02)</v>
          </cell>
        </row>
        <row r="234">
          <cell r="B234">
            <v>30095440</v>
          </cell>
          <cell r="C234" t="str">
            <v>RS</v>
          </cell>
          <cell r="D234" t="str">
            <v>REPOSICION POSTA DE SALUD RURAL DE YALDAD, QUELLON</v>
          </cell>
          <cell r="E234" t="str">
            <v>Proyectos (31.02)</v>
          </cell>
        </row>
        <row r="235">
          <cell r="B235">
            <v>40007743</v>
          </cell>
          <cell r="C235" t="str">
            <v>FI</v>
          </cell>
          <cell r="D235" t="str">
            <v>REPOSICION CENTRO EDUCACIONAL DE ADULTOS, COMUNA DE QUELLON</v>
          </cell>
          <cell r="E235" t="str">
            <v>Proyectos (31.02)</v>
          </cell>
        </row>
        <row r="236">
          <cell r="B236">
            <v>40009683</v>
          </cell>
          <cell r="C236" t="str">
            <v>FI</v>
          </cell>
          <cell r="D236" t="str">
            <v>AMPLIACION DE RED PUBLICA SIST DE AGUA POTABLE Y ALC. SECTOR SAN ANTONIO, COMUNA DE QUELLON</v>
          </cell>
          <cell r="E236" t="str">
            <v>Proyectos (31.02)</v>
          </cell>
        </row>
        <row r="237">
          <cell r="B237">
            <v>30083300</v>
          </cell>
          <cell r="C237" t="str">
            <v>RS</v>
          </cell>
          <cell r="D237" t="str">
            <v>NORMALIZACION HOSPITAL DE ANCUD, PROVINCIA DE CHILOE</v>
          </cell>
          <cell r="E237" t="str">
            <v>Proyectos (31.02)</v>
          </cell>
        </row>
        <row r="238">
          <cell r="B238">
            <v>30093353</v>
          </cell>
          <cell r="C238" t="str">
            <v>Sin Rate</v>
          </cell>
          <cell r="D238" t="str">
            <v>REPOSICION CON RELOCALIZACIÓN POSTA DE SALUD RURAL SECTOR NAL, COMUNA DE ANCUD</v>
          </cell>
          <cell r="E238" t="str">
            <v>Proyectos (31.02)</v>
          </cell>
        </row>
        <row r="239">
          <cell r="B239">
            <v>30214722</v>
          </cell>
          <cell r="C239" t="str">
            <v>FI</v>
          </cell>
          <cell r="D239" t="str">
            <v>REPOSICION CON RELOCALIZACIÓN POSTA SALUD RURAL DE GUABUN</v>
          </cell>
          <cell r="E239" t="str">
            <v>Proyectos (31.02)</v>
          </cell>
        </row>
        <row r="240">
          <cell r="B240">
            <v>40041557</v>
          </cell>
          <cell r="C240" t="str">
            <v>Sin Rate</v>
          </cell>
          <cell r="D240" t="str">
            <v>CONSTRUCCION CUARTEL SEGUNDA COMPAÑÍA BOMBEROS ANCUD</v>
          </cell>
          <cell r="E240" t="str">
            <v>Proyectos (31.02)</v>
          </cell>
        </row>
        <row r="241">
          <cell r="B241">
            <v>30471852</v>
          </cell>
          <cell r="C241" t="str">
            <v>FI</v>
          </cell>
          <cell r="D241" t="str">
            <v>INSTALACION SISTEMA APR LOCALIDAD RURAL DE AGUAS BUENAS, ANCUD</v>
          </cell>
          <cell r="E241" t="str">
            <v>Proyectos (31.02)</v>
          </cell>
        </row>
        <row r="242">
          <cell r="B242">
            <v>40017878</v>
          </cell>
          <cell r="C242" t="str">
            <v>FI</v>
          </cell>
          <cell r="D242" t="str">
            <v>CONSTRUCCION SISTEMA APR SECTOR PUPETRA</v>
          </cell>
          <cell r="E242" t="str">
            <v>Proyectos (31.02)</v>
          </cell>
        </row>
        <row r="243">
          <cell r="B243">
            <v>40040021</v>
          </cell>
          <cell r="C243" t="str">
            <v>Sin Rate</v>
          </cell>
          <cell r="D243" t="str">
            <v>MEJORAMIENTO 4 VIAS CIUDAD DE DALCAHUE</v>
          </cell>
          <cell r="E243" t="str">
            <v>Proyectos (31.02)</v>
          </cell>
        </row>
        <row r="244">
          <cell r="B244">
            <v>40040024</v>
          </cell>
          <cell r="C244" t="str">
            <v>Sin Rate</v>
          </cell>
          <cell r="D244" t="str">
            <v>MEJORAMIENTO CAMINOS NO ENROLADOS SECTOR SUR, COMUNA DE DALCAHUE</v>
          </cell>
          <cell r="E244" t="str">
            <v>Proyectos (31.02)</v>
          </cell>
        </row>
        <row r="245">
          <cell r="B245">
            <v>30129912</v>
          </cell>
          <cell r="C245" t="str">
            <v>Sin Rate</v>
          </cell>
          <cell r="D245" t="str">
            <v>CONSTRUCCION CENTRO CIVICO DALCAHUE</v>
          </cell>
          <cell r="E245" t="str">
            <v>Proyectos (31.02)</v>
          </cell>
        </row>
        <row r="246">
          <cell r="B246">
            <v>30042613</v>
          </cell>
          <cell r="C246" t="str">
            <v>RS</v>
          </cell>
          <cell r="D246" t="str">
            <v>NORMALIZACION CONSULTORIO RURAL PUQUELDON</v>
          </cell>
          <cell r="E246" t="str">
            <v>Proyectos (31.02)</v>
          </cell>
        </row>
        <row r="247">
          <cell r="B247">
            <v>40028442</v>
          </cell>
          <cell r="C247" t="str">
            <v>RS</v>
          </cell>
          <cell r="D247" t="str">
            <v>REPOSICION POSTA DE SALUD RURAL DE DETIF, PUQUELDON</v>
          </cell>
          <cell r="E247" t="str">
            <v>Proyectos (31.02)</v>
          </cell>
        </row>
        <row r="248">
          <cell r="B248">
            <v>40013816</v>
          </cell>
          <cell r="C248" t="str">
            <v>Sin Rate</v>
          </cell>
          <cell r="D248" t="str">
            <v>CONSERVACION GIMNASIO MUNICIPAL DE PUQUELDON</v>
          </cell>
          <cell r="E248" t="str">
            <v>Proyectos (31.02)</v>
          </cell>
        </row>
        <row r="249">
          <cell r="B249">
            <v>30183123</v>
          </cell>
          <cell r="C249" t="str">
            <v>RS</v>
          </cell>
          <cell r="D249" t="str">
            <v>REPOSICION POSTA SALUD RURAL DE NEPUE, ISLA TRANQUI, COMUNA DE QUEILEN</v>
          </cell>
          <cell r="E249" t="str">
            <v>Proyectos (31.02)</v>
          </cell>
        </row>
        <row r="250">
          <cell r="B250">
            <v>40024992</v>
          </cell>
          <cell r="C250" t="str">
            <v>Sin Rate</v>
          </cell>
          <cell r="D250" t="str">
            <v>CONSTRUCCION GIMNASIO LICEO POLIVALENTE, COMUNA DE QUEILEN</v>
          </cell>
          <cell r="E250" t="str">
            <v>Proyectos (31.02)</v>
          </cell>
        </row>
        <row r="251">
          <cell r="B251">
            <v>40027911</v>
          </cell>
          <cell r="C251" t="str">
            <v>Sin Rate</v>
          </cell>
          <cell r="D251" t="str">
            <v>CONSERVACION  ESCUELA CHILHUE DE QUEILEN (C33)</v>
          </cell>
          <cell r="E251" t="str">
            <v>Proyectos (31.02)</v>
          </cell>
        </row>
        <row r="252">
          <cell r="B252">
            <v>40039350</v>
          </cell>
          <cell r="C252" t="str">
            <v>Sin Rate</v>
          </cell>
          <cell r="D252" t="str">
            <v>REPOSICION POSTA SALUD RURAL LLINGUA, COMUNA DE QUINCHAO*</v>
          </cell>
          <cell r="E252" t="str">
            <v>Proyectos (31.02)</v>
          </cell>
        </row>
        <row r="253">
          <cell r="B253">
            <v>40022435</v>
          </cell>
          <cell r="C253" t="str">
            <v>RS</v>
          </cell>
          <cell r="D253" t="str">
            <v>CONSERVACION PER. CAM. VEC., C. DE CALBUCO, HUALAIHUÉ Y PALENA, REG. DE LOS LAGOS, 2020-2021</v>
          </cell>
          <cell r="E253" t="str">
            <v>Proyectos (31.02)</v>
          </cell>
        </row>
        <row r="254">
          <cell r="B254">
            <v>30083335</v>
          </cell>
          <cell r="C254" t="str">
            <v>RS</v>
          </cell>
          <cell r="D254" t="str">
            <v>NORMALIZACION HOSPITAL DE QUELLON, PROVINCIA DE CHILOE</v>
          </cell>
          <cell r="E254" t="str">
            <v>Proyectos (31.02)</v>
          </cell>
        </row>
        <row r="255">
          <cell r="B255">
            <v>20157700</v>
          </cell>
          <cell r="C255" t="str">
            <v>RS</v>
          </cell>
          <cell r="D255" t="str">
            <v>REPOSICION ESCUELA RURAL DE QUITRIPULLI</v>
          </cell>
          <cell r="E255" t="str">
            <v>Proyectos (31.02)</v>
          </cell>
        </row>
        <row r="256">
          <cell r="B256">
            <v>30126487</v>
          </cell>
          <cell r="C256" t="str">
            <v>RS</v>
          </cell>
          <cell r="D256" t="str">
            <v>REPOSICION ESCUELA RURAL DE HUILLINCO COMUNA DE CHONCHI</v>
          </cell>
          <cell r="E256" t="str">
            <v>Proyectos (31.02)</v>
          </cell>
        </row>
        <row r="257">
          <cell r="B257">
            <v>30126506</v>
          </cell>
          <cell r="C257" t="str">
            <v>RS</v>
          </cell>
          <cell r="D257" t="str">
            <v>CONSTRUCCION CUARTEL 2° COMPAÑIA BOMBEROS DE LA COMUNA DE CHONCHI</v>
          </cell>
          <cell r="E257" t="str">
            <v>Proyectos (31.02)</v>
          </cell>
        </row>
        <row r="258">
          <cell r="B258">
            <v>30134013</v>
          </cell>
          <cell r="C258" t="str">
            <v>RS</v>
          </cell>
          <cell r="D258" t="str">
            <v>REPOSICION ESCUELA TEHUACO - QUETALCO COMUNA DE DALCAHUE</v>
          </cell>
          <cell r="E258" t="str">
            <v>Proyectos (31.02)</v>
          </cell>
        </row>
        <row r="259">
          <cell r="B259">
            <v>30419547</v>
          </cell>
          <cell r="C259" t="str">
            <v>RS</v>
          </cell>
          <cell r="D259" t="str">
            <v>MEJORAMIENTO INTEGRAL ESCUELA BÁSICA DE DALCAHUE</v>
          </cell>
          <cell r="E259" t="str">
            <v>Proyectos (31.02)</v>
          </cell>
        </row>
        <row r="260">
          <cell r="B260">
            <v>30476688</v>
          </cell>
          <cell r="C260" t="str">
            <v>RS</v>
          </cell>
          <cell r="D260" t="str">
            <v>REPOSICION POSTA SALUD RURAL CUCAO, COMUNA CHONCHI</v>
          </cell>
          <cell r="E260" t="str">
            <v>Proyectos (31.02)</v>
          </cell>
        </row>
        <row r="261">
          <cell r="B261">
            <v>30484959</v>
          </cell>
          <cell r="C261" t="str">
            <v>RS</v>
          </cell>
          <cell r="D261" t="str">
            <v>CONSTRUCCION CENTRO DEPORTIVO MUNICIPAL COMUNA DE CHONCHI</v>
          </cell>
          <cell r="E261" t="str">
            <v>Proyectos (31.02)</v>
          </cell>
        </row>
        <row r="262">
          <cell r="B262">
            <v>40019383</v>
          </cell>
          <cell r="C262" t="str">
            <v>RS</v>
          </cell>
          <cell r="D262" t="str">
            <v>CONSTRUCCION ACERAS PARA LA COMUNA DE CHONCHI</v>
          </cell>
          <cell r="E262" t="str">
            <v>Proyectos (31.02)</v>
          </cell>
        </row>
        <row r="263">
          <cell r="B263">
            <v>40022712</v>
          </cell>
          <cell r="C263" t="str">
            <v>RS</v>
          </cell>
          <cell r="D263" t="str">
            <v>CONSERVACION ESCUELA RURAL DE NOTUCO, COMUNA DE CHONCHI</v>
          </cell>
          <cell r="E263" t="str">
            <v>Proyectos (31.02)</v>
          </cell>
        </row>
        <row r="264">
          <cell r="B264">
            <v>40027935</v>
          </cell>
          <cell r="C264" t="str">
            <v>RS</v>
          </cell>
          <cell r="D264" t="str">
            <v>CONSERVACION CAMINOS NO ENROLADOS de 12 SECTORES RURALES COMUNA DE CHONCHI</v>
          </cell>
          <cell r="E264" t="str">
            <v>Proyectos (31.02)</v>
          </cell>
        </row>
        <row r="265">
          <cell r="B265">
            <v>40031425</v>
          </cell>
          <cell r="C265" t="str">
            <v>FI</v>
          </cell>
          <cell r="D265" t="str">
            <v>CONSTRUCCION SERVICIOS DE AP Y ALCANT. DE SEC. CENTENARIO Y PROLONGACIÓN P. A. CERDA, CHONCHI</v>
          </cell>
          <cell r="E265" t="str">
            <v>Proyectos (31.02)</v>
          </cell>
        </row>
        <row r="266">
          <cell r="B266">
            <v>40040080</v>
          </cell>
          <cell r="C266" t="str">
            <v>Sin Rate</v>
          </cell>
          <cell r="D266" t="str">
            <v>CONSERVACION CAMINOS NO ENROLADOS DE 9 SECTORES RURALES, COMUNA DE CHONCHI</v>
          </cell>
          <cell r="E266" t="str">
            <v>Proyectos (31.02)</v>
          </cell>
        </row>
        <row r="267">
          <cell r="B267">
            <v>40040291</v>
          </cell>
          <cell r="C267" t="str">
            <v>Sin Rate</v>
          </cell>
          <cell r="D267" t="str">
            <v>CONSERVACION PAVIMENTOS EN DISTINTOS PUNTOS DE LA CIUDAD DE CHONCHI</v>
          </cell>
          <cell r="E267" t="str">
            <v>Proyectos (31.02)</v>
          </cell>
        </row>
        <row r="268">
          <cell r="B268">
            <v>30462595</v>
          </cell>
          <cell r="C268" t="str">
            <v>RS</v>
          </cell>
          <cell r="D268" t="str">
            <v>MEJORAMIENTO  AREAS EXTERIORES Y OBRAS COMPLEMENTARIAS CENTRO ADM. REGIONAL, PUERTO MONTT</v>
          </cell>
          <cell r="E268" t="str">
            <v>Proyectos (31.02)</v>
          </cell>
        </row>
        <row r="269">
          <cell r="B269">
            <v>30485368</v>
          </cell>
          <cell r="C269" t="str">
            <v>Sin Rate</v>
          </cell>
          <cell r="D269" t="str">
            <v>REPOSICION CENTRO REHABILITACION  CLUB DE LEONES COMUNA DE ANCUD</v>
          </cell>
          <cell r="E269" t="str">
            <v>Proyectos (31.02)</v>
          </cell>
        </row>
        <row r="270">
          <cell r="B270">
            <v>40008322</v>
          </cell>
          <cell r="C270" t="str">
            <v>RS</v>
          </cell>
          <cell r="D270" t="str">
            <v>CONSTRUCCION CUARTEL 3A. COMPAÑÍA BOMBEROS ANCUD</v>
          </cell>
          <cell r="E270" t="str">
            <v>Proyectos (31.02)</v>
          </cell>
        </row>
        <row r="271">
          <cell r="B271">
            <v>40022346</v>
          </cell>
          <cell r="C271" t="str">
            <v>Sin Rate</v>
          </cell>
          <cell r="D271" t="str">
            <v>REPOSICION ESCUELA VILLA CHACAO</v>
          </cell>
          <cell r="E271" t="str">
            <v>Proyectos (31.02)</v>
          </cell>
        </row>
        <row r="272">
          <cell r="B272">
            <v>40025619</v>
          </cell>
          <cell r="C272" t="str">
            <v>RS</v>
          </cell>
          <cell r="D272" t="str">
            <v>AMPLIACION RED DE AGUA POTABLE Y ALCANTARILLADO VILLA LOS AROMOS Y RÍO PUDETO, ANCUD</v>
          </cell>
          <cell r="E272" t="str">
            <v>Proyectos (31.02)</v>
          </cell>
        </row>
        <row r="273">
          <cell r="B273">
            <v>40002386</v>
          </cell>
          <cell r="C273" t="str">
            <v>RS</v>
          </cell>
          <cell r="D273" t="str">
            <v>MEJORAMIENTO INTEGRAL ESTADIO MUNICIPAL DE QUEILEN</v>
          </cell>
          <cell r="E273" t="str">
            <v>Proyectos (31.02)</v>
          </cell>
        </row>
        <row r="274">
          <cell r="B274">
            <v>40005352</v>
          </cell>
          <cell r="C274" t="str">
            <v>RS</v>
          </cell>
          <cell r="D274" t="str">
            <v>REPOSICION POSTA DE SALUD RURAL DE TENAÚN, COMUNA DE DALCAHUE</v>
          </cell>
          <cell r="E274" t="str">
            <v>Proyectos (31.02)</v>
          </cell>
        </row>
        <row r="275">
          <cell r="B275">
            <v>40016862</v>
          </cell>
          <cell r="C275" t="str">
            <v>RS</v>
          </cell>
          <cell r="D275" t="str">
            <v>CONSTRUCCION SISTEMA APR PULUTAUCO, DALCAHUE</v>
          </cell>
          <cell r="E275" t="str">
            <v>Proyectos (31.02)</v>
          </cell>
        </row>
        <row r="276">
          <cell r="B276">
            <v>40022683</v>
          </cell>
          <cell r="C276" t="str">
            <v>RS-GORE</v>
          </cell>
          <cell r="D276" t="str">
            <v>ADQUISICION MAQUINA COMPACTADORA PARA RELLENO SANITARIO LA LAJA</v>
          </cell>
          <cell r="E276" t="str">
            <v>ADQUISICION DE ACTIVOS NO FINANCIEROS (29)</v>
          </cell>
        </row>
        <row r="277">
          <cell r="B277">
            <v>40043207</v>
          </cell>
          <cell r="C277" t="str">
            <v/>
          </cell>
          <cell r="D277" t="str">
            <v>ADQUISICION MAQUINARIA MUNICIPAL PARA MANTENCION DE CAMINOS RURALES, QUELLON</v>
          </cell>
          <cell r="E277" t="str">
            <v>ADQUISICION DE ACTIVOS NO FINANCIEROS (29)</v>
          </cell>
        </row>
        <row r="278">
          <cell r="B278">
            <v>40043215</v>
          </cell>
          <cell r="C278" t="str">
            <v>Sin Rate</v>
          </cell>
          <cell r="D278" t="str">
            <v>CONSERVACION EDIFICIO MUNICIPAL COMUNA DE QUELLON</v>
          </cell>
          <cell r="E278" t="str">
            <v>Proyectos (31.02)</v>
          </cell>
        </row>
        <row r="279">
          <cell r="B279">
            <v>30395422</v>
          </cell>
          <cell r="C279" t="str">
            <v>RS</v>
          </cell>
          <cell r="D279" t="str">
            <v>REPOSICION CANCHA LEPIHUE, COMUNA DE MAULLIN</v>
          </cell>
          <cell r="E279" t="str">
            <v>Proyectos (31.02)</v>
          </cell>
        </row>
        <row r="280">
          <cell r="B280">
            <v>30453827</v>
          </cell>
          <cell r="C280" t="str">
            <v>RS</v>
          </cell>
          <cell r="D280" t="str">
            <v>CONSERVACION CAMINOS VECINALES POR GLOSA 7, ETAPA I PROVINCIA DE CHILOE</v>
          </cell>
          <cell r="E280" t="str">
            <v>Proyectos (31.02)</v>
          </cell>
        </row>
        <row r="281">
          <cell r="B281">
            <v>40001660</v>
          </cell>
          <cell r="C281" t="str">
            <v>OT</v>
          </cell>
          <cell r="D281" t="str">
            <v>CONSTRUCCION SISTEMA DE APR LOMA DE LA PIEDRA - LIUCURA - QUILLOIMO SN JN de la costa</v>
          </cell>
          <cell r="E281" t="str">
            <v>Proyectos (31.02)</v>
          </cell>
        </row>
        <row r="282">
          <cell r="B282">
            <v>40019576</v>
          </cell>
          <cell r="C282" t="str">
            <v>RS</v>
          </cell>
          <cell r="D282" t="str">
            <v>MEJORAMIENTO COSTANERA JUAN SOLER, TRAMO COPIAPO-CHORRILLOS, PUERTO MONTT</v>
          </cell>
          <cell r="E282" t="str">
            <v>Proyectos (31.02)</v>
          </cell>
        </row>
        <row r="283">
          <cell r="B283">
            <v>30430874</v>
          </cell>
          <cell r="C283" t="str">
            <v/>
          </cell>
          <cell r="D283" t="str">
            <v>ACTUALIZACION MODIFICACION Y REESTRUCTURACIÓN DE LA PROPUESTA PROT</v>
          </cell>
          <cell r="E283" t="str">
            <v>Servicios Técnicos y Profesionales (22.11)</v>
          </cell>
        </row>
        <row r="284">
          <cell r="B284">
            <v>40042999</v>
          </cell>
          <cell r="C284" t="str">
            <v/>
          </cell>
          <cell r="D284" t="str">
            <v>ADQUISICION EQUIPOS CARRERAS MARITIMAS UNIVERSIDAD DE LOS LAGOS</v>
          </cell>
          <cell r="E284" t="str">
            <v>ADQUISICION DE ACTIVOS NO FINANCIEROS (29)</v>
          </cell>
        </row>
        <row r="285">
          <cell r="B285">
            <v>40024491</v>
          </cell>
          <cell r="C285" t="str">
            <v/>
          </cell>
          <cell r="D285" t="str">
            <v>ADQUISICION VEHÍCULO DIRECCIÓN DE ASEO - ORNATO Y MEDIO AMBIENTE</v>
          </cell>
          <cell r="E285" t="str">
            <v>ADQUISICION DE ACTIVOS NO FINANCIEROS (29)</v>
          </cell>
        </row>
        <row r="286">
          <cell r="B286">
            <v>40039544</v>
          </cell>
          <cell r="C286" t="str">
            <v>Sin Rate</v>
          </cell>
          <cell r="D286" t="str">
            <v>MEJORAMIENTO PLAZA WECHENEWEN, VILLA LOLOLHUE, OSORNO</v>
          </cell>
          <cell r="E286" t="str">
            <v>Proyectos (31.02)</v>
          </cell>
        </row>
        <row r="287">
          <cell r="B287">
            <v>40020266</v>
          </cell>
          <cell r="C287" t="str">
            <v>OT</v>
          </cell>
          <cell r="D287" t="str">
            <v>HABILITACION SUMINISTRO ENERGIA ELECTRICA  VARIOS SECTORES PUYEHUE</v>
          </cell>
          <cell r="E287" t="str">
            <v>Proyectos (31.02)</v>
          </cell>
        </row>
        <row r="288">
          <cell r="B288">
            <v>40041629</v>
          </cell>
          <cell r="C288" t="str">
            <v>Sin Rate</v>
          </cell>
          <cell r="D288" t="str">
            <v>REPOSICION POSTA DE SALUD RURAL RUPANCO, COMUNA PUERTO OCTAY</v>
          </cell>
          <cell r="E288" t="str">
            <v>Proyectos (31.02)</v>
          </cell>
        </row>
        <row r="289">
          <cell r="B289">
            <v>40037074</v>
          </cell>
          <cell r="C289" t="str">
            <v/>
          </cell>
          <cell r="D289" t="str">
            <v>ANALISIS CONSTRUCIÓN POLÍTICA REGIONAL DEL ADULTO MAYOR REGIÓN DE LOS LAGOS</v>
          </cell>
          <cell r="E289" t="str">
            <v>Servicios Técnicos y Profesionales (22.11)</v>
          </cell>
        </row>
        <row r="290">
          <cell r="B290">
            <v>40015396</v>
          </cell>
          <cell r="C290" t="str">
            <v>Sin Rate</v>
          </cell>
          <cell r="D290" t="str">
            <v>REPOSICION JUZGADOS DE POLICÍA LOCAL, OSORNO</v>
          </cell>
          <cell r="E290" t="str">
            <v>Proyectos (31.02)</v>
          </cell>
        </row>
        <row r="291">
          <cell r="B291">
            <v>40015918</v>
          </cell>
          <cell r="C291" t="str">
            <v>Sin Rate</v>
          </cell>
          <cell r="D291" t="str">
            <v>DIAGNOSTICO PLAN MARCO DE DESARROLLO TERRITORIAL (PMDT) TERRITORIOS NORTE y BC NORTE</v>
          </cell>
          <cell r="E291" t="str">
            <v>Estudios Básicos (31.01)</v>
          </cell>
        </row>
        <row r="292">
          <cell r="B292">
            <v>40027131</v>
          </cell>
          <cell r="C292" t="str">
            <v>RS</v>
          </cell>
          <cell r="D292" t="str">
            <v>ANALISIS Y DETERMINACIÓN DE BRECHAS DISPOSICION DE A.P. Y ALC. PROV. OSORNO Y LLANQUIHUE</v>
          </cell>
          <cell r="E292" t="str">
            <v>Estudios Básicos (31.01)</v>
          </cell>
        </row>
        <row r="293">
          <cell r="B293">
            <v>40032331</v>
          </cell>
          <cell r="C293" t="str">
            <v>Sin Rate</v>
          </cell>
          <cell r="D293" t="str">
            <v>ESTUDIO Y CARACTERIZACION DE LOS RSD Y SU GESTION EN ZONAS DE REZAGO</v>
          </cell>
          <cell r="E293" t="str">
            <v>Servicios Técnicos y Profesionales (22.11)</v>
          </cell>
        </row>
        <row r="294">
          <cell r="B294">
            <v>40032367</v>
          </cell>
          <cell r="C294" t="str">
            <v/>
          </cell>
          <cell r="D294" t="str">
            <v>DIAGNOSTICO ESTUDIO DE CONDICIONES NATURALES VARIOS SECTORES ZONAS DE REZAGO (NORTE)</v>
          </cell>
          <cell r="E294" t="str">
            <v>Servicios Técnicos y Profesionales (22.11)</v>
          </cell>
        </row>
        <row r="295">
          <cell r="B295">
            <v>40037042</v>
          </cell>
          <cell r="C295" t="str">
            <v/>
          </cell>
          <cell r="D295" t="str">
            <v>ANALISIS CONDICIONES DE LOCALIZACIÓN PARA LA DISPOSICIÓN Y TRATAMIENTO DE RESIDUOS</v>
          </cell>
          <cell r="E295" t="str">
            <v>Servicios Técnicos y Profesionales (22.11)</v>
          </cell>
        </row>
        <row r="296">
          <cell r="B296">
            <v>40043000</v>
          </cell>
          <cell r="C296" t="str">
            <v/>
          </cell>
          <cell r="D296" t="str">
            <v>ADQUISICION EQUIPOS Y EQUIPAMIENTO AULAS CAMPUS, UNIVERSIDAD DE LOS LAGOS</v>
          </cell>
          <cell r="E296" t="str">
            <v>ADQUISICION DE ACTIVOS NO FINANCIEROS (29)</v>
          </cell>
        </row>
        <row r="297">
          <cell r="B297">
            <v>40043651</v>
          </cell>
          <cell r="C297" t="str">
            <v>Sin Rate</v>
          </cell>
          <cell r="D297" t="str">
            <v>INVESTIGACION PARA FORMULACIÓN DE EL AREA METROPOLITANA PTO. MONTT - PTO. VARAS</v>
          </cell>
          <cell r="E297" t="str">
            <v>Servicios Técnicos y Profesionales (22.11)</v>
          </cell>
        </row>
        <row r="298">
          <cell r="B298">
            <v>40043665</v>
          </cell>
          <cell r="C298" t="str">
            <v/>
          </cell>
          <cell r="D298" t="str">
            <v>DIAGNOSTICO PLAN DE GESTIÓN REGIONAL DE RECURSOS HÍDRICOS REGIÓN DE LOS LAGOS.</v>
          </cell>
          <cell r="E298" t="str">
            <v>Servicios Técnicos y Profesionales (22.11)</v>
          </cell>
        </row>
        <row r="299">
          <cell r="B299">
            <v>40043670</v>
          </cell>
          <cell r="C299" t="str">
            <v>Sin Rate</v>
          </cell>
          <cell r="D299" t="str">
            <v>ESTUDIO DE CONDICIONES NATURALES VARIOS SECTORES  ZONAS DE REZAGO (SUR)</v>
          </cell>
          <cell r="E299" t="str">
            <v>Servicios Técnicos y Profesionales (22.11)</v>
          </cell>
        </row>
        <row r="300">
          <cell r="B300">
            <v>40005715</v>
          </cell>
          <cell r="C300" t="str">
            <v>RS</v>
          </cell>
          <cell r="D300" t="str">
            <v>MEJORAMIENTO INTERCONEXIÓN VIAL DEL CENTRO DE OSORNO CON EL SECTOR FRANCKE, OSORNO</v>
          </cell>
          <cell r="E300" t="str">
            <v>Proyectos (31.02)</v>
          </cell>
        </row>
        <row r="301">
          <cell r="B301">
            <v>40025284</v>
          </cell>
          <cell r="C301" t="str">
            <v>Sin Rate</v>
          </cell>
          <cell r="D301" t="str">
            <v>DISEÑO CONSTRUCCION DIRECCIÓN REGIONAL ADUANA PUERTO MONTT</v>
          </cell>
          <cell r="E301" t="str">
            <v>Proyectos (31.02)</v>
          </cell>
        </row>
        <row r="302">
          <cell r="B302">
            <v>40021533</v>
          </cell>
          <cell r="C302" t="str">
            <v>Sin Rate</v>
          </cell>
          <cell r="D302" t="str">
            <v>DISEÑO REPOSICION EDIFICIO INSTITUCIONAL ADMINISTRACIÓN ADUANA DE OSORNO</v>
          </cell>
          <cell r="E302" t="str">
            <v>Proyectos (31.02)</v>
          </cell>
        </row>
        <row r="303">
          <cell r="B303">
            <v>30415029</v>
          </cell>
          <cell r="C303" t="str">
            <v>RS</v>
          </cell>
          <cell r="D303" t="str">
            <v>CONSTRUCCION CENTRO DE DÍA ADULTO MAYOR PUERTO MONTT</v>
          </cell>
          <cell r="E303" t="str">
            <v>Proyectos (31.02)</v>
          </cell>
        </row>
        <row r="304">
          <cell r="B304">
            <v>40027847</v>
          </cell>
          <cell r="C304" t="str">
            <v>Sin Rate</v>
          </cell>
          <cell r="D304" t="str">
            <v>CONSERVACIÓN GIMNASIO DE LA COMUNA DE PALENA</v>
          </cell>
          <cell r="E304" t="str">
            <v>Proyectos (31.02)</v>
          </cell>
        </row>
        <row r="305">
          <cell r="B305">
            <v>40028929</v>
          </cell>
          <cell r="C305" t="str">
            <v>Sin Rate</v>
          </cell>
          <cell r="D305" t="str">
            <v>CONSERVACIÓN GIMNASIO ESCOLAR COMUNA DE FUTALEUFÚ</v>
          </cell>
          <cell r="E305" t="str">
            <v>Proyectos (31.02)</v>
          </cell>
        </row>
        <row r="306">
          <cell r="B306">
            <v>40029267</v>
          </cell>
          <cell r="C306" t="str">
            <v>Sin Rate</v>
          </cell>
          <cell r="D306" t="str">
            <v>CONSERVACIÓN CANCHA ESTADIO MUNICIPAL CHAITÉN</v>
          </cell>
          <cell r="E306" t="str">
            <v>Proyectos (31.02)</v>
          </cell>
        </row>
        <row r="307">
          <cell r="B307">
            <v>40029616</v>
          </cell>
          <cell r="C307" t="str">
            <v>Sin Rate</v>
          </cell>
          <cell r="D307" t="str">
            <v>CONSERVACIÓN GIMNASIO FISCAL NUEVA BRAUNAU, COMUNA DE PUERTO VARAS</v>
          </cell>
          <cell r="E307" t="str">
            <v>Proyectos (31.02)</v>
          </cell>
        </row>
        <row r="308">
          <cell r="B308">
            <v>30480673</v>
          </cell>
          <cell r="C308" t="str">
            <v>RS</v>
          </cell>
          <cell r="D308" t="str">
            <v>CONSTRUCCION SALA CUNA Y JARDÍN INFANTIL AITUE, QUELLON</v>
          </cell>
          <cell r="E308" t="str">
            <v>Proyectos (31.02)</v>
          </cell>
        </row>
        <row r="309">
          <cell r="B309">
            <v>30481300</v>
          </cell>
          <cell r="C309" t="str">
            <v>RS</v>
          </cell>
          <cell r="D309" t="str">
            <v>CONSTRUCCION SALA CUNA Y JARDIN INFANTIL INES DE BAZAN, COMUNA DE CASTRO</v>
          </cell>
          <cell r="E309" t="str">
            <v>Proyectos (31.02)</v>
          </cell>
        </row>
        <row r="310">
          <cell r="B310">
            <v>30483001</v>
          </cell>
          <cell r="C310" t="str">
            <v>RS</v>
          </cell>
          <cell r="D310" t="str">
            <v>CONSTRUCCION SALA CUNA Y JARDIN INFANTIL UBALDO MANCILLA, COMUNA DE CASTRO</v>
          </cell>
          <cell r="E310" t="str">
            <v>Proyectos (31.02)</v>
          </cell>
        </row>
        <row r="311">
          <cell r="B311">
            <v>30085115</v>
          </cell>
          <cell r="C311" t="str">
            <v>RS</v>
          </cell>
          <cell r="D311" t="str">
            <v>CONSTRUCCION EDIFICIO SECTOR JUSTICIA, PUERTO MONTT</v>
          </cell>
          <cell r="E311" t="str">
            <v>Proyectos (31.02)</v>
          </cell>
        </row>
        <row r="312">
          <cell r="B312">
            <v>30078797</v>
          </cell>
          <cell r="C312" t="str">
            <v>RS</v>
          </cell>
          <cell r="D312" t="str">
            <v>CONSTRUCCION CENTRO CERRADO X REGION DE LOS LAGOS</v>
          </cell>
          <cell r="E312" t="str">
            <v>Proyectos (31.02)</v>
          </cell>
        </row>
        <row r="313">
          <cell r="B313">
            <v>40011593</v>
          </cell>
          <cell r="C313" t="str">
            <v>RS</v>
          </cell>
          <cell r="D313" t="str">
            <v>AMPLIACION Y MEJORAMIENTO AEROPUERTO EL TEPUAL REGIÓN DE LOS LAGOS</v>
          </cell>
          <cell r="E313" t="str">
            <v>Proyectos (31.02)</v>
          </cell>
        </row>
        <row r="314">
          <cell r="B314">
            <v>40034256</v>
          </cell>
          <cell r="C314" t="str">
            <v>RS</v>
          </cell>
          <cell r="D314" t="str">
            <v>MEJORAMIENTO MEJORAMIENTO AREA DE MOVIMIENTO AERODROMO AYACARA CHAITÉN</v>
          </cell>
          <cell r="E314" t="str">
            <v>Proyectos (31.02)</v>
          </cell>
        </row>
        <row r="315">
          <cell r="B315">
            <v>40039077</v>
          </cell>
          <cell r="C315" t="str">
            <v>Sin Rate</v>
          </cell>
          <cell r="D315" t="str">
            <v>CONSERVACION RUTINARIA AEROPUERTO EL TEPUAL 2023</v>
          </cell>
          <cell r="E315" t="str">
            <v>Proyectos (31.02)</v>
          </cell>
        </row>
        <row r="316">
          <cell r="B316">
            <v>30465788</v>
          </cell>
          <cell r="C316" t="str">
            <v>RS</v>
          </cell>
          <cell r="D316" t="str">
            <v>AMPLIACION AERÓDROMO CAÑAL BAJO, OSORNO</v>
          </cell>
          <cell r="E316" t="str">
            <v>Proyectos (31.02)</v>
          </cell>
        </row>
        <row r="317">
          <cell r="B317">
            <v>30467388</v>
          </cell>
          <cell r="C317" t="str">
            <v>Sin Rate</v>
          </cell>
          <cell r="D317" t="str">
            <v>CONSERVACIÓN MENOR RED AEROPORTUARIA REGIÓN DE LOS LAGOS</v>
          </cell>
          <cell r="E317" t="str">
            <v>Proyectos (31.02)</v>
          </cell>
        </row>
        <row r="318">
          <cell r="B318">
            <v>30467388</v>
          </cell>
          <cell r="C318" t="str">
            <v>Sin Rate</v>
          </cell>
          <cell r="D318" t="str">
            <v>CONSERVACIÓN MENOR RED AEROPORTUARIA REGIÓN DE LOS LAGOS</v>
          </cell>
          <cell r="E318" t="str">
            <v>Proyectos (31.02)</v>
          </cell>
        </row>
        <row r="319">
          <cell r="B319">
            <v>30471983</v>
          </cell>
          <cell r="C319" t="str">
            <v>RS</v>
          </cell>
          <cell r="D319" t="str">
            <v>REPOSICION PISTA AEROPUERTO EL TEPUAL - PUERTO MONTT</v>
          </cell>
          <cell r="E319" t="str">
            <v>Proyectos (31.02)</v>
          </cell>
        </row>
        <row r="320">
          <cell r="B320">
            <v>40017769</v>
          </cell>
          <cell r="C320" t="str">
            <v>RS</v>
          </cell>
          <cell r="D320" t="str">
            <v>AMPLIACION Y MEJORAMIENTO DEL AERODROMO DE MOCOPULLI, DALCAHUE CHILOE</v>
          </cell>
          <cell r="E320" t="str">
            <v>Proyectos (31.02)</v>
          </cell>
        </row>
        <row r="321">
          <cell r="B321">
            <v>40020355</v>
          </cell>
          <cell r="C321" t="str">
            <v>Sin Rate</v>
          </cell>
          <cell r="D321" t="str">
            <v>CONSERVACION MARGENES DE PISTA AERÓDROMO CAÑAL BAJO</v>
          </cell>
          <cell r="E321" t="str">
            <v>Proyectos (31.02)</v>
          </cell>
        </row>
        <row r="322">
          <cell r="B322">
            <v>40039046</v>
          </cell>
          <cell r="C322" t="str">
            <v>Sin Rate</v>
          </cell>
          <cell r="D322" t="str">
            <v>CONSERVACION GLOBAL PEQUEÑOS AERÓDROMOS CHILOÉ 2023</v>
          </cell>
          <cell r="E322" t="str">
            <v>Proyectos (31.02)</v>
          </cell>
        </row>
        <row r="323">
          <cell r="B323">
            <v>40039047</v>
          </cell>
          <cell r="C323" t="str">
            <v>Sin Rate</v>
          </cell>
          <cell r="D323" t="str">
            <v>CONSERVACION GLOBAL PEQUEÑOS AERÓDROMOS LLANQUIHUE 2023</v>
          </cell>
          <cell r="E323" t="str">
            <v>Proyectos (31.02)</v>
          </cell>
        </row>
        <row r="324">
          <cell r="B324">
            <v>40039048</v>
          </cell>
          <cell r="C324" t="str">
            <v>Sin Rate</v>
          </cell>
          <cell r="D324" t="str">
            <v>CONSERVACION GLOBAL PEQUEÑOS AERÓDROMOS PALENA 2023</v>
          </cell>
          <cell r="E324" t="str">
            <v>Proyectos (31.02)</v>
          </cell>
        </row>
        <row r="325">
          <cell r="B325">
            <v>40031083</v>
          </cell>
          <cell r="C325" t="str">
            <v>RS</v>
          </cell>
          <cell r="D325" t="str">
            <v>DIAGNOSTICO ACTUALIZACION INVENTARIO PATRIMONIO CULTURAL INMUEBLE REGION LOS LAGOS</v>
          </cell>
          <cell r="E325" t="str">
            <v>Estudios Básicos (31.01)</v>
          </cell>
        </row>
        <row r="326">
          <cell r="B326">
            <v>40010780</v>
          </cell>
          <cell r="C326" t="str">
            <v>RS</v>
          </cell>
          <cell r="D326" t="str">
            <v>DIAGNOSTICO ESTADO DE INMUEBLES MOP REGION DE LOS LAGOS</v>
          </cell>
          <cell r="E326" t="str">
            <v>Estudios Básicos (31.01)</v>
          </cell>
        </row>
        <row r="327">
          <cell r="B327">
            <v>40036897</v>
          </cell>
          <cell r="C327" t="str">
            <v>Sin Rate</v>
          </cell>
          <cell r="D327" t="str">
            <v>CONSERVACION CONSERVACION PROV. PALENA CHAITEN FUTALEUFU CHAITEN</v>
          </cell>
          <cell r="E327" t="str">
            <v>Proyectos (31.02)</v>
          </cell>
        </row>
        <row r="328">
          <cell r="B328">
            <v>40037024</v>
          </cell>
          <cell r="C328" t="str">
            <v>Sin Rate</v>
          </cell>
          <cell r="D328" t="str">
            <v>CONSERVACION INMUEBLES MOP PROV. DE CHILOÉ - CASTRO CHILOÉ</v>
          </cell>
          <cell r="E328" t="str">
            <v>Proyectos (31.02)</v>
          </cell>
        </row>
        <row r="329">
          <cell r="B329">
            <v>40032524</v>
          </cell>
          <cell r="C329" t="str">
            <v>Sin Rate</v>
          </cell>
          <cell r="D329" t="str">
            <v>MEJORAMIENTO BORDE COSTERO ICHUAC, PUQUELDON</v>
          </cell>
          <cell r="E329" t="str">
            <v>Proyectos (31.02)</v>
          </cell>
        </row>
        <row r="330">
          <cell r="B330">
            <v>30352328</v>
          </cell>
          <cell r="C330" t="str">
            <v>Sin Rate</v>
          </cell>
          <cell r="D330" t="str">
            <v>MEJORAMIENTO BORDE COSTERO DE QUELLÓN</v>
          </cell>
          <cell r="E330" t="str">
            <v>Proyectos (31.02)</v>
          </cell>
        </row>
        <row r="331">
          <cell r="B331">
            <v>30352373</v>
          </cell>
          <cell r="C331" t="str">
            <v>Sin Rate</v>
          </cell>
          <cell r="D331" t="str">
            <v>MEJORAMIENTO BORDE COSTERO QUEILEN</v>
          </cell>
          <cell r="E331" t="str">
            <v>Proyectos (31.02)</v>
          </cell>
        </row>
        <row r="332">
          <cell r="B332">
            <v>30352477</v>
          </cell>
          <cell r="C332" t="str">
            <v>RS</v>
          </cell>
          <cell r="D332" t="str">
            <v>MEJORAMIENTO BORDE COSTERO DE ANCUD</v>
          </cell>
          <cell r="E332" t="str">
            <v>Proyectos (31.02)</v>
          </cell>
        </row>
        <row r="333">
          <cell r="B333">
            <v>30354128</v>
          </cell>
          <cell r="C333" t="str">
            <v>RS</v>
          </cell>
          <cell r="D333" t="str">
            <v>MEJORAMIENTO BORDE COSTERO ACHAO COMUNA DE QUINCHAO</v>
          </cell>
          <cell r="E333" t="str">
            <v>Proyectos (31.02)</v>
          </cell>
        </row>
        <row r="334">
          <cell r="B334">
            <v>30371695</v>
          </cell>
          <cell r="C334" t="str">
            <v>RS</v>
          </cell>
          <cell r="D334" t="str">
            <v>MEJORAMIENTO PLAYA VENADO, PUERTO VARAS</v>
          </cell>
          <cell r="E334" t="str">
            <v>Proyectos (31.02)</v>
          </cell>
        </row>
        <row r="335">
          <cell r="B335">
            <v>40002840</v>
          </cell>
          <cell r="C335" t="str">
            <v>Sin Rate</v>
          </cell>
          <cell r="D335" t="str">
            <v>MEJORAMIENTO VARADERO PUERTO PESQUERO DE QUELLON</v>
          </cell>
          <cell r="E335" t="str">
            <v>Proyectos (31.02)</v>
          </cell>
        </row>
        <row r="336">
          <cell r="B336">
            <v>40020114</v>
          </cell>
          <cell r="C336" t="str">
            <v>Sin Rate</v>
          </cell>
          <cell r="D336" t="str">
            <v>AMPLIACION CALETA DE PESCADORES ANAHUAC</v>
          </cell>
          <cell r="E336" t="str">
            <v>Proyectos (31.02)</v>
          </cell>
        </row>
        <row r="337">
          <cell r="B337">
            <v>40029707</v>
          </cell>
          <cell r="C337" t="str">
            <v>Sin Rate</v>
          </cell>
          <cell r="D337" t="str">
            <v>MEJORAMIENTO RAMPA PUELO COMUNA DE COCHAMO</v>
          </cell>
          <cell r="E337" t="str">
            <v>Proyectos (31.02)</v>
          </cell>
        </row>
        <row r="338">
          <cell r="B338">
            <v>40029709</v>
          </cell>
          <cell r="C338" t="str">
            <v>Sin Rate</v>
          </cell>
          <cell r="D338" t="str">
            <v>CONSTRUCCION INFRAESTRUCTURA PORTUARIA POYO COMUNA DE CHAITEN</v>
          </cell>
          <cell r="E338" t="str">
            <v>Proyectos (31.02)</v>
          </cell>
        </row>
        <row r="339">
          <cell r="B339">
            <v>40038153</v>
          </cell>
          <cell r="C339" t="str">
            <v>Sin Rate</v>
          </cell>
          <cell r="D339" t="str">
            <v>CONSERVACION INFRAESTRUCTURA PORTUARIA DE CONECTIVIDAD, COMUNA DE QUELLÓN</v>
          </cell>
          <cell r="E339" t="str">
            <v>Proyectos (31.02)</v>
          </cell>
        </row>
        <row r="340">
          <cell r="B340">
            <v>40038155</v>
          </cell>
          <cell r="C340" t="str">
            <v>Sin Rate</v>
          </cell>
          <cell r="D340" t="str">
            <v>CONSERVACION RAMPA FISCAL Y PUERTO PESQUERO DE QUELLÓN</v>
          </cell>
          <cell r="E340" t="str">
            <v>Proyectos (31.02)</v>
          </cell>
        </row>
        <row r="341">
          <cell r="B341">
            <v>40038844</v>
          </cell>
          <cell r="C341" t="str">
            <v>Sin Rate</v>
          </cell>
          <cell r="D341" t="str">
            <v>MEJORAMIENTO RAMPA ISLA ALAO COMUNA DE QUINCHAO</v>
          </cell>
          <cell r="E341" t="str">
            <v>Proyectos (31.02)</v>
          </cell>
        </row>
        <row r="342">
          <cell r="B342">
            <v>40038870</v>
          </cell>
          <cell r="C342" t="str">
            <v>Sin Rate</v>
          </cell>
          <cell r="D342" t="str">
            <v>LEVANTAMIENTO MEJORAMIENTO  INF PORT YAL SECTOR YAL COMUNA DE CHONCHI</v>
          </cell>
          <cell r="E342" t="str">
            <v>Estudios Básicos (31.01)</v>
          </cell>
        </row>
        <row r="343">
          <cell r="B343">
            <v>40038876</v>
          </cell>
          <cell r="C343" t="str">
            <v>Sin Rate</v>
          </cell>
          <cell r="D343" t="str">
            <v>CONSERVACION INFRAESTRUCTURA PORTUARIA MAULLIN</v>
          </cell>
          <cell r="E343" t="str">
            <v>Proyectos (31.02)</v>
          </cell>
        </row>
        <row r="344">
          <cell r="B344">
            <v>40038879</v>
          </cell>
          <cell r="C344" t="str">
            <v>Sin Rate</v>
          </cell>
          <cell r="D344" t="str">
            <v>CONSERVACION CONSE INFRA PORT FRUTILLAR FRUTILLAR</v>
          </cell>
          <cell r="E344" t="str">
            <v>Proyectos (31.02)</v>
          </cell>
        </row>
        <row r="345">
          <cell r="B345">
            <v>30377073</v>
          </cell>
          <cell r="C345" t="str">
            <v>Sin Rate</v>
          </cell>
          <cell r="D345" t="str">
            <v>MEJORAMIENTO BORDE COSTERO SECTOR IANSA, LLANQUIHUE</v>
          </cell>
          <cell r="E345" t="str">
            <v>Proyectos (31.02)</v>
          </cell>
        </row>
        <row r="346">
          <cell r="B346">
            <v>40010966</v>
          </cell>
          <cell r="C346" t="str">
            <v>Sin Rate</v>
          </cell>
          <cell r="D346" t="str">
            <v>CONSERVACION OBRAS PORTUARIAS MENORES REGIÓN DE LOS LAGOS 2020 - 2024</v>
          </cell>
          <cell r="E346" t="str">
            <v>Proyectos (31.02)</v>
          </cell>
        </row>
        <row r="347">
          <cell r="B347">
            <v>40029760</v>
          </cell>
          <cell r="C347" t="str">
            <v>Sin Rate</v>
          </cell>
          <cell r="D347" t="str">
            <v>CONSTRUCCION INFRAESSTRUCTURA PORTUARIA QUENUIR, COMUNA DE MAULLIN</v>
          </cell>
          <cell r="E347" t="str">
            <v>Proyectos (31.02)</v>
          </cell>
        </row>
        <row r="348">
          <cell r="B348">
            <v>40038350</v>
          </cell>
          <cell r="C348" t="str">
            <v>Sin Rate</v>
          </cell>
          <cell r="D348" t="str">
            <v>DIAGNOSTICO PLAN DE CONECTIVIDAD REGIÓN DE LOS LAGOS</v>
          </cell>
          <cell r="E348" t="str">
            <v>Estudios Básicos (31.01)</v>
          </cell>
        </row>
        <row r="349">
          <cell r="B349">
            <v>40038871</v>
          </cell>
          <cell r="C349" t="str">
            <v>Sin Rate</v>
          </cell>
          <cell r="D349" t="str">
            <v>CONSERVACION INFRAESTRUCTURAS PORTUARIAS COMUNAS DE CHAITÉN Y FUTALEUFÚ</v>
          </cell>
          <cell r="E349" t="str">
            <v>Proyectos (31.02)</v>
          </cell>
        </row>
        <row r="350">
          <cell r="B350">
            <v>40038882</v>
          </cell>
          <cell r="C350" t="str">
            <v>Sin Rate</v>
          </cell>
          <cell r="D350" t="str">
            <v>CONSERVACION INFRAESTRUCTURAS PORTUARIAS COMUNA DE COCHAMÓ</v>
          </cell>
          <cell r="E350" t="str">
            <v>Proyectos (31.02)</v>
          </cell>
        </row>
        <row r="351">
          <cell r="B351">
            <v>40041036</v>
          </cell>
          <cell r="C351" t="str">
            <v>Sin Rate</v>
          </cell>
          <cell r="D351" t="str">
            <v>DIAGNOSTICO SECTORES MAR BRAVA ANCUD, CONTAO HUALAIHUE, CHAICAS Y CHONCHI</v>
          </cell>
          <cell r="E351" t="str">
            <v>Estudios Básicos (31.01)</v>
          </cell>
        </row>
        <row r="352">
          <cell r="B352">
            <v>40021417</v>
          </cell>
          <cell r="C352" t="str">
            <v>Sin Rate</v>
          </cell>
          <cell r="D352" t="str">
            <v>REPOSICION DEFENSA FLUVIAL DEL ESTERO LA TOMA, COMUNA DE ANCUD</v>
          </cell>
          <cell r="E352" t="str">
            <v>Proyectos (31.02)</v>
          </cell>
        </row>
        <row r="353">
          <cell r="B353">
            <v>40025792</v>
          </cell>
          <cell r="C353" t="str">
            <v>Sin Rate</v>
          </cell>
          <cell r="D353" t="str">
            <v>CONSTRUCCION COLECTOR ALMAGRO TRONCO OSORNO</v>
          </cell>
          <cell r="E353" t="str">
            <v>Proyectos (31.02)</v>
          </cell>
        </row>
        <row r="354">
          <cell r="B354">
            <v>30122047</v>
          </cell>
          <cell r="C354" t="str">
            <v>Sin Rate</v>
          </cell>
          <cell r="D354" t="str">
            <v>DIAGNOSTICO PLAN MAESTRO AGUAS LLUVIAS QUELLON</v>
          </cell>
          <cell r="E354" t="str">
            <v>Estudios Básicos (31.01)</v>
          </cell>
        </row>
        <row r="355">
          <cell r="B355">
            <v>30131955</v>
          </cell>
          <cell r="C355" t="str">
            <v>RS</v>
          </cell>
          <cell r="D355" t="str">
            <v>CONSTRUCCION OBRAS DE CONTROL ALUVIONAL PARQUE VICENTE PEREZ ROSALES, COMUNA DE PUERTO VARAS</v>
          </cell>
          <cell r="E355" t="str">
            <v>Proyectos (31.02)</v>
          </cell>
        </row>
        <row r="356">
          <cell r="B356">
            <v>30376622</v>
          </cell>
          <cell r="C356" t="str">
            <v>Sin Rate</v>
          </cell>
          <cell r="D356" t="str">
            <v>CONSTRUCCION COLECTOR RED PRIMARIA ZURITA DE ALERCE PUERTO MONTT</v>
          </cell>
          <cell r="E356" t="str">
            <v>Proyectos (31.02)</v>
          </cell>
        </row>
        <row r="357">
          <cell r="B357">
            <v>30376623</v>
          </cell>
          <cell r="C357" t="str">
            <v>Sin Rate</v>
          </cell>
          <cell r="D357" t="str">
            <v>CONSTRUCCION COLECTOR RED PRIMARIA LOS COIGUES DE ALERCE PTO. MONTT</v>
          </cell>
          <cell r="E357" t="str">
            <v>Proyectos (31.02)</v>
          </cell>
        </row>
        <row r="358">
          <cell r="B358">
            <v>40010873</v>
          </cell>
          <cell r="C358" t="str">
            <v>RS</v>
          </cell>
          <cell r="D358" t="str">
            <v>CONSTRUCCION COLECTOR RED PRIMARIA CAJON SAN FRANCISCO Y REDES SECUNDARIAS PTO. VARAS</v>
          </cell>
          <cell r="E358" t="str">
            <v>Proyectos (31.02)</v>
          </cell>
        </row>
        <row r="359">
          <cell r="B359">
            <v>40010874</v>
          </cell>
          <cell r="C359" t="str">
            <v>RS</v>
          </cell>
          <cell r="D359" t="str">
            <v>REPOSICION COLECTOR RED PRIMARIA DE AGUAS LLUVIAS CAJON GRAMADO COMUNA DE PUERTO VARAS</v>
          </cell>
          <cell r="E359" t="str">
            <v>Proyectos (31.02)</v>
          </cell>
        </row>
        <row r="360">
          <cell r="B360">
            <v>40039447</v>
          </cell>
          <cell r="C360" t="str">
            <v>Sin Rate</v>
          </cell>
          <cell r="D360" t="str">
            <v>CONSERVACION DE RIBERAS DE CAUCES NATURALES REGION LOS LAGOS 2022 - 2024</v>
          </cell>
          <cell r="E360" t="str">
            <v>Proyectos (31.02)</v>
          </cell>
        </row>
        <row r="361">
          <cell r="B361">
            <v>30099554</v>
          </cell>
          <cell r="C361" t="str">
            <v>Sin Rate</v>
          </cell>
          <cell r="D361" t="str">
            <v>CONSERVACIÓN RED PRIMARIA DE AGUAS LLUVIAS REGIÓN DE LOS LAGOS</v>
          </cell>
          <cell r="E361" t="str">
            <v>Proyectos (31.02)</v>
          </cell>
        </row>
        <row r="362">
          <cell r="B362">
            <v>30309675</v>
          </cell>
          <cell r="C362" t="str">
            <v>RS</v>
          </cell>
          <cell r="D362" t="str">
            <v>MEJORAMIENTO RUTA 7. SECTOR: CALETA GONZALO-LAGO NEGRO (PUENTE MANUEL FELIU), CHAITEN</v>
          </cell>
          <cell r="E362" t="str">
            <v>Proyectos (31.02)</v>
          </cell>
        </row>
        <row r="363">
          <cell r="B363">
            <v>30309676</v>
          </cell>
          <cell r="C363" t="str">
            <v>RS</v>
          </cell>
          <cell r="D363" t="str">
            <v>MEJORAMIENTO RUTA 7, SECTOR LAGO NEGRO (PUENTE MANUEL FELIU)- PUENTE BONITO, CHAITEN</v>
          </cell>
          <cell r="E363" t="str">
            <v>Proyectos (31.02)</v>
          </cell>
        </row>
        <row r="364">
          <cell r="B364">
            <v>30402825</v>
          </cell>
          <cell r="C364" t="str">
            <v>RS</v>
          </cell>
          <cell r="D364" t="str">
            <v>MEJORAMIENTO RUTA 231-CH. S:PUERTO RAMÍREZ-FUTALEUFÚ</v>
          </cell>
          <cell r="E364" t="str">
            <v>Proyectos (31.02)</v>
          </cell>
        </row>
        <row r="365">
          <cell r="B365">
            <v>30458053</v>
          </cell>
          <cell r="C365" t="str">
            <v>RS</v>
          </cell>
          <cell r="D365" t="str">
            <v>MEJORAMIENTO RUTA 226 SECTOR: RUTA 5 - LAGUNITAS</v>
          </cell>
          <cell r="E365" t="str">
            <v>Proyectos (31.02)</v>
          </cell>
        </row>
        <row r="366">
          <cell r="B366">
            <v>40002920</v>
          </cell>
          <cell r="C366" t="str">
            <v>Sin Rate</v>
          </cell>
          <cell r="D366" t="str">
            <v>CONSERVACION GLOBAL MIXTA CAMINOS RED VIAL REGION DE LOS LAGOS (2019-2024)</v>
          </cell>
          <cell r="E366" t="str">
            <v>Proyectos (31.02)</v>
          </cell>
        </row>
        <row r="367">
          <cell r="B367">
            <v>40003435</v>
          </cell>
          <cell r="C367" t="str">
            <v>RS</v>
          </cell>
          <cell r="D367" t="str">
            <v>MEJORAMIENTO RUTA W-800, S.CRUCE RUTA 5 (NOTUCO)-HUILLINCO-CUCAO-CHANQUIN</v>
          </cell>
          <cell r="E367" t="str">
            <v>Proyectos (31.02)</v>
          </cell>
        </row>
        <row r="368">
          <cell r="B368">
            <v>40003559</v>
          </cell>
          <cell r="C368" t="str">
            <v>RS</v>
          </cell>
          <cell r="D368" t="str">
            <v>AMPLIACION REPOSICION RUTA V-85. SECTOR: HUITO-CALBUCO</v>
          </cell>
          <cell r="E368" t="str">
            <v>Proyectos (31.02)</v>
          </cell>
        </row>
        <row r="369">
          <cell r="B369">
            <v>40011156</v>
          </cell>
          <cell r="C369" t="str">
            <v>Sin Rate</v>
          </cell>
          <cell r="D369" t="str">
            <v>CONSERVACION GLOBAL MIXTA CAMINOS RED VIAL REGION DE LOS LAGOS 2020</v>
          </cell>
          <cell r="E369" t="str">
            <v>Proyectos (31.02)</v>
          </cell>
        </row>
        <row r="370">
          <cell r="B370">
            <v>40020032</v>
          </cell>
          <cell r="C370" t="str">
            <v>Sin Rate</v>
          </cell>
          <cell r="D370" t="str">
            <v>MEJORAMIENTO RUTA V-613 S: RIO PESCADO - COLONIA RIO SUR</v>
          </cell>
          <cell r="E370" t="str">
            <v>Proyectos (31.02)</v>
          </cell>
        </row>
        <row r="371">
          <cell r="B371">
            <v>40020617</v>
          </cell>
          <cell r="C371" t="str">
            <v>RS</v>
          </cell>
          <cell r="D371" t="str">
            <v>MEJORAMIENTO CONECTIVIDAD VIAL INTERIOR ENTRE LIM REG LOS RÍOS-LIM PROV LLANQUIHUE SUR</v>
          </cell>
          <cell r="E371" t="str">
            <v>Proyectos (31.02)</v>
          </cell>
        </row>
        <row r="372">
          <cell r="B372">
            <v>40023736</v>
          </cell>
          <cell r="C372" t="str">
            <v>Sin Rate</v>
          </cell>
          <cell r="D372" t="str">
            <v>CONSERVACION CAMINOS POR GLOSA 7, REGION DE LOS LAGOS 2020 (PLAN DE RECUPERACIÓN)</v>
          </cell>
          <cell r="E372" t="str">
            <v>Proyectos (31.02)</v>
          </cell>
        </row>
        <row r="373">
          <cell r="B373">
            <v>40027087</v>
          </cell>
          <cell r="C373" t="str">
            <v>Sin Rate</v>
          </cell>
          <cell r="D373" t="str">
            <v>CONSERVACION CAMINOS BASICOS REGION DE LOS LAGOS 2020 (PLAN DE RECUPERACION)</v>
          </cell>
          <cell r="E373" t="str">
            <v>Proyectos (31.02)</v>
          </cell>
        </row>
        <row r="374">
          <cell r="B374">
            <v>40027088</v>
          </cell>
          <cell r="C374" t="str">
            <v>Sin Rate</v>
          </cell>
          <cell r="D374" t="str">
            <v>CONSERVACION RED VIAL REGION DE LOS LAGOS 2020 (PLAN DE RECUPERACION)</v>
          </cell>
          <cell r="E374" t="str">
            <v>Proyectos (31.02)</v>
          </cell>
        </row>
        <row r="375">
          <cell r="B375">
            <v>40027089</v>
          </cell>
          <cell r="C375" t="str">
            <v>Sin Rate</v>
          </cell>
          <cell r="D375" t="str">
            <v>CONSERVACION CAMINOS PLAN INDIGENA REGION DE LOS LAGOS 2020 (PLAN DE RECUPERACION)</v>
          </cell>
          <cell r="E375" t="str">
            <v>Proyectos (31.02)</v>
          </cell>
        </row>
        <row r="376">
          <cell r="B376">
            <v>40027820</v>
          </cell>
          <cell r="C376" t="str">
            <v>Sin Rate</v>
          </cell>
          <cell r="D376" t="str">
            <v>CONSERVACION DE LA RED VIAL REGION DE LOS LAGOS 2020-2021</v>
          </cell>
          <cell r="E376" t="str">
            <v>Proyectos (31.02)</v>
          </cell>
        </row>
        <row r="377">
          <cell r="B377">
            <v>40030679</v>
          </cell>
          <cell r="C377" t="str">
            <v>Sin Rate</v>
          </cell>
          <cell r="D377" t="str">
            <v>CONSERVACION GLOBAL MIXTA CAMINOS RED VIAL REGION DE LOS LAGOS 2022-2026</v>
          </cell>
          <cell r="E377" t="str">
            <v>Proyectos (31.02)</v>
          </cell>
        </row>
        <row r="378">
          <cell r="B378">
            <v>40031619</v>
          </cell>
          <cell r="C378" t="str">
            <v>Sin Rate</v>
          </cell>
          <cell r="D378" t="str">
            <v>CONSERVACION SEGURIDAD VIAL EN REGION LOS LAGOS (PLAN DE RECUPERACIÓN)</v>
          </cell>
          <cell r="E378" t="str">
            <v>Proyectos (31.02)</v>
          </cell>
        </row>
        <row r="379">
          <cell r="B379">
            <v>40035395</v>
          </cell>
          <cell r="C379" t="str">
            <v>Sin Rate</v>
          </cell>
          <cell r="D379" t="str">
            <v>CONSERVACION RED VIAL REGION DE LOS LAGOS</v>
          </cell>
          <cell r="E379" t="str">
            <v>Proyectos (31.02)</v>
          </cell>
        </row>
        <row r="380">
          <cell r="B380">
            <v>40035405</v>
          </cell>
          <cell r="C380" t="str">
            <v>Sin Rate</v>
          </cell>
          <cell r="D380" t="str">
            <v>CONSERVACION PLAN INDIGENA 2021-2023 REGION DE LOS LAGOS</v>
          </cell>
          <cell r="E380" t="str">
            <v>Proyectos (31.02)</v>
          </cell>
        </row>
        <row r="381">
          <cell r="B381">
            <v>40035408</v>
          </cell>
          <cell r="C381" t="str">
            <v>Sin Rate</v>
          </cell>
          <cell r="D381" t="str">
            <v>CONSERVACION CAMINOS BASICOS REGION DE LOS LAGOS 2021-2023</v>
          </cell>
          <cell r="E381" t="str">
            <v>Proyectos (31.02)</v>
          </cell>
        </row>
        <row r="382">
          <cell r="B382">
            <v>20080167</v>
          </cell>
          <cell r="C382" t="str">
            <v>RS</v>
          </cell>
          <cell r="D382" t="str">
            <v>CONSTRUCCIÓN CAMINO PUELO - PASO EL BOLSÓN</v>
          </cell>
          <cell r="E382" t="str">
            <v>Proyectos (31.02)</v>
          </cell>
        </row>
        <row r="383">
          <cell r="B383">
            <v>30070762</v>
          </cell>
          <cell r="C383" t="str">
            <v>RS</v>
          </cell>
          <cell r="D383" t="str">
            <v>REPOSICIÓN PAVIMENTO RUTA 215-CH. SECTOR: LAS LUMAS - ENTRELAGOS</v>
          </cell>
          <cell r="E383" t="str">
            <v>Proyectos (31.02)</v>
          </cell>
        </row>
        <row r="384">
          <cell r="B384">
            <v>30080507</v>
          </cell>
          <cell r="C384" t="str">
            <v>RS</v>
          </cell>
          <cell r="D384" t="str">
            <v>REPOSICIÓN PAVIMENTO RUTA 215-CH. SECTOR: ADUANA - LÍMITE</v>
          </cell>
          <cell r="E384" t="str">
            <v>Proyectos (31.02)</v>
          </cell>
        </row>
        <row r="385">
          <cell r="B385">
            <v>30110274</v>
          </cell>
          <cell r="C385" t="str">
            <v>OT</v>
          </cell>
          <cell r="D385" t="str">
            <v>CONSTRUCCIÓN RIPIO RUTA 7. S: FIORDO LARGO (PILLÁN) - CALETA GONZALO</v>
          </cell>
          <cell r="E385" t="str">
            <v>Proyectos (31.02)</v>
          </cell>
        </row>
        <row r="386">
          <cell r="B386">
            <v>30112219</v>
          </cell>
          <cell r="C386" t="str">
            <v>Sin Rate</v>
          </cell>
          <cell r="D386" t="str">
            <v>REPOSICION PUENTES MAYORES REGIÓN DE LOS LAGOS GRUPO 1</v>
          </cell>
          <cell r="E386" t="str">
            <v>Proyectos (31.02)</v>
          </cell>
        </row>
        <row r="387">
          <cell r="B387">
            <v>30114721</v>
          </cell>
          <cell r="C387" t="str">
            <v>Sin Rate</v>
          </cell>
          <cell r="D387" t="str">
            <v>CONSTRUCCIÓN BY PASS CASTRO EN CHILOÉ</v>
          </cell>
          <cell r="E387" t="str">
            <v>Proyectos (31.02)</v>
          </cell>
        </row>
        <row r="388">
          <cell r="B388">
            <v>30115547</v>
          </cell>
          <cell r="C388" t="str">
            <v>RS</v>
          </cell>
          <cell r="D388" t="str">
            <v>MEJORAMIENTO RUTA 7 SECTOR: HORNOPIREN - PICHANCO. COMUNA DE HUALAIHUE</v>
          </cell>
          <cell r="E388" t="str">
            <v>Proyectos (31.02)</v>
          </cell>
        </row>
        <row r="389">
          <cell r="B389">
            <v>30121997</v>
          </cell>
          <cell r="C389" t="str">
            <v>RS</v>
          </cell>
          <cell r="D389" t="str">
            <v>REPOSICIÓN PUENTE QUILO EN RUTA W-20, COMUNA DE ANCUD</v>
          </cell>
          <cell r="E389" t="str">
            <v>Proyectos (31.02)</v>
          </cell>
        </row>
        <row r="390">
          <cell r="B390">
            <v>30125021</v>
          </cell>
          <cell r="C390" t="str">
            <v>RS</v>
          </cell>
          <cell r="D390" t="str">
            <v>CONSTRUCCIÓN PUENTE SOBRE EL CANAL CHACAO Y ACCESOS</v>
          </cell>
          <cell r="E390" t="str">
            <v>Proyectos (31.02)</v>
          </cell>
        </row>
        <row r="391">
          <cell r="B391">
            <v>30131861</v>
          </cell>
          <cell r="C391" t="str">
            <v>RS</v>
          </cell>
          <cell r="D391" t="str">
            <v>MEJORAMIENTO RUTAS W-160; W-120. SECTOR: HUICHA - CAULIN, CHILOÉ</v>
          </cell>
          <cell r="E391" t="str">
            <v>Proyectos (31.02)</v>
          </cell>
        </row>
        <row r="392">
          <cell r="B392">
            <v>30257872</v>
          </cell>
          <cell r="C392" t="str">
            <v>RS</v>
          </cell>
          <cell r="D392" t="str">
            <v>CONSTRUCCION CONEXIÓN VIAL PUERTO VARAS - LLANQUIHUE</v>
          </cell>
          <cell r="E392" t="str">
            <v>Proyectos (31.02)</v>
          </cell>
        </row>
        <row r="393">
          <cell r="B393">
            <v>30287426</v>
          </cell>
          <cell r="C393" t="str">
            <v>Sin Rate</v>
          </cell>
          <cell r="D393" t="str">
            <v>CONSTRUCCION CONEXION VIAL CRUCE RUTA 231 CH - ACCESO NORTE LAGO ESPOLON</v>
          </cell>
          <cell r="E393" t="str">
            <v>Proyectos (31.02)</v>
          </cell>
        </row>
        <row r="394">
          <cell r="B394">
            <v>30319122</v>
          </cell>
          <cell r="C394" t="str">
            <v>RS</v>
          </cell>
          <cell r="D394" t="str">
            <v>MEJORAMIENTO CBI RUTAW-883,C: CRUCE LONGITUDINAL DIAZ LIRA, SECTOR: PUREO - APECHE, CHILOÉ</v>
          </cell>
          <cell r="E394" t="str">
            <v>Proyectos (31.02)</v>
          </cell>
        </row>
        <row r="395">
          <cell r="B395">
            <v>30382574</v>
          </cell>
          <cell r="C395" t="str">
            <v>RS</v>
          </cell>
          <cell r="D395" t="str">
            <v>MEJORAMIENTO CONEXIÓN VIAL URBANA RUTA U-72 - RUTA U-40 EN OSORNO</v>
          </cell>
          <cell r="E395" t="str">
            <v>Proyectos (31.02)</v>
          </cell>
        </row>
        <row r="396">
          <cell r="B396">
            <v>30384429</v>
          </cell>
          <cell r="C396" t="str">
            <v>RS</v>
          </cell>
          <cell r="D396" t="str">
            <v>MEJORAMIENTO RUTA V-69, SECTOR PUELO(FIN PAV.)-PUELCHE, COCHAMO</v>
          </cell>
          <cell r="E396" t="str">
            <v>Proyectos (31.02)</v>
          </cell>
        </row>
        <row r="397">
          <cell r="B397">
            <v>30399823</v>
          </cell>
          <cell r="C397" t="str">
            <v>RS</v>
          </cell>
          <cell r="D397" t="str">
            <v>MEJORAMIENTO RUTA V-30, CRUCE RUTA 5 (TOTORAL)-COLEGUAL-FRESIA</v>
          </cell>
          <cell r="E397" t="str">
            <v>Proyectos (31.02)</v>
          </cell>
        </row>
        <row r="398">
          <cell r="B398">
            <v>30407375</v>
          </cell>
          <cell r="C398" t="str">
            <v>RS</v>
          </cell>
          <cell r="D398" t="str">
            <v>CONSTRUCCIÓN PUENTE PRIMER CORRAL CAMINO PUELO - EL BOLSON, COCHAMO</v>
          </cell>
          <cell r="E398" t="str">
            <v>Proyectos (31.02)</v>
          </cell>
        </row>
        <row r="399">
          <cell r="B399">
            <v>30458869</v>
          </cell>
          <cell r="C399" t="str">
            <v>RS</v>
          </cell>
          <cell r="D399" t="str">
            <v>MEJORAMIENTO RUTA 5. S: MOLULCO-COLONIA YUNGAY (3AS PISTAS Y BERMAS)</v>
          </cell>
          <cell r="E399" t="str">
            <v>Proyectos (31.02)</v>
          </cell>
        </row>
        <row r="400">
          <cell r="B400">
            <v>30459747</v>
          </cell>
          <cell r="C400" t="str">
            <v>Sin Rate</v>
          </cell>
          <cell r="D400" t="str">
            <v>MEJORAMIENTO RUTA V-90, RUTA 5-MAULLIN, REGION DE LOS LAGOS</v>
          </cell>
          <cell r="E400" t="str">
            <v>Proyectos (31.02)</v>
          </cell>
        </row>
        <row r="401">
          <cell r="B401">
            <v>30483135</v>
          </cell>
          <cell r="C401" t="str">
            <v>Sin Rate</v>
          </cell>
          <cell r="D401" t="str">
            <v>CONSTRUCCION PUENTE PALENA Nº 2, PALENA</v>
          </cell>
          <cell r="E401" t="str">
            <v>Proyectos (31.02)</v>
          </cell>
        </row>
        <row r="402">
          <cell r="B402">
            <v>40003396</v>
          </cell>
          <cell r="C402" t="str">
            <v>RS</v>
          </cell>
          <cell r="D402" t="str">
            <v>MEJORAMIENTO RUTA V-69 SECTOR: COCHAMO PTE. PUCHEGUIN</v>
          </cell>
          <cell r="E402" t="str">
            <v>Proyectos (31.02)</v>
          </cell>
        </row>
        <row r="403">
          <cell r="B403">
            <v>40004545</v>
          </cell>
          <cell r="C403" t="str">
            <v>Sin Rate</v>
          </cell>
          <cell r="D403" t="str">
            <v>REPOSICION PUENTE EL BLANCO RUTA 7 CHAITEN</v>
          </cell>
          <cell r="E403" t="str">
            <v>Proyectos (31.02)</v>
          </cell>
        </row>
        <row r="404">
          <cell r="B404">
            <v>40012113</v>
          </cell>
          <cell r="C404" t="str">
            <v>RS</v>
          </cell>
          <cell r="D404" t="str">
            <v>REPOSICION PUENTES MAYORES REGION DE LOS LAGOS GRUPO 3</v>
          </cell>
          <cell r="E404" t="str">
            <v>Proyectos (31.02)</v>
          </cell>
        </row>
        <row r="405">
          <cell r="B405">
            <v>40019529</v>
          </cell>
          <cell r="C405" t="str">
            <v>Sin Rate</v>
          </cell>
          <cell r="D405" t="str">
            <v>REPOSICION PUENTE QUILACAHUIN EN RUTA U-166 COMUNA DE SAN PABLO</v>
          </cell>
          <cell r="E405" t="str">
            <v>Proyectos (31.02)</v>
          </cell>
        </row>
        <row r="406">
          <cell r="B406">
            <v>40019529</v>
          </cell>
          <cell r="C406" t="str">
            <v>Sin Rate</v>
          </cell>
          <cell r="D406" t="str">
            <v>REPOSICION PUENTE QUILACAHUIN EN RUTA U-166 COMUNA DE SAN PABLO</v>
          </cell>
          <cell r="E406" t="str">
            <v>Proyectos (31.02)</v>
          </cell>
        </row>
        <row r="407">
          <cell r="B407">
            <v>40020035</v>
          </cell>
          <cell r="C407" t="str">
            <v>Sin Rate</v>
          </cell>
          <cell r="D407" t="str">
            <v>MEJORAMIENTO RUTA U-911 SECTOR CR. U-55-V - CR. U-981-T</v>
          </cell>
          <cell r="E407" t="str">
            <v>Proyectos (31.02)</v>
          </cell>
        </row>
        <row r="408">
          <cell r="B408">
            <v>40020615</v>
          </cell>
          <cell r="C408" t="str">
            <v>RS</v>
          </cell>
          <cell r="D408" t="str">
            <v>ANALISIS Y DIAGNOSTICO CONECTIVIDAD VIAL QUILACAHUIN -TRINIDAD</v>
          </cell>
          <cell r="E408" t="str">
            <v>Estudios Básicos (31.01)</v>
          </cell>
        </row>
        <row r="409">
          <cell r="B409">
            <v>40026957</v>
          </cell>
          <cell r="C409" t="str">
            <v>RS</v>
          </cell>
          <cell r="D409" t="str">
            <v>MEJORAMIENTO CONEXION VIAL RUTA 5 - RUTA U-500 ACCESO NORTE OSORNO</v>
          </cell>
          <cell r="E409" t="str">
            <v>Proyectos (31.02)</v>
          </cell>
        </row>
        <row r="410">
          <cell r="B410">
            <v>40027997</v>
          </cell>
          <cell r="C410" t="str">
            <v>Sin Rate</v>
          </cell>
          <cell r="D410" t="str">
            <v>REPOSICION PUENTES MAYORES REGION DE LOS LAGOS GRUPO 4</v>
          </cell>
          <cell r="E410" t="str">
            <v>Proyectos (31.02)</v>
          </cell>
        </row>
        <row r="411">
          <cell r="B411">
            <v>40029080</v>
          </cell>
          <cell r="C411" t="str">
            <v>Sin Rate</v>
          </cell>
          <cell r="D411" t="str">
            <v>REPOSICION RUTA U-55-V SECTOR CRUCE NOCHACO-CASCADA</v>
          </cell>
          <cell r="E411" t="str">
            <v>Proyectos (31.02)</v>
          </cell>
        </row>
        <row r="412">
          <cell r="B412">
            <v>40029525</v>
          </cell>
          <cell r="C412" t="str">
            <v>Sin Rate</v>
          </cell>
          <cell r="D412" t="str">
            <v>MEJORAMIENTO RUTA U-350 SECTOR CUQUIMO-CUNAMO</v>
          </cell>
          <cell r="E412" t="str">
            <v>Proyectos (31.02)</v>
          </cell>
        </row>
        <row r="413">
          <cell r="B413">
            <v>40036588</v>
          </cell>
          <cell r="C413" t="str">
            <v>Sin Rate</v>
          </cell>
          <cell r="D413" t="str">
            <v>REPOSICION PUENTES MAYORES RUTA 7. GRUPO 1 REGION DE LOS LAGOS</v>
          </cell>
          <cell r="E413" t="str">
            <v>Proyectos (31.02)</v>
          </cell>
        </row>
        <row r="414">
          <cell r="B414">
            <v>40036594</v>
          </cell>
          <cell r="C414" t="str">
            <v>Sin Rate</v>
          </cell>
          <cell r="D414" t="str">
            <v>MEJORAMIENTO RUTA V-320 S:CR V-310 MAICHIHUE-YERBAS BUENAS COMUNAS FRESIA Y LOS MUERMOS</v>
          </cell>
          <cell r="E414" t="str">
            <v>Proyectos (31.02)</v>
          </cell>
        </row>
        <row r="415">
          <cell r="B415">
            <v>40036595</v>
          </cell>
          <cell r="C415" t="str">
            <v>Sin Rate</v>
          </cell>
          <cell r="D415" t="str">
            <v>REPOSICION PUENTE CHOROY TRAIGUEN RUTA U-302 SAN JUAN DE COSTA, OSORNO</v>
          </cell>
          <cell r="E415" t="str">
            <v>Proyectos (31.02)</v>
          </cell>
        </row>
        <row r="416">
          <cell r="B416">
            <v>40036598</v>
          </cell>
          <cell r="C416" t="str">
            <v>Sin Rate</v>
          </cell>
          <cell r="D416" t="str">
            <v>MEJORAMIENTO CAMINO U-911 SECTOR: PUENTE VESPERINA-LAS GAVIOTAS</v>
          </cell>
          <cell r="E416" t="str">
            <v>Proyectos (31.02)</v>
          </cell>
        </row>
        <row r="417">
          <cell r="B417">
            <v>40036599</v>
          </cell>
          <cell r="C417" t="str">
            <v>Sin Rate</v>
          </cell>
          <cell r="D417" t="str">
            <v>CONSTRUCCION CONEXIÓN VIAL RUTA 5 - RUTA 225-CH, PUERTO VARAS</v>
          </cell>
          <cell r="E417" t="str">
            <v>Proyectos (31.02)</v>
          </cell>
        </row>
        <row r="418">
          <cell r="B418">
            <v>40036600</v>
          </cell>
          <cell r="C418" t="str">
            <v>Sin Rate</v>
          </cell>
          <cell r="D418" t="str">
            <v>MEJORAMIENTO CBI RUTA V-687, C: LENCA -LAGUNAS CAIQUENES (PARQUE ALERCE ANDINO), PUERTO MONTT</v>
          </cell>
          <cell r="E418" t="str">
            <v>Proyectos (31.02)</v>
          </cell>
        </row>
        <row r="419">
          <cell r="B419">
            <v>40036602</v>
          </cell>
          <cell r="C419" t="str">
            <v>Sin Rate</v>
          </cell>
          <cell r="D419" t="str">
            <v>REPOSICION PUENTES MAYORES REGION DE LOS LAGOS GRUPO 5</v>
          </cell>
          <cell r="E419" t="str">
            <v>Proyectos (31.02)</v>
          </cell>
        </row>
        <row r="420">
          <cell r="B420">
            <v>40036603</v>
          </cell>
          <cell r="C420" t="str">
            <v>Sin Rate</v>
          </cell>
          <cell r="D420" t="str">
            <v>REPOSICION DE PUENTES MAYORES PROVINCIA DE LLANQUIHUE</v>
          </cell>
          <cell r="E420" t="str">
            <v>Proyectos (31.02)</v>
          </cell>
        </row>
        <row r="421">
          <cell r="B421">
            <v>40036604</v>
          </cell>
          <cell r="C421" t="str">
            <v>Sin Rate</v>
          </cell>
          <cell r="D421" t="str">
            <v>MEJORAMIENTO RUTA W-651 PUTEMUN-RILAN-AGUANTAO</v>
          </cell>
          <cell r="E421" t="str">
            <v>Proyectos (31.02)</v>
          </cell>
        </row>
        <row r="422">
          <cell r="B422">
            <v>40036618</v>
          </cell>
          <cell r="C422" t="str">
            <v>Sin Rate</v>
          </cell>
          <cell r="D422" t="str">
            <v>MEJORAMIENTO RUTAS V-590 EL TEPUAL - LAS LOMAS Y V-720 CRUCE RUTA 5 SAN ANTONIO - EL TEPUAL, PROV. LLANQUIHUE</v>
          </cell>
          <cell r="E422" t="str">
            <v>Proyectos (31.02)</v>
          </cell>
        </row>
        <row r="423">
          <cell r="B423">
            <v>40038504</v>
          </cell>
          <cell r="C423" t="str">
            <v>Sin Rate</v>
          </cell>
          <cell r="D423" t="str">
            <v>CONSERVACION RED VIAL ADMINISTRACION DIRECTA REGION DE LOS LAGOS 2023</v>
          </cell>
          <cell r="E423" t="str">
            <v>Proyectos (31.02)</v>
          </cell>
        </row>
        <row r="424">
          <cell r="B424">
            <v>40038506</v>
          </cell>
          <cell r="C424" t="str">
            <v>Sin Rate</v>
          </cell>
          <cell r="D424" t="str">
            <v>CONSERVACION CAMINOS PLAN INDIGENA REGION DE LOS LAGOS 2023</v>
          </cell>
          <cell r="E424" t="str">
            <v>Proyectos (31.02)</v>
          </cell>
        </row>
        <row r="425">
          <cell r="B425">
            <v>40038507</v>
          </cell>
          <cell r="C425" t="str">
            <v>Sin Rate</v>
          </cell>
          <cell r="D425" t="str">
            <v>CONSERVACION CAMINOS BASICOS REGION DE LOS LAGOS 2023 -</v>
          </cell>
          <cell r="E425" t="str">
            <v>Proyectos (31.02)</v>
          </cell>
        </row>
        <row r="426">
          <cell r="B426">
            <v>40038509</v>
          </cell>
          <cell r="C426" t="str">
            <v>Sin Rate</v>
          </cell>
          <cell r="D426" t="str">
            <v>CONSERVACION RED VIAL REGION DE LOS LAGOS 2023</v>
          </cell>
          <cell r="E426" t="str">
            <v>Proyectos (31.02)</v>
          </cell>
        </row>
        <row r="427">
          <cell r="B427">
            <v>40040145</v>
          </cell>
          <cell r="C427" t="str">
            <v>Sin Rate</v>
          </cell>
          <cell r="D427" t="str">
            <v>CONSERVACION RED VIAL ADMINISTRACION DIRECTA REGION DE LOS LAGOS 2023 EXPANSION</v>
          </cell>
          <cell r="E427" t="str">
            <v>Proyectos (31.02)</v>
          </cell>
        </row>
        <row r="428">
          <cell r="B428">
            <v>30458870</v>
          </cell>
          <cell r="C428" t="str">
            <v>RS</v>
          </cell>
          <cell r="D428" t="str">
            <v>REPOSICIÓN PAVIMENTO RUTA U-40, SECTOR: OSORNO - INTERSECCIÓN RUTA U-52, PROVINCIA OSORNO</v>
          </cell>
          <cell r="E428" t="str">
            <v>Proyectos (31.02)</v>
          </cell>
        </row>
        <row r="429">
          <cell r="B429">
            <v>40007464</v>
          </cell>
          <cell r="C429" t="str">
            <v>RS</v>
          </cell>
          <cell r="D429" t="str">
            <v>REPOSICIÓN PUENTE CANCURA EN RUTA U-55-V COMUNAS DE PUERTO OCTAY Y OSORNO</v>
          </cell>
          <cell r="E429" t="str">
            <v>Proyectos (31.02)</v>
          </cell>
        </row>
        <row r="430">
          <cell r="B430">
            <v>40038505</v>
          </cell>
          <cell r="C430" t="str">
            <v>Sin Rate</v>
          </cell>
          <cell r="D430" t="str">
            <v>CONSERVACION GLOBAL DE CAMINOS INDIGENAS REGION DE LOS LAGOS 2023</v>
          </cell>
          <cell r="E430" t="str">
            <v>Proyectos (31.02)</v>
          </cell>
        </row>
        <row r="431">
          <cell r="B431">
            <v>40040147</v>
          </cell>
          <cell r="C431" t="str">
            <v>Sin Rate</v>
          </cell>
          <cell r="D431" t="str">
            <v>CONSERVACION CAMINOS BASICOS REGION DE LOS LAGOS 2023 EXPANSION</v>
          </cell>
          <cell r="E431" t="str">
            <v>Proyectos (31.02)</v>
          </cell>
        </row>
        <row r="432">
          <cell r="B432">
            <v>40040152</v>
          </cell>
          <cell r="C432" t="str">
            <v>Sin Rate</v>
          </cell>
          <cell r="D432" t="str">
            <v>CONSERVACION CAMINOS PLAN INDIGENA REGION DE LOS LAGOS 2023 EXPANSION</v>
          </cell>
          <cell r="E432" t="str">
            <v>Proyectos (31.02)</v>
          </cell>
        </row>
        <row r="433">
          <cell r="B433">
            <v>40040155</v>
          </cell>
          <cell r="C433" t="str">
            <v>Sin Rate</v>
          </cell>
          <cell r="D433" t="str">
            <v>CONSERVACION RED VIAL REGION DE LOS LAGOS 2023 EXPANSION</v>
          </cell>
          <cell r="E433" t="str">
            <v>Proyectos (31.02)</v>
          </cell>
        </row>
        <row r="434">
          <cell r="B434">
            <v>29000052</v>
          </cell>
          <cell r="C434" t="str">
            <v>Sin Rate</v>
          </cell>
          <cell r="D434" t="str">
            <v>AEROPUERTO EL TEPUAL DE PUERTO MONTT (INSPECCIÓN FISCAL)</v>
          </cell>
          <cell r="E434" t="str">
            <v>Proyectos (31.02)</v>
          </cell>
        </row>
        <row r="435">
          <cell r="B435">
            <v>29000224</v>
          </cell>
          <cell r="C435" t="str">
            <v>Sin Rate</v>
          </cell>
          <cell r="D435" t="str">
            <v>CONCESIÓN RUTA 5 TRAMO PUERTO MONTT - PARGUA (INSPECCIÓN FISCAL)</v>
          </cell>
          <cell r="E435" t="str">
            <v>Proyectos (31.02)</v>
          </cell>
        </row>
        <row r="436">
          <cell r="B436">
            <v>29000297</v>
          </cell>
          <cell r="C436" t="str">
            <v>Sin Rate</v>
          </cell>
          <cell r="D436" t="str">
            <v>RUTA 5 TRAMO PUERTO MONTT - PARGUA (EXPROPIACIONES)</v>
          </cell>
          <cell r="E436" t="str">
            <v>Proyectos (31.02)</v>
          </cell>
        </row>
        <row r="437">
          <cell r="B437">
            <v>29000570</v>
          </cell>
          <cell r="C437" t="str">
            <v>Sin Rate</v>
          </cell>
          <cell r="D437" t="str">
            <v>-- CONCESIÓN VIAL RUTA LONGITUDINAL CHILOÉ (INSPECCIÓN FISCAL)</v>
          </cell>
          <cell r="E437" t="str">
            <v>Proyectos (31.02)</v>
          </cell>
        </row>
        <row r="438">
          <cell r="B438">
            <v>30158072</v>
          </cell>
          <cell r="C438" t="str">
            <v>RS</v>
          </cell>
          <cell r="D438" t="str">
            <v>MEJORAMIENTO HOSPITAL PUERTO OCTAY</v>
          </cell>
          <cell r="E438" t="str">
            <v>Proyectos (31.02)</v>
          </cell>
        </row>
        <row r="439">
          <cell r="B439">
            <v>30324573</v>
          </cell>
          <cell r="C439" t="str">
            <v>Sin Rate</v>
          </cell>
          <cell r="D439" t="str">
            <v>CONSTRUCCION BASE SAMU PROVINCIAL</v>
          </cell>
          <cell r="E439" t="str">
            <v>Proyectos (31.02)</v>
          </cell>
        </row>
        <row r="440">
          <cell r="B440">
            <v>30371429</v>
          </cell>
          <cell r="C440" t="str">
            <v>OT</v>
          </cell>
          <cell r="D440" t="str">
            <v>NORMALIZACION HOSPITAL DE PURRANQUE</v>
          </cell>
          <cell r="E440" t="str">
            <v>Proyectos (31.02)</v>
          </cell>
        </row>
        <row r="441">
          <cell r="B441">
            <v>30430122</v>
          </cell>
          <cell r="C441" t="str">
            <v>RS</v>
          </cell>
          <cell r="D441" t="str">
            <v>CONSTRUCCION CESFAM CON SAR CHUYACA, OSORNO</v>
          </cell>
          <cell r="E441" t="str">
            <v>Proyectos (31.02)</v>
          </cell>
        </row>
        <row r="442">
          <cell r="B442">
            <v>30481028</v>
          </cell>
          <cell r="C442" t="str">
            <v>RS</v>
          </cell>
          <cell r="D442" t="str">
            <v>REPOSICION CESFAM CON SAR RAHUE ALTO, OSORNO</v>
          </cell>
          <cell r="E442" t="str">
            <v>Proyectos (31.02)</v>
          </cell>
        </row>
        <row r="443">
          <cell r="B443">
            <v>40005072</v>
          </cell>
          <cell r="C443" t="str">
            <v>Sin Rate</v>
          </cell>
          <cell r="D443" t="str">
            <v>CONSTRUCCION HOSPITAL DE RAHUE</v>
          </cell>
          <cell r="E443" t="str">
            <v>Proyectos (31.02)</v>
          </cell>
        </row>
        <row r="444">
          <cell r="B444">
            <v>40005076</v>
          </cell>
          <cell r="C444" t="str">
            <v>Sin Rate</v>
          </cell>
          <cell r="D444" t="str">
            <v>HABILITACION ANGIOGRAFO Hospital Base San Osorno</v>
          </cell>
          <cell r="E444" t="str">
            <v>Proyectos (31.02)</v>
          </cell>
        </row>
        <row r="445">
          <cell r="B445">
            <v>40007052</v>
          </cell>
          <cell r="C445" t="str">
            <v>RS</v>
          </cell>
          <cell r="D445" t="str">
            <v>REPOSICION CECOSF EL ENCANTO, COMUNA DE PUYEHUE</v>
          </cell>
          <cell r="E445" t="str">
            <v>Proyectos (31.02)</v>
          </cell>
        </row>
        <row r="446">
          <cell r="B446">
            <v>30083300</v>
          </cell>
          <cell r="C446" t="str">
            <v>RS</v>
          </cell>
          <cell r="D446" t="str">
            <v>NORMALIZACION HOSPITAL DE ANCUD, PROVINCIA DE CHILOE</v>
          </cell>
          <cell r="E446" t="str">
            <v>Proyectos (31.02)</v>
          </cell>
        </row>
        <row r="447">
          <cell r="B447">
            <v>30083335</v>
          </cell>
          <cell r="C447" t="str">
            <v>RS</v>
          </cell>
          <cell r="D447" t="str">
            <v>NORMALIZACION HOSPITAL DE QUELLON, PROVINCIA DE CHILOE</v>
          </cell>
          <cell r="E447" t="str">
            <v>Proyectos (31.02)</v>
          </cell>
        </row>
        <row r="448">
          <cell r="B448">
            <v>30071949</v>
          </cell>
          <cell r="C448" t="str">
            <v>RS</v>
          </cell>
          <cell r="D448" t="str">
            <v>NORMALIZACION HOSPITAL DE QUEILEN, PROVINCIA DE CHILOE</v>
          </cell>
          <cell r="E448" t="str">
            <v>Proyectos (31.02)</v>
          </cell>
        </row>
        <row r="449">
          <cell r="B449">
            <v>40003386</v>
          </cell>
          <cell r="C449" t="str">
            <v>RS</v>
          </cell>
          <cell r="D449" t="str">
            <v>CONSTRUCCION BASE SAMU EN CASTRO Y SUBCENTRO DE DESPACHO PROVINCIA DE CHILOE</v>
          </cell>
          <cell r="E449" t="str">
            <v>Proyectos (31.02)</v>
          </cell>
        </row>
        <row r="450">
          <cell r="B450">
            <v>30134389</v>
          </cell>
          <cell r="C450" t="str">
            <v>FI</v>
          </cell>
          <cell r="D450" t="str">
            <v>CONSTRUCCION 15 VIVIENDAS ADULTO MAYOR COMUNA SAN JUAN DE LA COSTA</v>
          </cell>
          <cell r="E450" t="str">
            <v>Proyectos (31.02)</v>
          </cell>
        </row>
        <row r="451">
          <cell r="B451">
            <v>30283230</v>
          </cell>
          <cell r="C451" t="str">
            <v>RS</v>
          </cell>
          <cell r="D451" t="str">
            <v>MEJORAMIENTO AVDA. EJERCITO, TRAMO YURASZECK-SEMINARIO, PUERTO MONTT</v>
          </cell>
          <cell r="E451" t="str">
            <v>Proyectos (31.02)</v>
          </cell>
        </row>
        <row r="452">
          <cell r="B452">
            <v>30283474</v>
          </cell>
          <cell r="C452" t="str">
            <v>RS</v>
          </cell>
          <cell r="D452" t="str">
            <v>Mejoramiento Avda. Pte. Ibañez, Tramo, Tramo Cardonal Avda. Las Industrias Puerto Montt</v>
          </cell>
          <cell r="E452" t="str">
            <v>Proyectos (31.02)</v>
          </cell>
        </row>
        <row r="453">
          <cell r="B453">
            <v>30291173</v>
          </cell>
          <cell r="C453" t="str">
            <v>RS</v>
          </cell>
          <cell r="D453" t="str">
            <v>Mejoramiento Interconexión Vial Sector Alerce 2° Etapa Puerto Montt</v>
          </cell>
          <cell r="E453" t="str">
            <v>Proyectos (31.02)</v>
          </cell>
        </row>
        <row r="454">
          <cell r="B454">
            <v>30397338</v>
          </cell>
          <cell r="C454" t="str">
            <v>FI</v>
          </cell>
          <cell r="D454" t="str">
            <v>CONSTRUCCION 20 VIVIENDAS ADULTO MAYOR EN COMUNA DE MAULLÍN</v>
          </cell>
          <cell r="E454" t="str">
            <v>Proyectos (31.02)</v>
          </cell>
        </row>
        <row r="455">
          <cell r="B455">
            <v>30442072</v>
          </cell>
          <cell r="C455" t="str">
            <v>RS</v>
          </cell>
          <cell r="D455" t="str">
            <v>Conservación Parque Municipal De Castro</v>
          </cell>
          <cell r="E455" t="str">
            <v>Proyectos (31.02)</v>
          </cell>
        </row>
        <row r="456">
          <cell r="B456">
            <v>30463648</v>
          </cell>
          <cell r="C456" t="str">
            <v>Sin Rate</v>
          </cell>
          <cell r="D456" t="str">
            <v>MEJORAMIENTO PASEO MIRADOR TERCERA TERRAZA, PUERTO MONTT</v>
          </cell>
          <cell r="E456" t="str">
            <v>Proyectos (31.02)</v>
          </cell>
        </row>
        <row r="457">
          <cell r="B457">
            <v>30484455</v>
          </cell>
          <cell r="C457" t="str">
            <v>RS</v>
          </cell>
          <cell r="D457" t="str">
            <v>REPOSICION PLAZA DE ARMAS DE CONTAO, HUALAIHUE</v>
          </cell>
          <cell r="E457" t="str">
            <v>Proyectos (31.02)</v>
          </cell>
        </row>
        <row r="458">
          <cell r="B458">
            <v>30485764</v>
          </cell>
          <cell r="C458" t="str">
            <v>FI</v>
          </cell>
          <cell r="D458" t="str">
            <v>MEJORAMIENTO  Y AMPLIACIÓN PARQUE LA TOMA,  RÍO NEGRO</v>
          </cell>
          <cell r="E458" t="str">
            <v>Proyectos (31.02)</v>
          </cell>
        </row>
        <row r="459">
          <cell r="B459">
            <v>40004334</v>
          </cell>
          <cell r="C459" t="str">
            <v>FI</v>
          </cell>
          <cell r="D459" t="str">
            <v>CONSTRUCCION PARQUE METROPOLITANO, PUERTO MONTT</v>
          </cell>
          <cell r="E459" t="str">
            <v>Proyectos (31.02)</v>
          </cell>
        </row>
        <row r="460">
          <cell r="B460">
            <v>40005113</v>
          </cell>
          <cell r="C460" t="str">
            <v>FI</v>
          </cell>
          <cell r="D460" t="str">
            <v>AMPLIACION AVENIDA LOS NOTROS, TRAMO PUERTO LARA-PRESIDENTE IBAÑEZ DE PUERTO MONTT</v>
          </cell>
          <cell r="E460" t="str">
            <v>Proyectos (31.02)</v>
          </cell>
        </row>
        <row r="461">
          <cell r="B461">
            <v>40005274</v>
          </cell>
          <cell r="C461" t="str">
            <v>Sin Rate</v>
          </cell>
          <cell r="D461" t="str">
            <v>MEJORAMIENTO ESPACIO PUBLICO CALLE PEDRO AGUIRRE CERDA, CHONCHI</v>
          </cell>
          <cell r="E461" t="str">
            <v>Proyectos (31.02)</v>
          </cell>
        </row>
        <row r="462">
          <cell r="B462">
            <v>40005543</v>
          </cell>
          <cell r="C462" t="str">
            <v>FI</v>
          </cell>
          <cell r="D462" t="str">
            <v>CONSTRUCCION 20 VIVIENDAS ADULTO MAYOR,  RIO NEGRO</v>
          </cell>
          <cell r="E462" t="str">
            <v>Proyectos (31.02)</v>
          </cell>
        </row>
        <row r="463">
          <cell r="B463">
            <v>40005895</v>
          </cell>
          <cell r="C463" t="str">
            <v>RS</v>
          </cell>
          <cell r="D463" t="str">
            <v>CONSTRUCCION 30 VIVIENDAS ADULTO MAYOR ALERCE NORTE, PUERTO MONTT</v>
          </cell>
          <cell r="E463" t="str">
            <v>Proyectos (31.02)</v>
          </cell>
        </row>
        <row r="464">
          <cell r="B464">
            <v>40006448</v>
          </cell>
          <cell r="C464" t="str">
            <v>Sin Rate</v>
          </cell>
          <cell r="D464" t="str">
            <v>CONSTRUCCION MACRO URBANIZACIÓN PREDIO BAQUEDANO OSORNO</v>
          </cell>
          <cell r="E464" t="str">
            <v>Proyectos (31.02)</v>
          </cell>
        </row>
        <row r="465">
          <cell r="B465">
            <v>40020321</v>
          </cell>
          <cell r="C465" t="str">
            <v>RS</v>
          </cell>
          <cell r="D465" t="str">
            <v>MEJORAMIENTO BARRIO AITUE, COMUNA DE QUELLÓN</v>
          </cell>
          <cell r="E465" t="str">
            <v>Proyectos (31.02)</v>
          </cell>
        </row>
        <row r="466">
          <cell r="B466">
            <v>40022194</v>
          </cell>
          <cell r="C466" t="str">
            <v>RS</v>
          </cell>
          <cell r="D466" t="str">
            <v>CONSTRUCCION COLECTOR SECUNDARIO AGUAS LLUVIA LOS COIGUES, ALERCE, PUERTO MONTT</v>
          </cell>
          <cell r="E466" t="str">
            <v>Proyectos (31.02)</v>
          </cell>
        </row>
        <row r="467">
          <cell r="B467">
            <v>40023574</v>
          </cell>
          <cell r="C467" t="str">
            <v>RS</v>
          </cell>
          <cell r="D467" t="str">
            <v>CONSTRUCCION COLECTOR SECUNDARIO AGUAS LLUVIA CHACAY, ALERCE, PTO. MONTT</v>
          </cell>
          <cell r="E467" t="str">
            <v>Proyectos (31.02)</v>
          </cell>
        </row>
        <row r="468">
          <cell r="B468">
            <v>40023609</v>
          </cell>
          <cell r="C468" t="str">
            <v>Sin Rate</v>
          </cell>
          <cell r="D468" t="str">
            <v>MEJORAMIENTO CONECTIVIDAD CALLE DR. EDUARDO AHUÉS, SECTOR SAN ANTONIO QUELLÓN</v>
          </cell>
          <cell r="E468" t="str">
            <v>Proyectos (31.02)</v>
          </cell>
        </row>
        <row r="469">
          <cell r="B469">
            <v>40023610</v>
          </cell>
          <cell r="C469" t="str">
            <v>OT</v>
          </cell>
          <cell r="D469" t="str">
            <v>MEJORAMIENTO INTERCONEXION SECTOR RAHUE BAJO-OVEJERIA EN OSORNO</v>
          </cell>
          <cell r="E469" t="str">
            <v>Proyectos (31.02)</v>
          </cell>
        </row>
        <row r="470">
          <cell r="B470">
            <v>40023914</v>
          </cell>
          <cell r="C470" t="str">
            <v>RS</v>
          </cell>
          <cell r="D470" t="str">
            <v>MEJORAMIENTO BARRIO BERNARDO OHIGGINS, PUERTO MONTT</v>
          </cell>
          <cell r="E470" t="str">
            <v>Proyectos (31.02)</v>
          </cell>
        </row>
        <row r="471">
          <cell r="B471">
            <v>40023917</v>
          </cell>
          <cell r="C471" t="str">
            <v>RS</v>
          </cell>
          <cell r="D471" t="str">
            <v>MEJORAMIENTO BARRIO DALCAHUE, DALCAHUE</v>
          </cell>
          <cell r="E471" t="str">
            <v>Proyectos (31.02)</v>
          </cell>
        </row>
        <row r="472">
          <cell r="B472">
            <v>40031575</v>
          </cell>
          <cell r="C472" t="str">
            <v>RS</v>
          </cell>
          <cell r="D472" t="str">
            <v>CONSTRUCCION PAVIMENTOS PARTICIPATIVOS 31° LLAMADO REGIÓN DE LOS LAGOS</v>
          </cell>
          <cell r="E472" t="str">
            <v>Proyectos (31.02)</v>
          </cell>
        </row>
        <row r="473">
          <cell r="B473">
            <v>40032180</v>
          </cell>
          <cell r="C473" t="str">
            <v>RS</v>
          </cell>
          <cell r="D473" t="str">
            <v>CONSERVACION REDES SECUNDARIAS AGUAS LLUVIAS 2022-2023</v>
          </cell>
          <cell r="E473" t="str">
            <v>Proyectos (31.02)</v>
          </cell>
        </row>
        <row r="474">
          <cell r="B474">
            <v>40032181</v>
          </cell>
          <cell r="C474" t="str">
            <v>RS</v>
          </cell>
          <cell r="D474" t="str">
            <v>CONSERVACION VEREDAS REGIÓN DE LOS LAGOS</v>
          </cell>
          <cell r="E474" t="str">
            <v>Proyectos (31.02)</v>
          </cell>
        </row>
        <row r="475">
          <cell r="B475">
            <v>40032233</v>
          </cell>
          <cell r="C475" t="str">
            <v>Sin Rate</v>
          </cell>
          <cell r="D475" t="str">
            <v>MEJORAMIENTO AVDA. PRESIDENTE IBAÑEZ TRAMO CARDONAL-ISLA MAILLEN, PUERTO MONTT</v>
          </cell>
          <cell r="E475" t="str">
            <v>Proyectos (31.02)</v>
          </cell>
        </row>
        <row r="476">
          <cell r="B476">
            <v>40034914</v>
          </cell>
          <cell r="C476" t="str">
            <v>RS</v>
          </cell>
          <cell r="D476" t="str">
            <v>CONSERVACION PLAZA DE ARMAS DE ANCUD</v>
          </cell>
          <cell r="E476" t="str">
            <v>Proyectos (31.02)</v>
          </cell>
        </row>
        <row r="477">
          <cell r="B477">
            <v>40034915</v>
          </cell>
          <cell r="C477" t="str">
            <v>RS</v>
          </cell>
          <cell r="D477" t="str">
            <v>CONSERVACION PARQUE MIRASOL, PUERTO MONTT</v>
          </cell>
          <cell r="E477" t="str">
            <v>Proyectos (31.02)</v>
          </cell>
        </row>
        <row r="478">
          <cell r="B478">
            <v>40036520</v>
          </cell>
          <cell r="C478" t="str">
            <v>RS</v>
          </cell>
          <cell r="D478" t="str">
            <v>CONSERVACION PARQUE RIO NEGRO DE ALERCE, PUERTO MONTT</v>
          </cell>
          <cell r="E478" t="str">
            <v>Proyectos (31.02)</v>
          </cell>
        </row>
        <row r="479">
          <cell r="B479">
            <v>40038683</v>
          </cell>
          <cell r="C479" t="str">
            <v>Sin Rate</v>
          </cell>
          <cell r="D479" t="str">
            <v>CONSTRUCCION PAVIMENTOS PARTICIPATIVOS LLAMADO 32°</v>
          </cell>
          <cell r="E479" t="str">
            <v>Proyectos (31.02)</v>
          </cell>
        </row>
        <row r="480">
          <cell r="B480">
            <v>40041933</v>
          </cell>
          <cell r="C480" t="str">
            <v>RS</v>
          </cell>
          <cell r="D480" t="str">
            <v>CONSERVACION PARQUE COSTANERA DE PUERTO MONTT</v>
          </cell>
          <cell r="E480" t="str">
            <v>Proyectos (31.02)</v>
          </cell>
        </row>
        <row r="481">
          <cell r="B481">
            <v>40041948</v>
          </cell>
          <cell r="C481" t="str">
            <v>RS</v>
          </cell>
          <cell r="D481" t="str">
            <v>CONSERVACION CONSERVACION REDES SECUNDARIAS AGUAS LLUVIAS 2023-2024</v>
          </cell>
          <cell r="E481" t="str">
            <v>Proyectos (31.02)</v>
          </cell>
        </row>
        <row r="482">
          <cell r="B482">
            <v>40041951</v>
          </cell>
          <cell r="C482" t="str">
            <v>RS</v>
          </cell>
          <cell r="D482" t="str">
            <v>CONSERVACION VIVIENDAS ADULTO MAYOR REGIÓN LOS LAGOS 2023</v>
          </cell>
          <cell r="E482" t="str">
            <v>Proyectos (31.02)</v>
          </cell>
        </row>
        <row r="483">
          <cell r="B483">
            <v>40041952</v>
          </cell>
          <cell r="C483" t="str">
            <v>RS</v>
          </cell>
          <cell r="D483" t="str">
            <v>CONSERVACION VEREDAS REGIÓN DE LOS LAGOS 2023-2024</v>
          </cell>
          <cell r="E483" t="str">
            <v>Proyectos (31.02)</v>
          </cell>
        </row>
        <row r="484">
          <cell r="B484">
            <v>40041953</v>
          </cell>
          <cell r="C484" t="str">
            <v>Sin Rate</v>
          </cell>
          <cell r="D484" t="str">
            <v>CONSTRUCCION RED DE CICLOVÍAS PUERTO MONTT</v>
          </cell>
          <cell r="E484" t="str">
            <v>Proyectos (31.02)</v>
          </cell>
        </row>
        <row r="485">
          <cell r="B485">
            <v>40041955</v>
          </cell>
          <cell r="C485" t="str">
            <v>Sin Rate</v>
          </cell>
          <cell r="D485" t="str">
            <v>CONSTRUCCION  RED CICLOVÍAS PUERTO VARAS</v>
          </cell>
          <cell r="E485" t="str">
            <v>Proyectos (31.02)</v>
          </cell>
        </row>
        <row r="486">
          <cell r="B486">
            <v>40042065</v>
          </cell>
          <cell r="C486" t="str">
            <v>Sin Rate</v>
          </cell>
          <cell r="D486" t="str">
            <v>CONSTRUCCION EJE LUCILA GODOY, RAC FRUTILLAR ALTO.</v>
          </cell>
          <cell r="E486" t="str">
            <v>Proyectos (31.02)</v>
          </cell>
        </row>
        <row r="487">
          <cell r="B487">
            <v>40042070</v>
          </cell>
          <cell r="C487" t="str">
            <v>Sin Rate</v>
          </cell>
          <cell r="D487" t="str">
            <v>CONSTRUCCION MACROINFRAESTRUCTURA NUEVA VILLA SANTA LUCIA</v>
          </cell>
          <cell r="E487" t="str">
            <v>Proyectos (31.02)</v>
          </cell>
        </row>
        <row r="488">
          <cell r="B488">
            <v>40042072</v>
          </cell>
          <cell r="C488" t="str">
            <v>Sin Rate</v>
          </cell>
          <cell r="D488" t="str">
            <v>CONSTRUCCION TERMINAL DE PASO URBANO - RURAL, CHONCHI</v>
          </cell>
          <cell r="E488" t="str">
            <v>Proyectos (31.02)</v>
          </cell>
        </row>
        <row r="489">
          <cell r="B489">
            <v>40042075</v>
          </cell>
          <cell r="C489" t="str">
            <v>Sin Rate</v>
          </cell>
          <cell r="D489" t="str">
            <v>CONSTRUCCION 30 VIVIENDAS ADULTO MAYOR, PREDIO BAQUEDANO, OSORNO</v>
          </cell>
          <cell r="E489" t="str">
            <v>Proyectos (31.02)</v>
          </cell>
        </row>
        <row r="490">
          <cell r="B490">
            <v>40042076</v>
          </cell>
          <cell r="C490" t="str">
            <v>Sin Rate</v>
          </cell>
          <cell r="D490" t="str">
            <v>NORMALIZACION  Y MEJORMIENTO INTEGRAL ACERAS CALLE SARGENTO CANDELARIA ETAPA 2</v>
          </cell>
          <cell r="E490" t="str">
            <v>Proyectos (31.02)</v>
          </cell>
        </row>
        <row r="491">
          <cell r="B491">
            <v>40042078</v>
          </cell>
          <cell r="C491" t="str">
            <v>Sin Rate</v>
          </cell>
          <cell r="D491" t="str">
            <v>CONSTRUCCION PARQUE QUEBRADA HONDA, PUERTO VARAS</v>
          </cell>
          <cell r="E491" t="str">
            <v>Proyectos (31.02)</v>
          </cell>
        </row>
        <row r="492">
          <cell r="B492">
            <v>40005949</v>
          </cell>
          <cell r="C492" t="str">
            <v>Sin Rate</v>
          </cell>
          <cell r="D492" t="str">
            <v>CONSTRUCCION EDIFICIO SERVIU SEREMI MINVU REGION DE LOS LAGOS</v>
          </cell>
          <cell r="E492" t="str">
            <v>Proyectos (31.02)</v>
          </cell>
        </row>
        <row r="493">
          <cell r="B493">
            <v>40020511</v>
          </cell>
          <cell r="C493" t="str">
            <v/>
          </cell>
          <cell r="D493" t="str">
            <v>DIAGNOSTICO ESTUDIOS PREVIOS PLAN REGULADOR COMUNAL DE CHAITEN</v>
          </cell>
          <cell r="E493" t="str">
            <v>Servicios Técnicos y Profesionales (22.11)</v>
          </cell>
        </row>
        <row r="494">
          <cell r="B494">
            <v>40005121</v>
          </cell>
          <cell r="C494" t="str">
            <v/>
          </cell>
          <cell r="D494" t="str">
            <v>ACTUALIZACION PLAN REGULADOR COMUNAL DE HUALAIHUE</v>
          </cell>
          <cell r="E494" t="str">
            <v>Servicios Técnicos y Profesionales (22.11)</v>
          </cell>
        </row>
        <row r="495">
          <cell r="B495">
            <v>40037911</v>
          </cell>
          <cell r="C495" t="str">
            <v>RS</v>
          </cell>
          <cell r="D495" t="str">
            <v>DIAGNOSTICO DIAGNOSTICO Y ELABORACION PLAN MAESTRO BARRIO RENACER, LOS MUERMOS, CONC.2021</v>
          </cell>
          <cell r="E495" t="str">
            <v>Estudios Básicos (31.01)</v>
          </cell>
        </row>
        <row r="496">
          <cell r="B496">
            <v>40037978</v>
          </cell>
          <cell r="C496" t="str">
            <v>RS</v>
          </cell>
          <cell r="D496" t="str">
            <v>DIAGNOSTICO DIAG. Y ELABORACION PLAN MAESTRO BARRIO LAGOS DE CHILE, RIO NEGRO, CONC2021</v>
          </cell>
          <cell r="E496" t="str">
            <v>Estudios Básicos (31.01)</v>
          </cell>
        </row>
        <row r="497">
          <cell r="B497">
            <v>40037980</v>
          </cell>
          <cell r="C497" t="str">
            <v>RS</v>
          </cell>
          <cell r="D497" t="str">
            <v>DIAGNOSTICO DIAGNOSTICO Y ELABORACIÓN PLAN MAESTRO BARRIO FUTALEUFU, FUTALEUFU. BIR2021</v>
          </cell>
          <cell r="E497" t="str">
            <v>Estudios Básicos (31.01)</v>
          </cell>
        </row>
        <row r="498">
          <cell r="B498">
            <v>40042069</v>
          </cell>
          <cell r="C498" t="str">
            <v>Sin Rate</v>
          </cell>
          <cell r="D498" t="str">
            <v>DIAGNOSTICO INTEGRAL PUH VARIAS COMUNAS, REGIÓN DE LOS LAGOS</v>
          </cell>
          <cell r="E498" t="str">
            <v>Estudios Básicos (31.01)</v>
          </cell>
        </row>
        <row r="499">
          <cell r="B499">
            <v>40042067</v>
          </cell>
          <cell r="C499" t="str">
            <v>Sin Rate</v>
          </cell>
          <cell r="D499" t="str">
            <v>DIAGNOSTICO INTEGRAL VARIOS RAC COMUNAS, REGION DE LOS LAGOS</v>
          </cell>
          <cell r="E499" t="str">
            <v>Estudios Básicos (31.01)</v>
          </cell>
        </row>
        <row r="500">
          <cell r="B500">
            <v>40020379</v>
          </cell>
          <cell r="C500" t="str">
            <v>RS</v>
          </cell>
          <cell r="D500" t="str">
            <v>REPOSICIÓN 2ª COMISARÍA PUERTO MONTT</v>
          </cell>
          <cell r="E500" t="str">
            <v>Proyectos (31.02)</v>
          </cell>
        </row>
        <row r="501">
          <cell r="B501">
            <v>40023322</v>
          </cell>
          <cell r="C501" t="str">
            <v>RS</v>
          </cell>
          <cell r="D501" t="str">
            <v>REPOSICION 1RA. COMISARIA OSORNO</v>
          </cell>
          <cell r="E501" t="str">
            <v>Proyectos (31.02)</v>
          </cell>
        </row>
        <row r="502">
          <cell r="B502">
            <v>40018952</v>
          </cell>
          <cell r="C502" t="str">
            <v>FI</v>
          </cell>
          <cell r="D502" t="str">
            <v>RESTAURACION REHABILITACIÓN Y PUESTA EN VALOR 1ª COMISARÍA ANCUD</v>
          </cell>
          <cell r="E502" t="str">
            <v>Proyectos (31.02)</v>
          </cell>
        </row>
        <row r="503">
          <cell r="B503">
            <v>40037575</v>
          </cell>
          <cell r="C503" t="str">
            <v>FI</v>
          </cell>
          <cell r="D503" t="str">
            <v>REPOSICION PREFECTURA CHILOE Y 2DA COMISARÍA CASTRO, COMUNA DE CASTRO</v>
          </cell>
          <cell r="E503" t="str">
            <v>Proyectos (31.02)</v>
          </cell>
        </row>
        <row r="504">
          <cell r="B504">
            <v>40033844</v>
          </cell>
          <cell r="C504" t="str">
            <v>RS</v>
          </cell>
          <cell r="D504" t="str">
            <v>DIAGNOSTICO SUELOS MAL DRENAJE REGIÓN LOS LAGOS</v>
          </cell>
          <cell r="E504" t="str">
            <v>Estudios Básicos (31.01)</v>
          </cell>
        </row>
        <row r="505">
          <cell r="B505">
            <v>30080729</v>
          </cell>
          <cell r="C505" t="str">
            <v>RS</v>
          </cell>
          <cell r="D505" t="str">
            <v>REPOSICION CENTRO DE SALUD FAMILIAR Y SAR  ANGELMO, PUERTO MONTT</v>
          </cell>
          <cell r="E505" t="str">
            <v>Proyectos (31.02)</v>
          </cell>
        </row>
        <row r="506">
          <cell r="B506">
            <v>30128140</v>
          </cell>
          <cell r="C506" t="str">
            <v>RS</v>
          </cell>
          <cell r="D506" t="str">
            <v>NORMALIZACION CENTRO SALUD FAMILIAR ALERCE, COMUNA DE PUERTO MONTT</v>
          </cell>
          <cell r="E506" t="str">
            <v>Proyectos (31.02)</v>
          </cell>
        </row>
        <row r="507">
          <cell r="B507">
            <v>30219228</v>
          </cell>
          <cell r="C507" t="str">
            <v>RS</v>
          </cell>
          <cell r="D507" t="str">
            <v>REPOSICION CENTRO DE SALUD DE ATENCION PRIMARIA FRUTILLAR</v>
          </cell>
          <cell r="E507" t="str">
            <v>Proyectos (31.02)</v>
          </cell>
        </row>
        <row r="508">
          <cell r="B508">
            <v>30311772</v>
          </cell>
          <cell r="C508" t="str">
            <v>Sin Rate</v>
          </cell>
          <cell r="D508" t="str">
            <v>CONSTRUCCION CENTRO DE SALUD CONTAO, COMUNA HUALAIHUE</v>
          </cell>
          <cell r="E508" t="str">
            <v>Proyectos (31.02)</v>
          </cell>
        </row>
        <row r="509">
          <cell r="B509">
            <v>30487765</v>
          </cell>
          <cell r="C509" t="str">
            <v>RS</v>
          </cell>
          <cell r="D509" t="str">
            <v>CONSTRUCCION SALA CUNA Y MEJORAMIENTO DEL SERVICIO DE URGENCIA Y REHABILTACION H. MAULLIN</v>
          </cell>
          <cell r="E509" t="str">
            <v>Proyectos (31.02)</v>
          </cell>
        </row>
        <row r="510">
          <cell r="B510">
            <v>40009469</v>
          </cell>
          <cell r="C510" t="str">
            <v>Sin Rate</v>
          </cell>
          <cell r="D510" t="str">
            <v>AMPLIACION CENTRO ONCOLÓGICO HOSPITAL PUERTO MONTT</v>
          </cell>
          <cell r="E510" t="str">
            <v>Proyectos (31.02)</v>
          </cell>
        </row>
        <row r="511">
          <cell r="B511">
            <v>40013343</v>
          </cell>
          <cell r="C511" t="str">
            <v>Sin Rate</v>
          </cell>
          <cell r="D511" t="str">
            <v>MEJORAMIENTO HOSPITAL DE FRESIA 3° ETAPA</v>
          </cell>
          <cell r="E511" t="str">
            <v>Proyectos (31.02)</v>
          </cell>
        </row>
        <row r="512">
          <cell r="B512">
            <v>40013343</v>
          </cell>
          <cell r="C512" t="str">
            <v>Sin Rate</v>
          </cell>
          <cell r="D512" t="str">
            <v>MEJORAMIENTO HOSPITAL DE FRESIA 3° ETAPA</v>
          </cell>
          <cell r="E512" t="str">
            <v>Proyectos (31.02)</v>
          </cell>
        </row>
        <row r="513">
          <cell r="B513">
            <v>40013347</v>
          </cell>
          <cell r="C513" t="str">
            <v>Sin Rate</v>
          </cell>
          <cell r="D513" t="str">
            <v>REPOSICION HOSPITAL DE FRUTILLAR SERVICIO DE SALUD DEL RELONCAVI</v>
          </cell>
          <cell r="E513" t="str">
            <v>Proyectos (31.02)</v>
          </cell>
        </row>
        <row r="514">
          <cell r="B514">
            <v>40013352</v>
          </cell>
          <cell r="C514" t="str">
            <v>Sin Rate</v>
          </cell>
          <cell r="D514" t="str">
            <v>MEJORAMIENTO HOSPITAL DE CALBUCO TERCERA ETAPA</v>
          </cell>
          <cell r="E514" t="str">
            <v>Proyectos (31.02)</v>
          </cell>
        </row>
        <row r="515">
          <cell r="B515">
            <v>40013352</v>
          </cell>
          <cell r="C515" t="str">
            <v>Sin Rate</v>
          </cell>
          <cell r="D515" t="str">
            <v>MEJORAMIENTO HOSPITAL DE CALBUCO TERCERA ETAPA</v>
          </cell>
          <cell r="E515" t="str">
            <v>Proyectos (31.02)</v>
          </cell>
        </row>
        <row r="516">
          <cell r="B516">
            <v>40013353</v>
          </cell>
          <cell r="C516" t="str">
            <v>Sin Rate</v>
          </cell>
          <cell r="D516" t="str">
            <v>NORMALIZACION CONSULTORIO RÍO NEGRO HORNOPIREN, SERVICIO DE SALUD DEL RELONCAVI</v>
          </cell>
          <cell r="E516" t="str">
            <v>Proyectos (31.02)</v>
          </cell>
        </row>
        <row r="517">
          <cell r="B517">
            <v>40013371</v>
          </cell>
          <cell r="C517" t="str">
            <v>Sin Rate</v>
          </cell>
          <cell r="D517" t="str">
            <v>AMPLIACION CESFAM COMUNA DE LOS MUERMOS</v>
          </cell>
          <cell r="E517" t="str">
            <v>Proyectos (31.02)</v>
          </cell>
        </row>
        <row r="518">
          <cell r="B518">
            <v>40013382</v>
          </cell>
          <cell r="C518" t="str">
            <v>Sin Rate</v>
          </cell>
          <cell r="D518" t="str">
            <v>MEJORAMIENTO HOSPITAL DE MAULLIN 2° ETAPA</v>
          </cell>
          <cell r="E518" t="str">
            <v>Proyectos (31.02)</v>
          </cell>
        </row>
        <row r="519">
          <cell r="B519">
            <v>40013382</v>
          </cell>
          <cell r="C519" t="str">
            <v>Sin Rate</v>
          </cell>
          <cell r="D519" t="str">
            <v>MEJORAMIENTO HOSPITAL DE MAULLIN 2° ETAPA</v>
          </cell>
          <cell r="E519" t="str">
            <v>Proyectos (31.02)</v>
          </cell>
        </row>
        <row r="520">
          <cell r="B520">
            <v>40013430</v>
          </cell>
          <cell r="C520" t="str">
            <v>Sin Rate</v>
          </cell>
          <cell r="D520" t="str">
            <v>REPOSICION CENTRO COMUNITARIO SALUD FAMILIAR AYACARA</v>
          </cell>
          <cell r="E520" t="str">
            <v>Proyectos (31.02)</v>
          </cell>
        </row>
        <row r="521">
          <cell r="B521">
            <v>40019601</v>
          </cell>
          <cell r="C521" t="str">
            <v>Sin Rate</v>
          </cell>
          <cell r="D521" t="str">
            <v>CONSTRUCCION Unidad Hospital de Día y Mejoramiento Hospitalización Domiciliaria</v>
          </cell>
          <cell r="E521" t="str">
            <v>Proyectos (31.02)</v>
          </cell>
        </row>
        <row r="522">
          <cell r="B522">
            <v>40030876</v>
          </cell>
          <cell r="C522" t="str">
            <v>Sin Rate</v>
          </cell>
          <cell r="D522" t="str">
            <v>CONSERVACION INFRAESTRUCTURA APS, POSTA DE SALUD RURAL ESPOLON, COMUNA DE FUTALUFU</v>
          </cell>
          <cell r="E522" t="str">
            <v>Proyectos (31.02)</v>
          </cell>
        </row>
        <row r="523">
          <cell r="B523">
            <v>40030880</v>
          </cell>
          <cell r="C523" t="str">
            <v>Sin Rate</v>
          </cell>
          <cell r="D523" t="str">
            <v>CONSERVACION INFRAESTRUCTURA APS PSR CAU CAU, PSR MIRADOR Y PSR LAS CRUCES COMUNA DE FRESIA</v>
          </cell>
          <cell r="E523" t="str">
            <v>Proyectos (31.02)</v>
          </cell>
        </row>
        <row r="524">
          <cell r="B524">
            <v>40030882</v>
          </cell>
          <cell r="C524" t="str">
            <v>Sin Rate</v>
          </cell>
          <cell r="D524" t="str">
            <v>CONSERVACION INFRAESTRUCTURA APS PSR ROLECHA Y CES RIO NEGRO HORNOPIREN, COMUNA DE HUALAIHUE</v>
          </cell>
          <cell r="E524" t="str">
            <v>Proyectos (31.02)</v>
          </cell>
        </row>
        <row r="525">
          <cell r="B525">
            <v>40030883</v>
          </cell>
          <cell r="C525" t="str">
            <v>Sin Rate</v>
          </cell>
          <cell r="D525" t="str">
            <v>CONSERVACION INFRAESTRUCTURA APS PSR EL MALITO Y PSR PUERTO RAMIREZ, COMUNA DE PALENA</v>
          </cell>
          <cell r="E525" t="str">
            <v>Proyectos (31.02)</v>
          </cell>
        </row>
        <row r="526">
          <cell r="B526">
            <v>40030884</v>
          </cell>
          <cell r="C526" t="str">
            <v>Sin Rate</v>
          </cell>
          <cell r="D526" t="str">
            <v>CONSERVACION INFRAESTRUTURA APS PSR POCOIHUEN PSR SEGUNDO CORRAL Y PSR VALLE EL FRIO, COMUNA DE COCHAMO</v>
          </cell>
          <cell r="E526" t="str">
            <v>Proyectos (31.02)</v>
          </cell>
        </row>
        <row r="527">
          <cell r="B527">
            <v>40030885</v>
          </cell>
          <cell r="C527" t="str">
            <v>Sin Rate</v>
          </cell>
          <cell r="D527" t="str">
            <v>CONSERVACION INFRAESTRUCTURA APS, CESFAM LOS VOLCANES, PSR PELLINES Y PSR COLEGUAL, COMUNA DE LLANQUIHUE</v>
          </cell>
          <cell r="E527" t="str">
            <v>Proyectos (31.02)</v>
          </cell>
        </row>
        <row r="528">
          <cell r="B528">
            <v>40030972</v>
          </cell>
          <cell r="C528" t="str">
            <v>Sin Rate</v>
          </cell>
          <cell r="D528" t="str">
            <v>CONSERVACION INFRAESTRUCTURA , CESFAM L MUERMOS, PSR ESTAQUILLA Y LOS PIQUES COM. LOS MUERMOS</v>
          </cell>
          <cell r="E528" t="str">
            <v>Proyectos (31.02)</v>
          </cell>
        </row>
        <row r="529">
          <cell r="B529">
            <v>40030983</v>
          </cell>
          <cell r="C529" t="str">
            <v>Sin Rate</v>
          </cell>
          <cell r="D529" t="str">
            <v>CONSERVACION INFRESTRUTURA APS CESFAM CARELMAPU, COMUNA DE MAULLIN</v>
          </cell>
          <cell r="E529" t="str">
            <v>Proyectos (31.02)</v>
          </cell>
        </row>
        <row r="530">
          <cell r="B530">
            <v>40032063</v>
          </cell>
          <cell r="C530" t="str">
            <v>Sin Rate</v>
          </cell>
          <cell r="D530" t="str">
            <v>MEJORAMIENTO URGENCIA GINECO OBSTETRICA Y UNIDAD CLINICO FORENSE</v>
          </cell>
          <cell r="E530" t="str">
            <v>Proyectos (31.02)</v>
          </cell>
        </row>
        <row r="531">
          <cell r="B531">
            <v>40036718</v>
          </cell>
          <cell r="C531" t="str">
            <v>Sin Rate</v>
          </cell>
          <cell r="D531" t="str">
            <v>MEJORAMIENTO UNIDAD GERIATRÍA AGUDA HOSPITAL PUERTO MONTT</v>
          </cell>
          <cell r="E531" t="str">
            <v>Proyectos (31.02)</v>
          </cell>
        </row>
        <row r="532">
          <cell r="B532">
            <v>40040022</v>
          </cell>
          <cell r="C532" t="str">
            <v>Sin Rate</v>
          </cell>
          <cell r="D532" t="str">
            <v>CONSERVACION CONSERVACIÓN HOSPITAL DE FRESIA</v>
          </cell>
          <cell r="E532" t="str">
            <v>Proyectos (31.02)</v>
          </cell>
        </row>
        <row r="533">
          <cell r="B533">
            <v>40040026</v>
          </cell>
          <cell r="C533" t="str">
            <v>Sin Rate</v>
          </cell>
          <cell r="D533" t="str">
            <v>CONSERVACION INFRAESTRUCTURA HOSPITAL DE MAULLIN</v>
          </cell>
          <cell r="E533" t="str">
            <v>Proyectos (31.02)</v>
          </cell>
        </row>
        <row r="534">
          <cell r="B534">
            <v>40040029</v>
          </cell>
          <cell r="C534" t="str">
            <v>Sin Rate</v>
          </cell>
          <cell r="D534" t="str">
            <v>CONSERVACION INFRAESTRUCTURA HOSPITAL DE PALENA</v>
          </cell>
          <cell r="E534" t="str">
            <v>Proyectos (31.02)</v>
          </cell>
        </row>
        <row r="535">
          <cell r="B535">
            <v>40040030</v>
          </cell>
          <cell r="C535" t="str">
            <v>Sin Rate</v>
          </cell>
          <cell r="D535" t="str">
            <v>CONSERVACION HOSPITAL DE FRUTILLAR</v>
          </cell>
          <cell r="E535" t="str">
            <v>Proyectos (31.02)</v>
          </cell>
        </row>
        <row r="536">
          <cell r="B536">
            <v>40036420</v>
          </cell>
          <cell r="C536" t="str">
            <v>Sin Rate</v>
          </cell>
          <cell r="D536" t="str">
            <v>HABILITACION Centro Cardioquirúrgico para Macro Zona Sur Austral</v>
          </cell>
          <cell r="E536" t="str">
            <v>Proyectos (31.02)</v>
          </cell>
        </row>
        <row r="537">
          <cell r="B537">
            <v>40041556</v>
          </cell>
          <cell r="C537" t="str">
            <v/>
          </cell>
          <cell r="D537" t="str">
            <v>REPOSICION BOMBA DE CALOR CESFAM RÍO NEGRO HORNOPIREN</v>
          </cell>
          <cell r="E537" t="str">
            <v>ADQUISICIÓN DE ACTIVOS NO FINANCIEROS (29)</v>
          </cell>
        </row>
        <row r="538">
          <cell r="B538">
            <v>40042528</v>
          </cell>
          <cell r="C538" t="str">
            <v/>
          </cell>
          <cell r="D538" t="str">
            <v>EQUIPAMIENTO CLÍNICO PARA ESTABLECIMIENTOS DE BAJA COMPLEJIDAD DEL RELONCAVÍ</v>
          </cell>
          <cell r="E538" t="str">
            <v>ADQUISICIÓN DE ACTIVOS NO FINANCIEROS (29)</v>
          </cell>
        </row>
        <row r="539">
          <cell r="B539">
            <v>40042540</v>
          </cell>
          <cell r="C539" t="str">
            <v/>
          </cell>
          <cell r="D539" t="str">
            <v>EQUIPAMIENTO CENTRO SANGRE AUSTRAL, DEL RELONCAVÍ</v>
          </cell>
          <cell r="E539" t="str">
            <v>ADQUISICIÓN DE ACTIVOS NO FINANCIEROS (29)</v>
          </cell>
        </row>
        <row r="540">
          <cell r="B540">
            <v>40042549</v>
          </cell>
          <cell r="C540" t="str">
            <v/>
          </cell>
          <cell r="D540" t="str">
            <v>REPOSICION AMBULANCIAS SAMU, PUERTO MONTT</v>
          </cell>
          <cell r="E540" t="str">
            <v>ADQUISICIÓN DE ACTIVOS NO FINANCIEROS (29)</v>
          </cell>
        </row>
        <row r="541">
          <cell r="B541">
            <v>40042781</v>
          </cell>
          <cell r="C541" t="str">
            <v/>
          </cell>
          <cell r="D541" t="str">
            <v>REPOSICION AMBULANCIAS DE EMERGENCIA BASICA, RED ASISTENCIAL SERVICIO DE SALUD DEL RELONCAVI</v>
          </cell>
          <cell r="E541" t="str">
            <v>ADQUISICIÓN DE ACTIVOS NO FINANCIEROS (29)</v>
          </cell>
        </row>
        <row r="542">
          <cell r="B542">
            <v>30077182</v>
          </cell>
          <cell r="C542" t="str">
            <v>RS</v>
          </cell>
          <cell r="D542" t="str">
            <v>REPOSICION CUARTEL INVESTIGACIONES PUERTO VARAS</v>
          </cell>
          <cell r="E542" t="str">
            <v>Proyectos (31.02)</v>
          </cell>
        </row>
        <row r="543">
          <cell r="B543">
            <v>40017327</v>
          </cell>
          <cell r="C543" t="str">
            <v>Sin Rate</v>
          </cell>
          <cell r="D543" t="str">
            <v>AMPLIACIÓN Y MEJORAMIENTO SISTEMA DE A.P.R. DE PUAUCHO, COMUNA DE SAN JUAN DE LA COSTA</v>
          </cell>
          <cell r="E543" t="str">
            <v>Proyectos (31.02)</v>
          </cell>
        </row>
        <row r="544">
          <cell r="B544">
            <v>40018488</v>
          </cell>
          <cell r="C544" t="str">
            <v>Sin Rate</v>
          </cell>
          <cell r="D544" t="str">
            <v>CONSTRUCCION SERVICIO DE AGUA POTABLE RURAL DE ASTILLEROS - PUNAHUEL, COMUNA DE DALCAHUE</v>
          </cell>
          <cell r="E544" t="str">
            <v>Proyectos (31.02)</v>
          </cell>
        </row>
        <row r="545">
          <cell r="B545">
            <v>40019118</v>
          </cell>
          <cell r="C545" t="str">
            <v>Sin Rate</v>
          </cell>
          <cell r="D545" t="str">
            <v>CONSTRUCCION SERVICIO DE AGUA POTABLE RURAL DE HUAYUN, COMUNA DE MAULLIN</v>
          </cell>
          <cell r="E545" t="str">
            <v>Proyectos (31.02)</v>
          </cell>
        </row>
        <row r="546">
          <cell r="B546">
            <v>40019238</v>
          </cell>
          <cell r="C546" t="str">
            <v>Sin Rate</v>
          </cell>
          <cell r="D546" t="str">
            <v>MEJORAMIENTO SERVICIO DE AGUA POTABLE RURAL DE CURANUE, COMUNA DE QUELLON</v>
          </cell>
          <cell r="E546" t="str">
            <v>Proyectos (31.02)</v>
          </cell>
        </row>
        <row r="547">
          <cell r="B547">
            <v>40027914</v>
          </cell>
          <cell r="C547" t="str">
            <v>Sin Rate</v>
          </cell>
          <cell r="D547" t="str">
            <v>CONSTRUCCION SERVICIO DE AGUA POTABLE RURAL HUENAO REGION DE LOS LAGOS</v>
          </cell>
          <cell r="E547" t="str">
            <v>Proyectos (31.02)</v>
          </cell>
        </row>
        <row r="548">
          <cell r="B548">
            <v>40029557</v>
          </cell>
          <cell r="C548" t="str">
            <v>Sin Rate</v>
          </cell>
          <cell r="D548" t="str">
            <v>CONSTRUCCION SISTEMA DE AGUA POTABLE RURAL DE CANAN, COMUNA DE CHONCHI</v>
          </cell>
          <cell r="E548" t="str">
            <v>Proyectos (31.02)</v>
          </cell>
        </row>
        <row r="549">
          <cell r="B549">
            <v>40029731</v>
          </cell>
          <cell r="C549" t="str">
            <v>Sin Rate</v>
          </cell>
          <cell r="D549" t="str">
            <v>CONSTRUCCION SERVICIO DE AGUA POTABLE RURAL DE HUAYUN, COMUNA DE CALBUCO</v>
          </cell>
          <cell r="E549" t="str">
            <v>Proyectos (31.02)</v>
          </cell>
        </row>
        <row r="550">
          <cell r="B550">
            <v>40029773</v>
          </cell>
          <cell r="C550" t="str">
            <v>Sin Rate</v>
          </cell>
          <cell r="D550" t="str">
            <v>CONSTRUCCION SISTEMA DE AGUA POTABLE RURAL DE ISLA ALAO, COMUNA DE QUINCHAO</v>
          </cell>
          <cell r="E550" t="str">
            <v>Proyectos (31.02)</v>
          </cell>
        </row>
        <row r="551">
          <cell r="B551">
            <v>40033638</v>
          </cell>
          <cell r="C551" t="str">
            <v>Sin Rate</v>
          </cell>
          <cell r="D551" t="str">
            <v>CONSTRUCCION SISTEMA DE AGUA POTABLE RURAL DE COLONIA TRES PUENTES, COMUNA DE PUERTO VARAS</v>
          </cell>
          <cell r="E551" t="str">
            <v>Proyectos (31.02)</v>
          </cell>
        </row>
        <row r="552">
          <cell r="B552">
            <v>40018524</v>
          </cell>
          <cell r="C552" t="str">
            <v>Sin Rate</v>
          </cell>
          <cell r="D552" t="str">
            <v>CONSTRUCCION SERVICIO DE AGUA POTABLE RURAL DE TOLQUIEN, COMUNA DE CURACO DE VELEZ</v>
          </cell>
          <cell r="E552" t="str">
            <v>Proyectos (31.02)</v>
          </cell>
        </row>
        <row r="553">
          <cell r="B553">
            <v>40019039</v>
          </cell>
          <cell r="C553" t="str">
            <v>Sin Rate</v>
          </cell>
          <cell r="D553" t="str">
            <v>CONSTRUCCION SERVICIO DE AGUA POTABLE RURAL DE SANTA ROSA CANDELARIA, COMUNA DE QUELLON</v>
          </cell>
          <cell r="E553" t="str">
            <v>Proyectos (31.02)</v>
          </cell>
        </row>
        <row r="554">
          <cell r="B554">
            <v>40019044</v>
          </cell>
          <cell r="C554" t="str">
            <v>Sin Rate</v>
          </cell>
          <cell r="D554" t="str">
            <v>CONSTRUCCION SISTEMA APR COLONIA YUGAY, COMUNA DE QUELLON</v>
          </cell>
          <cell r="E554" t="str">
            <v>Proyectos (31.02)</v>
          </cell>
        </row>
        <row r="555">
          <cell r="B555">
            <v>40019126</v>
          </cell>
          <cell r="C555" t="str">
            <v>Sin Rate</v>
          </cell>
          <cell r="D555" t="str">
            <v>MEJORAMIENTO SERVICIO DE AGUA POTABLE RURAL DE BAHIA MANSA, COMUNA DE SAN JUAN DE LA COSTA</v>
          </cell>
          <cell r="E555" t="str">
            <v>Proyectos (31.02)</v>
          </cell>
        </row>
        <row r="556">
          <cell r="B556">
            <v>40030479</v>
          </cell>
          <cell r="C556" t="str">
            <v>Sin Rate</v>
          </cell>
          <cell r="D556" t="str">
            <v>CONSTRUCCION MEJORAMIENTO Y AMPLIACION SISTEMA APR METRENQUEN, COMUNA DE PUERTO MONTT</v>
          </cell>
          <cell r="E556" t="str">
            <v>Proyectos (31.02)</v>
          </cell>
        </row>
        <row r="557">
          <cell r="B557">
            <v>40033639</v>
          </cell>
          <cell r="C557" t="str">
            <v>Sin Rate</v>
          </cell>
          <cell r="D557" t="str">
            <v>CONSTRUCCION MEJORAMIENTO Y AMPLIACION SISTEMA SANITARIO RURAL LAS LUMAS, COMUNA DE OSORNO</v>
          </cell>
          <cell r="E557" t="str">
            <v>Proyectos (31.02)</v>
          </cell>
        </row>
        <row r="558">
          <cell r="B558">
            <v>40033642</v>
          </cell>
          <cell r="C558" t="str">
            <v>Sin Rate</v>
          </cell>
          <cell r="D558" t="str">
            <v>CONSTRUCCION SISTEMA DE AGUA POTABLE RURAL EL VARAL, COMUNA DE HUALAIHUE</v>
          </cell>
          <cell r="E558" t="str">
            <v>Proyectos (31.02)</v>
          </cell>
        </row>
        <row r="559">
          <cell r="B559">
            <v>40033644</v>
          </cell>
          <cell r="C559" t="str">
            <v>Sin Rate</v>
          </cell>
          <cell r="D559" t="str">
            <v>CONSTRUCCION SISTEMA DE AGUA POTABLE RURAL PUNTA QUIHUA, COMUNA DE CALBUCO</v>
          </cell>
          <cell r="E559" t="str">
            <v>Proyectos (31.02)</v>
          </cell>
        </row>
        <row r="560">
          <cell r="B560">
            <v>40033645</v>
          </cell>
          <cell r="C560" t="str">
            <v>Sin Rate</v>
          </cell>
          <cell r="D560" t="str">
            <v>MEJORAMIENTO SISTEMA DE AGUA POTABLE RURAL CONTAO, COMUNA DE HUALAIHUE</v>
          </cell>
          <cell r="E560" t="str">
            <v>Proyectos (31.02)</v>
          </cell>
        </row>
        <row r="561">
          <cell r="B561">
            <v>40017344</v>
          </cell>
          <cell r="C561" t="str">
            <v>Sin Rate</v>
          </cell>
          <cell r="D561" t="str">
            <v>CONSTRUCCION SISTEMA DE AGUA POTABLE RURAL DE HUILLINCO, COMUNA DE OSORNO</v>
          </cell>
          <cell r="E561" t="str">
            <v>Proyectos (31.02)</v>
          </cell>
        </row>
        <row r="562">
          <cell r="B562">
            <v>40018527</v>
          </cell>
          <cell r="C562" t="str">
            <v>Sin Rate</v>
          </cell>
          <cell r="D562" t="str">
            <v>CONSTRUCCION SERVICIO DE AGUA POTABLE RURAL DE CHEÑUE-PUNTA PIUTIL, COMUNA DE HUALAIHUE</v>
          </cell>
          <cell r="E562" t="str">
            <v>Proyectos (31.02)</v>
          </cell>
        </row>
        <row r="563">
          <cell r="B563">
            <v>40019077</v>
          </cell>
          <cell r="C563" t="str">
            <v>Sin Rate</v>
          </cell>
          <cell r="D563" t="str">
            <v>CONSTRUCCION SISTEMA DE AGUA POTABLE RURAL DE LLANADA GRANDE, COMUNA DE COCHAMÓ</v>
          </cell>
          <cell r="E563" t="str">
            <v>Proyectos (31.02)</v>
          </cell>
        </row>
        <row r="564">
          <cell r="B564">
            <v>40017074</v>
          </cell>
          <cell r="C564" t="str">
            <v>Sin Rate</v>
          </cell>
          <cell r="D564" t="str">
            <v>CONSERVACIÓN MANTENCIÓN Y AMPLIACIÓN DE SIST. APR, REGIÓN DE LOS LAGOS (GLOSA 5)</v>
          </cell>
          <cell r="E564" t="str">
            <v>Proyectos (31.02)</v>
          </cell>
        </row>
        <row r="565">
          <cell r="B565">
            <v>40027928</v>
          </cell>
          <cell r="C565" t="str">
            <v>Sin Rate</v>
          </cell>
          <cell r="D565" t="str">
            <v>MEJORAMIENTO SISTEMAS APR, REGION DE LOS LAGOS, GLOSA 05 APR (PREFACT.,FACT.,DISEÑO)</v>
          </cell>
          <cell r="E565" t="str">
            <v>Proyectos (31.02)</v>
          </cell>
        </row>
        <row r="566">
          <cell r="B566">
            <v>40027928</v>
          </cell>
          <cell r="C566" t="str">
            <v>Sin Rate</v>
          </cell>
          <cell r="D566" t="str">
            <v>MEJORAMIENTO SISTEMAS APR, REGION DE LOS LAGOS, GLOSA 05 APR (PREFACT.,FACT.,DISEÑO)</v>
          </cell>
          <cell r="E566" t="str">
            <v>Proyectos (31.02)</v>
          </cell>
        </row>
        <row r="567">
          <cell r="B567">
            <v>40030475</v>
          </cell>
          <cell r="C567" t="str">
            <v>Sin Rate</v>
          </cell>
          <cell r="D567" t="str">
            <v>CONSTRUCCION MEJORAMIENTO Y AMPLIACION SISTEMA APR MAICOLPUE, COMUNA DE SAN JUAN DE LA COSTA</v>
          </cell>
          <cell r="E567" t="str">
            <v>Proyectos (31.02)</v>
          </cell>
        </row>
        <row r="568">
          <cell r="B568">
            <v>40029564</v>
          </cell>
          <cell r="C568" t="str">
            <v>Sin Rate</v>
          </cell>
          <cell r="D568" t="str">
            <v>CONSERVACION ESCUELA VICENTE PEREZ ROSALES, COMUNA DE FRUTILLAR</v>
          </cell>
          <cell r="E568" t="str">
            <v>Proyectos (31.02)</v>
          </cell>
        </row>
        <row r="569">
          <cell r="B569">
            <v>40033509</v>
          </cell>
          <cell r="C569" t="str">
            <v>Sin Rate</v>
          </cell>
          <cell r="D569" t="str">
            <v>CONSERVACION LICEO IGNACIO CARRERA PINTO, COMUNA DE FRUTILLAR</v>
          </cell>
          <cell r="E569" t="str">
            <v>Proyectos (31.02)</v>
          </cell>
        </row>
        <row r="570">
          <cell r="B570">
            <v>40040313</v>
          </cell>
          <cell r="C570" t="str">
            <v>Sin Rate</v>
          </cell>
          <cell r="D570" t="str">
            <v>CONSERVACION ESCUELA RURAL LOS LINARES DE CASMA</v>
          </cell>
          <cell r="E570" t="str">
            <v>Proyectos (31.02)</v>
          </cell>
        </row>
        <row r="571">
          <cell r="B571">
            <v>40040321</v>
          </cell>
          <cell r="C571" t="str">
            <v>Sin Rate</v>
          </cell>
          <cell r="D571" t="str">
            <v>CONSERVACION JARDIN INFANTIL MANITOS DE COLORES</v>
          </cell>
          <cell r="E571" t="str">
            <v>Proyectos (31.02)</v>
          </cell>
        </row>
        <row r="572">
          <cell r="B572">
            <v>40040375</v>
          </cell>
          <cell r="C572" t="str">
            <v>Sin Rate</v>
          </cell>
          <cell r="D572" t="str">
            <v>CONSERVACION JARDIN INFANTIL EL RINCON DEL SABER</v>
          </cell>
          <cell r="E572" t="str">
            <v>Proyectos (31.02)</v>
          </cell>
        </row>
        <row r="573">
          <cell r="B573">
            <v>40040408</v>
          </cell>
          <cell r="C573" t="str">
            <v>Sin Rate</v>
          </cell>
          <cell r="D573" t="str">
            <v>CONSERVACION LICEO PUNTA DE RIELES</v>
          </cell>
          <cell r="E573" t="str">
            <v>Proyectos (31.02)</v>
          </cell>
        </row>
        <row r="574">
          <cell r="B574">
            <v>40040414</v>
          </cell>
          <cell r="C574" t="str">
            <v>Sin Rate</v>
          </cell>
          <cell r="D574" t="str">
            <v>CONSERVACION COLEGIO NUEVA BRAUNAU</v>
          </cell>
          <cell r="E574" t="str">
            <v>Proyectos (31.02)</v>
          </cell>
        </row>
        <row r="575">
          <cell r="B575">
            <v>40040435</v>
          </cell>
          <cell r="C575" t="str">
            <v>Sin Rate</v>
          </cell>
          <cell r="D575" t="str">
            <v>CONSERVACION ESCUELA RURAL COLONIA RIO SUR</v>
          </cell>
          <cell r="E575" t="str">
            <v>Proyectos (31.02)</v>
          </cell>
        </row>
        <row r="576">
          <cell r="B576">
            <v>40040437</v>
          </cell>
          <cell r="C576" t="str">
            <v>Sin Rate</v>
          </cell>
          <cell r="D576" t="str">
            <v>CONSERVACION LICEO PEDRO AGUIRRE CERDA</v>
          </cell>
          <cell r="E576" t="str">
            <v>Proyectos (31.02)</v>
          </cell>
        </row>
        <row r="577">
          <cell r="B577">
            <v>40040439</v>
          </cell>
          <cell r="C577" t="str">
            <v>Sin Rate</v>
          </cell>
          <cell r="D577" t="str">
            <v>CONSERVACION JARDIN INFANTIL ARCO IRIS</v>
          </cell>
          <cell r="E577" t="str">
            <v>Proyectos (31.02)</v>
          </cell>
        </row>
        <row r="578">
          <cell r="B578">
            <v>40040442</v>
          </cell>
          <cell r="C578" t="str">
            <v>Sin Rate</v>
          </cell>
          <cell r="D578" t="str">
            <v>CONSERVACION JARDIN INFANTIL FRUTILLITA</v>
          </cell>
          <cell r="E578" t="str">
            <v>Proyectos (31.02)</v>
          </cell>
        </row>
        <row r="579">
          <cell r="B579">
            <v>40040582</v>
          </cell>
          <cell r="C579" t="str">
            <v>Sin Rate</v>
          </cell>
          <cell r="D579" t="str">
            <v>CONSERVACION JARDIN INFANTIL SEMILLITAS DE AMOR LOS MUERMOS</v>
          </cell>
          <cell r="E579" t="str">
            <v>Proyectos (31.02)</v>
          </cell>
        </row>
        <row r="580">
          <cell r="B580">
            <v>40040612</v>
          </cell>
          <cell r="C580" t="str">
            <v>Sin Rate</v>
          </cell>
          <cell r="D580" t="str">
            <v>CONSERVACION LICEO POLITECNICO HOLANDA</v>
          </cell>
          <cell r="E580" t="str">
            <v>Proyectos (31.02)</v>
          </cell>
        </row>
        <row r="581">
          <cell r="B581">
            <v>40040619</v>
          </cell>
          <cell r="C581" t="str">
            <v>Sin Rate</v>
          </cell>
          <cell r="D581" t="str">
            <v>CONSERVACION ESCUELA RURAL LONCOTORO COMUNA DE LLANQUIHUE</v>
          </cell>
          <cell r="E581" t="str">
            <v>Proyectos (31.02)</v>
          </cell>
        </row>
        <row r="582">
          <cell r="B582">
            <v>40041260</v>
          </cell>
          <cell r="C582" t="str">
            <v>Sin Rate</v>
          </cell>
          <cell r="D582" t="str">
            <v>CONSERVACION COLEGIO ROSITA NOVARO DE NOVARO</v>
          </cell>
          <cell r="E582" t="str">
            <v>Proyectos (31.02)</v>
          </cell>
        </row>
        <row r="583">
          <cell r="B583">
            <v>40040595</v>
          </cell>
          <cell r="C583" t="str">
            <v>Sin Rate</v>
          </cell>
          <cell r="D583" t="str">
            <v>CONSERVACION LICEO CARLOS IBAÑEZ DEL CAMPO, COMUNA DE FRESIA</v>
          </cell>
          <cell r="E583" t="str">
            <v>Proyectos (31.02)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ICIPOS"/>
      <sheetName val="PORTADA"/>
      <sheetName val="GASTO"/>
      <sheetName val="EFICIENCIA (2023-2024)"/>
      <sheetName val="PROVINCIA"/>
      <sheetName val="OSORNO"/>
      <sheetName val="LLANQUIHUE"/>
      <sheetName val="CHILOE"/>
      <sheetName val="PALENA"/>
      <sheetName val="PROVISION"/>
      <sheetName val="FRIL"/>
      <sheetName val="SUBTITULO"/>
      <sheetName val="SECTOR"/>
      <sheetName val="RESUMEN REEVALUADOS"/>
      <sheetName val="REEVALUADOS"/>
      <sheetName val="CANTIDAD"/>
      <sheetName val="Hoja1"/>
      <sheetName val="C33"/>
      <sheetName val="FRG"/>
      <sheetName val="ESTADO SITUACION"/>
      <sheetName val="TERMINADOS 24 (NO EN PPTO 2025)"/>
      <sheetName val="% PROVINCIA"/>
      <sheetName val="BANCO PROYECTOS"/>
      <sheetName val="GRAFICO PPTO, ARRASTRE "/>
      <sheetName val="SUBTITULO E ITEM"/>
      <sheetName val="ST22"/>
      <sheetName val="ST24"/>
      <sheetName val="ST29"/>
      <sheetName val="ST31"/>
      <sheetName val="ST 24 PROGRAMAS"/>
      <sheetName val="ST33 PROGRAMAS"/>
      <sheetName val="RESUMEN NUEVOS POR PROVINCIA"/>
      <sheetName val="CONVENIOS"/>
      <sheetName val="ADULTO MAYOR"/>
      <sheetName val="PROYECTOS DESCARTADOS"/>
      <sheetName val="PEDZE"/>
      <sheetName val="PROVISIONES"/>
      <sheetName val="SALUD NUEVOS"/>
      <sheetName val="Vigente Nelson"/>
      <sheetName val="PROGRAMACIÓN JUNIO 2024"/>
      <sheetName val="DATOS"/>
      <sheetName val="ACUERDOS SERV SALU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9">
          <cell r="S19">
            <v>40048022</v>
          </cell>
          <cell r="T19" t="str">
            <v>Fabricio Carra Paredes</v>
          </cell>
          <cell r="U19" t="str">
            <v>REPOSICION BUS DE PASAJEROS COMUNA DE PUERTO OCTAY</v>
          </cell>
        </row>
        <row r="20">
          <cell r="S20">
            <v>40041629</v>
          </cell>
          <cell r="T20" t="str">
            <v>Matías Yunge Quidel</v>
          </cell>
          <cell r="U20" t="str">
            <v>REPOSICION POSTA DE SALUD RURAL RUPANCO, COMUNA PUERTO OCTAY</v>
          </cell>
        </row>
        <row r="21">
          <cell r="S21">
            <v>40051437</v>
          </cell>
          <cell r="T21"/>
          <cell r="U21" t="str">
            <v>CONSERVACION DE 16 CAMINOS NO ENROLADOS EN SECTORES RURALES, COMUNA DE PUERTO OCTAY</v>
          </cell>
        </row>
        <row r="22">
          <cell r="S22">
            <v>40041628</v>
          </cell>
          <cell r="T22"/>
          <cell r="U22" t="str">
            <v>ADQUISICION AMBULANCIA EMERGENCIA BASICA CECOSF CASCADAS, COMUNA PUERTO OCTAY</v>
          </cell>
        </row>
        <row r="23">
          <cell r="S23">
            <v>30171875</v>
          </cell>
          <cell r="T23" t="str">
            <v>Matías Yunge Quidel</v>
          </cell>
          <cell r="U23" t="str">
            <v>REPOSICION POSTA DE SALUD RURAL COLIGUAL, PURRANQUE</v>
          </cell>
        </row>
        <row r="24">
          <cell r="S24">
            <v>30068433</v>
          </cell>
          <cell r="T24" t="str">
            <v>Matías Yunge Quidel</v>
          </cell>
          <cell r="U24" t="str">
            <v>CONSTRUCCION POSTA RURAL MANQUEMAPU - PURRANQUE</v>
          </cell>
        </row>
        <row r="25">
          <cell r="S25">
            <v>30171923</v>
          </cell>
          <cell r="T25" t="str">
            <v>Matías Yunge Quidel</v>
          </cell>
          <cell r="U25" t="str">
            <v>REPOSICION POSTA DE SALUD RURAL HUEYUSCA, PURRANQUE</v>
          </cell>
        </row>
        <row r="26">
          <cell r="S26">
            <v>40032775</v>
          </cell>
          <cell r="T26" t="str">
            <v>Matías Yunge Quidel</v>
          </cell>
          <cell r="U26" t="str">
            <v>CONSTRUCCION CENTRO DE DÍA PARA ADULTOS MAYORES DE PURRANQUE</v>
          </cell>
        </row>
        <row r="27">
          <cell r="S27">
            <v>30171924</v>
          </cell>
          <cell r="T27" t="str">
            <v>Matías Yunge Quidel</v>
          </cell>
          <cell r="U27" t="str">
            <v>REPOSICION POSTA RURAL COLONIA PONCE, PURRANQUE</v>
          </cell>
        </row>
        <row r="28">
          <cell r="S28">
            <v>40041500</v>
          </cell>
          <cell r="T28" t="str">
            <v>Matías Yunge Quidel</v>
          </cell>
          <cell r="U28" t="str">
            <v>MEJORAMIENTO 4 CALLES DE CORTE ALTO, COMUNA PURRANQUE</v>
          </cell>
        </row>
        <row r="29">
          <cell r="S29">
            <v>40047721</v>
          </cell>
          <cell r="T29"/>
          <cell r="U29" t="str">
            <v>CONSTRUCCIÓN SERVICIO APR LOS ANGELES, PURRANQUE</v>
          </cell>
        </row>
        <row r="30">
          <cell r="S30">
            <v>40018788</v>
          </cell>
          <cell r="T30" t="str">
            <v>Matías Yunge Quidel</v>
          </cell>
          <cell r="U30" t="str">
            <v>CONSERVACION CAMINOS NO ENROLADOS 12 SECTORES RURALES DE LA COMUNA DE PUYEHUE</v>
          </cell>
        </row>
        <row r="31">
          <cell r="S31">
            <v>30070314</v>
          </cell>
          <cell r="T31" t="str">
            <v>Matías Yunge Quidel</v>
          </cell>
          <cell r="U31" t="str">
            <v>REPOSICION ESCUELA ESTACION NUEVO PORVENIR, PUYEHUE</v>
          </cell>
        </row>
        <row r="32">
          <cell r="S32">
            <v>40004341</v>
          </cell>
          <cell r="T32" t="str">
            <v>Matías Yunge Quidel</v>
          </cell>
          <cell r="U32" t="str">
            <v>MEJORAMIENTO COSTANERA ENTRE LAGOS, PUYEHUE</v>
          </cell>
        </row>
        <row r="33">
          <cell r="S33">
            <v>40008370</v>
          </cell>
          <cell r="T33" t="str">
            <v>TANIA GARCIA</v>
          </cell>
          <cell r="U33" t="str">
            <v>CONSTRUCCION POSTA DE SALUD RURAL COSTA RIO BLANCO, COMUNA DE RIO NEGRO</v>
          </cell>
        </row>
        <row r="34">
          <cell r="S34">
            <v>30280673</v>
          </cell>
          <cell r="T34" t="str">
            <v>TANIA GARCIA</v>
          </cell>
          <cell r="U34" t="str">
            <v>CONSTRUCCION POSTA SALUD RURAL CHAN CHAN, RIO NEGRO</v>
          </cell>
        </row>
        <row r="35">
          <cell r="S35">
            <v>40010103</v>
          </cell>
          <cell r="T35" t="str">
            <v>TANIA GARCIA</v>
          </cell>
          <cell r="U35" t="str">
            <v>CONSTRUCCION CECOSF URBANO CHIFIN, COMUNA DE RIO NEGRO</v>
          </cell>
        </row>
        <row r="36">
          <cell r="S36">
            <v>40013103</v>
          </cell>
          <cell r="T36" t="str">
            <v>Matías Yunge Quidel</v>
          </cell>
          <cell r="U36" t="str">
            <v>REPOSICION POSTA DE SALUD RURAL HUILMA, COMUNA DE RIO NEGRO</v>
          </cell>
        </row>
        <row r="37">
          <cell r="S37">
            <v>40049985</v>
          </cell>
          <cell r="T37" t="str">
            <v>Fabricio Carra Paredes</v>
          </cell>
          <cell r="U37" t="str">
            <v>ADQUISICION CAMIÓN MULTIPROPÓSITO COMUNA DE RIO NEGRO</v>
          </cell>
        </row>
        <row r="38">
          <cell r="S38">
            <v>40052927</v>
          </cell>
          <cell r="T38"/>
          <cell r="U38" t="str">
            <v>CONSTRUCCION SISTEMA APR SECTOR MILLACURA, COMUNA DE RIO NEGRO</v>
          </cell>
        </row>
        <row r="39">
          <cell r="S39">
            <v>40032117</v>
          </cell>
          <cell r="T39"/>
          <cell r="U39" t="str">
            <v>CONSERVACION CAMINOS VECINALES DE ÑANCUÁN CHANCHAN, SAN FLORENTINO Y QUISQUELELFUN, RÍO NEGRO</v>
          </cell>
        </row>
        <row r="40">
          <cell r="S40">
            <v>30071878</v>
          </cell>
          <cell r="T40" t="str">
            <v>TANIA GARCIA</v>
          </cell>
          <cell r="U40" t="str">
            <v>REPOSICION  CONSULTORIO DE SALUD RURAL BAHIA MANSA</v>
          </cell>
        </row>
        <row r="41">
          <cell r="S41">
            <v>30291073</v>
          </cell>
          <cell r="T41" t="str">
            <v>Matías Yunge Quidel</v>
          </cell>
          <cell r="U41" t="str">
            <v>CONSTRUCCION POSTA DE SALUD RURAL PUCATRIHUE, SAN JUAN DE LA COSTA</v>
          </cell>
        </row>
        <row r="42">
          <cell r="S42">
            <v>40019284</v>
          </cell>
          <cell r="T42" t="str">
            <v>RENE CARCAMO</v>
          </cell>
          <cell r="U42" t="str">
            <v>CONSTRUCCION SISTEMAS FOTOVOLTAICOS SECTOR LA BARRA DEL RIO BUENO, SAN JUAN DE LA COSTA</v>
          </cell>
        </row>
        <row r="43">
          <cell r="S43">
            <v>40048761</v>
          </cell>
          <cell r="T43" t="str">
            <v>Matías Yunge Quidel</v>
          </cell>
          <cell r="U43" t="str">
            <v>REPOSICION POSTA DE SALUD RURAL LA POZA, COMUNA DE SAN PABLO</v>
          </cell>
        </row>
        <row r="44">
          <cell r="S44">
            <v>40043228</v>
          </cell>
          <cell r="T44" t="str">
            <v>Matías Yunge Quidel</v>
          </cell>
          <cell r="U44" t="str">
            <v>REPOSICION CANCHA VILLA SAN PABLO, COMUNA SAN PABLO</v>
          </cell>
        </row>
        <row r="45">
          <cell r="S45">
            <v>40057739</v>
          </cell>
          <cell r="T45"/>
          <cell r="U45" t="str">
            <v>ADQUISICION ADQUISICIÓN CAMION MULTIPROPOSITO PARA RSD, PODAS Y LUMINARIAS, SAN PABLO</v>
          </cell>
        </row>
        <row r="46">
          <cell r="S46">
            <v>30126943</v>
          </cell>
          <cell r="T46" t="str">
            <v>TANIA GARCIA</v>
          </cell>
          <cell r="U46" t="str">
            <v>MEJORAMIENTO HOSPITAL DE RIO NEGRO</v>
          </cell>
        </row>
        <row r="47">
          <cell r="S47">
            <v>30123182</v>
          </cell>
          <cell r="T47" t="str">
            <v>Claudio González</v>
          </cell>
          <cell r="U47" t="str">
            <v>CONSTRUCCION PARQUE HOTT DE OSORNO</v>
          </cell>
        </row>
        <row r="48">
          <cell r="S48">
            <v>40029293</v>
          </cell>
          <cell r="T48" t="str">
            <v>Claudio González</v>
          </cell>
          <cell r="U48" t="str">
            <v>CONSTRUCCION BASE SAMU RAHUE, OSORNO</v>
          </cell>
        </row>
        <row r="49">
          <cell r="S49">
            <v>40032797</v>
          </cell>
          <cell r="T49" t="str">
            <v>GLORIA DEL CARMEN QUEZADA VELASQUEZ</v>
          </cell>
          <cell r="U49" t="str">
            <v>DIAGNOSTICO RECOPILACIÓN DE ANTECEDENTES PARA ELABORACIÓN NSCA CUENCA DEL RÍO RAHUE</v>
          </cell>
        </row>
        <row r="50">
          <cell r="S50">
            <v>40044996</v>
          </cell>
          <cell r="T50" t="str">
            <v>Fabricio Carra Paredes</v>
          </cell>
          <cell r="U50" t="str">
            <v>REPOSICION VEHICULOS Y ADQUISICION MAQUINARIAS DE ASFALTO PARA LA D.V REGION DE LOS LAGOS</v>
          </cell>
        </row>
        <row r="51">
          <cell r="S51">
            <v>30072731</v>
          </cell>
          <cell r="T51" t="str">
            <v>PAULINA HUIDOBRO JARAMI</v>
          </cell>
          <cell r="U51" t="str">
            <v>MEJORAMIENTO CALLE  ANTONIO VARAS, PUERTO MONTT</v>
          </cell>
        </row>
        <row r="52">
          <cell r="S52">
            <v>30077490</v>
          </cell>
          <cell r="T52" t="str">
            <v>PAULINA HUIDOBRO JARAMI</v>
          </cell>
          <cell r="U52" t="str">
            <v>CONSERVACION CASA PAULY PUERTO MONTT</v>
          </cell>
        </row>
        <row r="53">
          <cell r="S53">
            <v>40026872</v>
          </cell>
          <cell r="T53" t="str">
            <v>Luisa Adela Macias Bahamonde</v>
          </cell>
          <cell r="U53" t="str">
            <v>MEJORAMIENTO ACCESIBILIDAD BARRIO PUERTO, CIUDAD DE PUERTO MONTT</v>
          </cell>
        </row>
        <row r="54">
          <cell r="S54">
            <v>30270222</v>
          </cell>
          <cell r="T54" t="str">
            <v>KARIN DEL CARMEN BARRIENTOS WINTER</v>
          </cell>
          <cell r="U54" t="str">
            <v>REPOSICION POSTA RURAL DE CORRENTOSO, PUERTO MONTT</v>
          </cell>
        </row>
        <row r="55">
          <cell r="S55">
            <v>30080922</v>
          </cell>
          <cell r="T55" t="str">
            <v>KARIN DEL CARMEN BARRIENTOS WINTER</v>
          </cell>
          <cell r="U55" t="str">
            <v>REPOSICION POSTA DE SALUD  RURAL DE HUELMO, PUERTO MONTT</v>
          </cell>
        </row>
        <row r="56">
          <cell r="S56">
            <v>40033774</v>
          </cell>
          <cell r="T56" t="str">
            <v>Fabricio Carra Paredes</v>
          </cell>
          <cell r="U56" t="str">
            <v>REPOSICION CAMIONES Y MAQUINARIAS - MUNICIPALIDAD DE PUERTO MONTT</v>
          </cell>
        </row>
        <row r="57">
          <cell r="S57">
            <v>40033774</v>
          </cell>
          <cell r="T57" t="str">
            <v>Fabricio Carra Paredes</v>
          </cell>
          <cell r="U57" t="str">
            <v>REPOSICION CAMIONES Y MAQUINARIAS - MUNICIPALIDAD DE PUERTO MONTT</v>
          </cell>
        </row>
        <row r="58">
          <cell r="S58">
            <v>30106468</v>
          </cell>
          <cell r="T58" t="str">
            <v>PAULINA HUIDOBRO JARAMI</v>
          </cell>
          <cell r="U58" t="str">
            <v>REPOSICION ESCUELA RURAL LAGUNITAS COMUNA DE PUERTO MONTT</v>
          </cell>
        </row>
        <row r="59">
          <cell r="S59">
            <v>30115395</v>
          </cell>
          <cell r="T59" t="str">
            <v>Luisa Adela Macias Bahamonde</v>
          </cell>
          <cell r="U59" t="str">
            <v>CONSTRUCCION CUARTEL OCTAVA COMPAÑIA DE BOMBEROS, PUERTO MONTT</v>
          </cell>
        </row>
        <row r="60">
          <cell r="S60">
            <v>20195455</v>
          </cell>
          <cell r="T60" t="str">
            <v>PAULINA HUIDOBRO JARAMI</v>
          </cell>
          <cell r="U60" t="str">
            <v>MEJORAMIENTO CALLE PADRE HARTER DE PUERTO MONTT</v>
          </cell>
        </row>
        <row r="61">
          <cell r="S61">
            <v>40009792</v>
          </cell>
          <cell r="T61" t="str">
            <v>Luisa Adela Macias Bahamonde</v>
          </cell>
          <cell r="U61" t="str">
            <v>CONSTRUCCION JARDÍN INFANTIL Y SALA CUNA LA VARA, PUERTO MONTT</v>
          </cell>
        </row>
        <row r="62">
          <cell r="S62">
            <v>30080921</v>
          </cell>
          <cell r="T62" t="str">
            <v>KARIN DEL CARMEN BARRIENTOS WINTER</v>
          </cell>
          <cell r="U62" t="str">
            <v>REPOSICION POSTA RURAL DE PIEDRA AZUL, PUERTO MONTT</v>
          </cell>
        </row>
        <row r="63">
          <cell r="S63">
            <v>40035805</v>
          </cell>
          <cell r="T63" t="str">
            <v>Luisa Adela Macias Bahamonde</v>
          </cell>
          <cell r="U63" t="str">
            <v>CONSTRUCCION GIMNASIO ESCUELA MIRASOL, PUERTO MONTT</v>
          </cell>
        </row>
        <row r="64">
          <cell r="S64">
            <v>40056949</v>
          </cell>
          <cell r="T64" t="str">
            <v>Luisa Adela Macias Bahamonde</v>
          </cell>
          <cell r="U64" t="str">
            <v>CONSERVACION CALLES COMUNA DE PUERTO MONTT</v>
          </cell>
        </row>
        <row r="65">
          <cell r="S65">
            <v>40058437</v>
          </cell>
          <cell r="T65" t="str">
            <v>Adela Macias</v>
          </cell>
          <cell r="U65" t="str">
            <v>CONSTRUCCION DESNIVEL ROTONDA AV. SALVADOR ALLENDE - PARQUE INDUSTRIAL, PUERTO MONTT</v>
          </cell>
        </row>
        <row r="66">
          <cell r="S66">
            <v>30034826</v>
          </cell>
          <cell r="T66"/>
          <cell r="U66" t="str">
            <v>REPOSICION POSTA ISLA MAILLEN, COMUNA DE PUERTO MONTT</v>
          </cell>
        </row>
        <row r="67">
          <cell r="S67">
            <v>40005337</v>
          </cell>
          <cell r="T67"/>
          <cell r="U67" t="str">
            <v>REPOSICION POSTA TRAPEN, PUERTO MONTT</v>
          </cell>
        </row>
        <row r="68">
          <cell r="S68">
            <v>20086686</v>
          </cell>
          <cell r="T68" t="str">
            <v>PAULINA HUIDOBRO JARAMI</v>
          </cell>
          <cell r="U68" t="str">
            <v>REPOSICION PARCIAL LICEO POLITECNICO ,  CALBUCO</v>
          </cell>
        </row>
        <row r="69">
          <cell r="S69">
            <v>30135967</v>
          </cell>
          <cell r="T69" t="str">
            <v>KARIN DEL CARMEN BARRIENTOS WINTER</v>
          </cell>
          <cell r="U69" t="str">
            <v>CONSTRUCCION ESTACION DE TRANSFERENCIA LA CAMPANA, CALBUCO</v>
          </cell>
        </row>
        <row r="70">
          <cell r="S70">
            <v>30465134</v>
          </cell>
          <cell r="T70" t="str">
            <v>KARIN DEL CARMEN BARRIENTOS WINTER</v>
          </cell>
          <cell r="U70" t="str">
            <v>ACTUALIZACION PLAN REGULADOR COMUNAL CALBUCO</v>
          </cell>
        </row>
        <row r="71">
          <cell r="S71">
            <v>30479286</v>
          </cell>
          <cell r="T71" t="str">
            <v>Luisa Adela Macias Bahamonde</v>
          </cell>
          <cell r="U71" t="str">
            <v>CONSTRUCCION SERVICIO AGUA POTABLE RURAL ISLA QUENU, COMUNA DE CALBUCO.</v>
          </cell>
        </row>
        <row r="72">
          <cell r="S72">
            <v>20181416</v>
          </cell>
          <cell r="T72" t="str">
            <v>PAULINA HUIDOBRO JARAMI</v>
          </cell>
          <cell r="U72" t="str">
            <v>REPOSICION POSTA DE SALUD PEÑASMO, CALBUCO</v>
          </cell>
        </row>
        <row r="73">
          <cell r="S73">
            <v>40049581</v>
          </cell>
          <cell r="T73" t="str">
            <v>Luisa Adela Macias Bahamonde</v>
          </cell>
          <cell r="U73" t="str">
            <v>CONSERVACION CAMINOS NO ENROLADOS ISLA QUEULLÍN</v>
          </cell>
        </row>
        <row r="74">
          <cell r="S74">
            <v>40055239</v>
          </cell>
          <cell r="T74"/>
          <cell r="U74" t="str">
            <v>AMPLIACION RED DE AGUA POTABLE Y ALCANTARILLADO SECTORES VILLARROEL Y C. CONDELL, CALBUCO</v>
          </cell>
        </row>
        <row r="75">
          <cell r="S75">
            <v>40060299</v>
          </cell>
          <cell r="T75"/>
          <cell r="U75" t="str">
            <v>REPOSICION EQUIPO MAMOGRAFO HOSPITAL CALBUCO</v>
          </cell>
        </row>
        <row r="76">
          <cell r="S76">
            <v>40006863</v>
          </cell>
          <cell r="T76" t="str">
            <v>KARIN DEL CARMEN BARRIENTOS WINTER</v>
          </cell>
          <cell r="U76" t="str">
            <v>REPOSICION ESCUELA JUAN SOLER MANFREDINI, COCHAMO</v>
          </cell>
        </row>
        <row r="77">
          <cell r="S77">
            <v>40015801</v>
          </cell>
          <cell r="T77" t="str">
            <v>KARIN DEL CARMEN BARRIENTOS WINTER</v>
          </cell>
          <cell r="U77" t="str">
            <v>REPOSICION ESCUELA RURAL CAPITAN DE BANDADA CARLOS RODRIGUEZ PARIS, LLANADA GRANDE, COCHAMO</v>
          </cell>
        </row>
        <row r="78">
          <cell r="S78">
            <v>40003812</v>
          </cell>
          <cell r="T78" t="str">
            <v>KARIN DEL CARMEN BARRIENTOS WINTER</v>
          </cell>
          <cell r="U78" t="str">
            <v>CONSERVACION GIMNASIO MUNICIPAL DE RIO PUELO</v>
          </cell>
        </row>
        <row r="79">
          <cell r="S79">
            <v>40019209</v>
          </cell>
          <cell r="T79" t="str">
            <v>RENE CARCAMO</v>
          </cell>
          <cell r="U79" t="str">
            <v>HABILITACION SUMINISTRO E.E. SISTEMAS FOTOVOLTAICOS INDIVIDUALES DIVERSOS SECTORES COCHAMO</v>
          </cell>
        </row>
        <row r="80">
          <cell r="S80">
            <v>40047291</v>
          </cell>
          <cell r="T80" t="str">
            <v>Fabricio Carra Paredes</v>
          </cell>
          <cell r="U80" t="str">
            <v>ADQUISICION DE VEHICULOS MUNICIPALES PARA LA COMUNA DE COCHAMÓ</v>
          </cell>
        </row>
        <row r="81">
          <cell r="S81">
            <v>40015528</v>
          </cell>
          <cell r="T81" t="str">
            <v>KARIN DEL CARMEN BARRIENTOS WINTER</v>
          </cell>
          <cell r="U81" t="str">
            <v>REPOSICION POSTA DE SALUD RURAL LLANADA GRANDE, COMUNA COCHAMO</v>
          </cell>
        </row>
        <row r="82">
          <cell r="S82">
            <v>30085125</v>
          </cell>
          <cell r="T82" t="str">
            <v>KARIN DEL CARMEN BARRIENTOS WINTER</v>
          </cell>
          <cell r="U82" t="str">
            <v>REPOSICION POSTA DE SALUD RURAL PASO EL LEON, COCHAMO</v>
          </cell>
        </row>
        <row r="83">
          <cell r="S83">
            <v>30282773</v>
          </cell>
          <cell r="T83" t="str">
            <v>KARIN DEL CARMEN BARRIENTOS WINTER</v>
          </cell>
          <cell r="U83" t="str">
            <v>REPOSICION POSTA DE SALUD RURAL EL TRAIGUEN, FRESIA</v>
          </cell>
        </row>
        <row r="84">
          <cell r="S84">
            <v>30212472</v>
          </cell>
          <cell r="T84" t="str">
            <v>KARIN DEL CARMEN BARRIENTOS WINTER</v>
          </cell>
          <cell r="U84" t="str">
            <v>CONSTRUCCION SERVICIO APR SECTOR RURAL EL MAÑIO, FRESIA</v>
          </cell>
        </row>
        <row r="85">
          <cell r="S85">
            <v>30134714</v>
          </cell>
          <cell r="T85" t="str">
            <v>PAULINA HUIDOBRO JARAMI</v>
          </cell>
          <cell r="U85" t="str">
            <v>CONSTRUCCION ESTADIO MUNICIPAL ANFUR, COMUNA DE FRESIA</v>
          </cell>
        </row>
        <row r="86">
          <cell r="S86">
            <v>40042403</v>
          </cell>
          <cell r="T86" t="str">
            <v>KARIN DEL CARMEN BARRIENTOS WINTER</v>
          </cell>
          <cell r="U86" t="str">
            <v xml:space="preserve">CONSERVACION 9 CAMINOS NO ENROLADOS 7 SECTORES, COMUNA DE FRESIA </v>
          </cell>
        </row>
        <row r="87">
          <cell r="S87">
            <v>40054955</v>
          </cell>
          <cell r="T87" t="str">
            <v>KARIN DEL CARMEN BARRIENTOS WINTER</v>
          </cell>
          <cell r="U87" t="str">
            <v>CONSERVACION 17 CAMINOS NO ENROLADOS 7 SECTORES, COMUNA DE FRESIA</v>
          </cell>
        </row>
        <row r="88">
          <cell r="S88">
            <v>30340925</v>
          </cell>
          <cell r="T88" t="str">
            <v>Fabricio Carra Paredes</v>
          </cell>
          <cell r="U88" t="str">
            <v>REPOSICION EQUIPOS LUMINARIAS PUBLICAS COMUNA DE FRESIA</v>
          </cell>
        </row>
        <row r="89">
          <cell r="S89">
            <v>40036932</v>
          </cell>
          <cell r="T89"/>
          <cell r="U89" t="str">
            <v>ADQUISICION AMBULANCIA PARA CONSULTORIO GENERAL RURAL DE TEGUALDA, COMUNA DE FRESIA</v>
          </cell>
        </row>
        <row r="90">
          <cell r="S90">
            <v>30079814</v>
          </cell>
          <cell r="T90"/>
          <cell r="U90" t="str">
            <v>ADQUISICION CAMIÓN ALJIBE PARA ABASTECIMIENTO DE AGUA POTABLE, COMUNA DE FRESIA.</v>
          </cell>
        </row>
        <row r="91">
          <cell r="S91">
            <v>30085259</v>
          </cell>
          <cell r="T91" t="str">
            <v>PAULINA HUIDOBRO JARAMI</v>
          </cell>
          <cell r="U91" t="str">
            <v>REPOSICION ESCUELA ARTURO ALESSANDRI PALMA FRUTILLAR</v>
          </cell>
        </row>
        <row r="92">
          <cell r="S92">
            <v>30485133</v>
          </cell>
          <cell r="T92" t="str">
            <v>KARIN DEL CARMEN BARRIENTOS WINTER</v>
          </cell>
          <cell r="U92" t="str">
            <v>CONSTRUCCION SISTEMA DE AGUA POTABLE RURAL SECTOR PEDERNAL,  FRUTILLAR</v>
          </cell>
        </row>
        <row r="93">
          <cell r="S93">
            <v>30485115</v>
          </cell>
          <cell r="T93" t="str">
            <v>KARIN DEL CARMEN BARRIENTOS WINTER</v>
          </cell>
          <cell r="U93" t="str">
            <v>CONSTRUCCION SERVICIO DE APR SECTOR BALMACEDA-PARAGUAY, FRUTILLAR</v>
          </cell>
        </row>
        <row r="94">
          <cell r="S94">
            <v>30485157</v>
          </cell>
          <cell r="T94" t="str">
            <v>KARIN DEL CARMEN BARRIENTOS WINTER</v>
          </cell>
          <cell r="U94" t="str">
            <v>AMPLIACION SISTEMA APR CASMA HACIA EL ENCANTO Y CALLEJON SIN SALIDA, FRUTILLAR</v>
          </cell>
        </row>
        <row r="95">
          <cell r="S95">
            <v>30077932</v>
          </cell>
          <cell r="T95" t="str">
            <v>RENE CARCAMO</v>
          </cell>
          <cell r="U95" t="str">
            <v>MEJORAMIENTO INTERCONEXIÓN VIAL, FRUTILLAR ALTO Y BAJO</v>
          </cell>
        </row>
        <row r="96">
          <cell r="S96">
            <v>40013412</v>
          </cell>
          <cell r="T96" t="str">
            <v>PAULINA HUIDOBRO JARAMI</v>
          </cell>
          <cell r="U96" t="str">
            <v>REPOSICION POSTA DE SALUD RURAL CASMA, FRUTILLAR</v>
          </cell>
        </row>
        <row r="97">
          <cell r="S97">
            <v>40031422</v>
          </cell>
          <cell r="T97" t="str">
            <v>Fabricio Carra Paredes</v>
          </cell>
          <cell r="U97" t="str">
            <v>REPOSICION CAMIÓN RECOLECTOR DE RESIDUOS SÓLIDOS EN LA COMUNA DE FRUTILLAR</v>
          </cell>
        </row>
        <row r="98">
          <cell r="S98">
            <v>40025466</v>
          </cell>
          <cell r="T98"/>
          <cell r="U98" t="str">
            <v>MEJORAMIENTO AVENIDA ARTURO ALESSANDRI NORTE, COMUNA DE FRUTILLAR</v>
          </cell>
        </row>
        <row r="99">
          <cell r="S99">
            <v>40019376</v>
          </cell>
          <cell r="T99" t="str">
            <v>RENE CARCAMO</v>
          </cell>
          <cell r="U99" t="str">
            <v>DIAGNOSTICO PLAN MAESTRO AGUAS LLUVIAS COMUNA DE LLANQUIHUE</v>
          </cell>
        </row>
        <row r="100">
          <cell r="S100">
            <v>30125824</v>
          </cell>
          <cell r="T100" t="str">
            <v>PAULINA HUIDOBRO JARAMI</v>
          </cell>
          <cell r="U100" t="str">
            <v>AMPLIACION Y REMODELACION INTEGRAL CONSISTORIAL LOS MUERMOS</v>
          </cell>
        </row>
        <row r="101">
          <cell r="S101">
            <v>40018868</v>
          </cell>
          <cell r="T101" t="str">
            <v>KARIN DEL CARMEN BARRIENTOS WINTER</v>
          </cell>
          <cell r="U101" t="str">
            <v>REPOSICION CUARTEL GENERAL Y PRIMERA COMPAÑIA DE BOMBEROS LOS MUERMOS</v>
          </cell>
        </row>
        <row r="102">
          <cell r="S102">
            <v>30465403</v>
          </cell>
          <cell r="T102" t="str">
            <v>KARIN DEL CARMEN BARRIENTOS WINTER</v>
          </cell>
          <cell r="U102" t="str">
            <v>CONSTRUCCION APR SECTORES CUESTA LA VACA Y HUAUTRUNES, LOS MUERMOS</v>
          </cell>
        </row>
        <row r="103">
          <cell r="S103">
            <v>30463128</v>
          </cell>
          <cell r="T103" t="str">
            <v>KARIN DEL CARMEN BARRIENTOS WINTER</v>
          </cell>
          <cell r="U103" t="str">
            <v>MEJORAMIENTO INFRAESTRUCTURA PEATONAL CALLE MANUEL MONTT, COMUNA DE LOS MUERMOS</v>
          </cell>
        </row>
        <row r="104">
          <cell r="S104">
            <v>40004598</v>
          </cell>
          <cell r="T104" t="str">
            <v>PAULINA HUIDOBRO JARAMI</v>
          </cell>
          <cell r="U104" t="str">
            <v>REPOSICION CENTRO CULTURAL, COMUNA LOS MUERMOS</v>
          </cell>
        </row>
        <row r="105">
          <cell r="S105">
            <v>40040251</v>
          </cell>
          <cell r="T105" t="str">
            <v>KARIN DEL CARMEN BARRIENTOS WINTER</v>
          </cell>
          <cell r="U105" t="str">
            <v>MEJORAMIENTO VÍAS LOCALES SECTOR  CAÑITAS, ETAPA I, COMUNA DE LOS MUERMOS</v>
          </cell>
        </row>
        <row r="106">
          <cell r="S106">
            <v>40024945</v>
          </cell>
          <cell r="T106" t="str">
            <v>KARIN DEL CARMEN BARRIENTOS WINTER</v>
          </cell>
          <cell r="U106" t="str">
            <v>REPOSICION POSTA DE SALUD RURAL  CUMBRE ALTA, LOS MUERMOS</v>
          </cell>
        </row>
        <row r="107">
          <cell r="S107">
            <v>40007573</v>
          </cell>
          <cell r="T107" t="str">
            <v>Luisa Adela Macias Bahamonde</v>
          </cell>
          <cell r="U107" t="str">
            <v>REPOSICION ESCUELA JOSE ABELARDO NUÑEZ, COMUNA DE MAULLIN</v>
          </cell>
        </row>
        <row r="108">
          <cell r="S108">
            <v>30399945</v>
          </cell>
          <cell r="T108" t="str">
            <v>Luisa Adela Macias Bahamonde</v>
          </cell>
          <cell r="U108" t="str">
            <v>REPOSICION CENTRO COMUNITARIO QUENUIR, COMUNA DE MAULLIN</v>
          </cell>
        </row>
        <row r="109">
          <cell r="S109">
            <v>30134234</v>
          </cell>
          <cell r="T109" t="str">
            <v>KARIN DEL CARMEN BARRIENTOS WINTER</v>
          </cell>
          <cell r="U109" t="str">
            <v>CONSTRUCCION GIMNASIO TEN - TEN, COMUNA DE MAULLIN</v>
          </cell>
        </row>
        <row r="110">
          <cell r="S110">
            <v>40007939</v>
          </cell>
          <cell r="T110" t="str">
            <v>Fabricio Carra Paredes</v>
          </cell>
          <cell r="U110" t="str">
            <v>REPOSICION EQUIPOS DE ALUMBRADO PÚBLICO CON TECNOLOGIA LED COMUNA DE MAULLIN</v>
          </cell>
        </row>
        <row r="111">
          <cell r="S111">
            <v>40038150</v>
          </cell>
          <cell r="T111" t="str">
            <v>KARIN DEL CARMEN BARRIENTOS WINTER</v>
          </cell>
          <cell r="U111" t="str">
            <v>MEJORAMIENTO 5 CALLES DE MAULLIN URBANO, COMUNA DE MAULLIN</v>
          </cell>
        </row>
        <row r="112">
          <cell r="S112">
            <v>40005800</v>
          </cell>
          <cell r="T112" t="str">
            <v>Luisa Adela Macias Bahamonde</v>
          </cell>
          <cell r="U112" t="str">
            <v>REPOSICION POSTA DE SALUD RURAL DE MISQUIHUE, MAULLIN</v>
          </cell>
        </row>
        <row r="113">
          <cell r="S113">
            <v>40009537</v>
          </cell>
          <cell r="T113"/>
          <cell r="U113" t="str">
            <v>HABILITACION SUMINISTRO ENERGIA ELECTRICA SECTOR EL EMPALME, MAULLIN</v>
          </cell>
        </row>
        <row r="114">
          <cell r="S114">
            <v>30134574</v>
          </cell>
          <cell r="T114"/>
          <cell r="U114" t="str">
            <v>REPOSICION POSTA DE SALUD RURAL QUENUIR, COMUNA DE MAULLIN</v>
          </cell>
        </row>
        <row r="115">
          <cell r="S115">
            <v>40020478</v>
          </cell>
          <cell r="T115"/>
          <cell r="U115" t="str">
            <v>ADQUISICION MAQUINARIA PESADA COMUNA DE MAULLIN</v>
          </cell>
        </row>
        <row r="116">
          <cell r="S116">
            <v>40020478</v>
          </cell>
          <cell r="T116"/>
          <cell r="U116" t="str">
            <v>ADQUISICION MAQUINARIA PESADA COMUNA DE MAULLIN</v>
          </cell>
        </row>
        <row r="117">
          <cell r="S117">
            <v>30064230</v>
          </cell>
          <cell r="T117" t="str">
            <v>PAULINA HUIDOBRO JARAMI</v>
          </cell>
          <cell r="U117" t="str">
            <v>REPOSICION ESTADIO EWALDO KLEIN DE PUERTO VARAS</v>
          </cell>
        </row>
        <row r="118">
          <cell r="S118">
            <v>30204522</v>
          </cell>
          <cell r="T118" t="str">
            <v>KARIN DEL CARMEN BARRIENTOS WINTER</v>
          </cell>
          <cell r="U118" t="str">
            <v>REPOSICION CUARTEL SEXTA COMPAÑIA DE BOMBEROS, PUERTO VARAS</v>
          </cell>
        </row>
        <row r="119">
          <cell r="S119">
            <v>40023990</v>
          </cell>
          <cell r="T119" t="str">
            <v>RENE CARCAMO</v>
          </cell>
          <cell r="U119" t="str">
            <v>DIAGNOSTICO SISTEMA DE TRANSPORTE URBANO CIUDAD DE PUERTO VARAS, ETAPA I</v>
          </cell>
        </row>
        <row r="120">
          <cell r="S120">
            <v>30485331</v>
          </cell>
          <cell r="T120" t="str">
            <v>PAULINA HUIDOBRO JARAMI</v>
          </cell>
          <cell r="U120" t="str">
            <v>MEJORAMIENTO PARQUE CERRO PHILIPPI PUERTO VARAS</v>
          </cell>
        </row>
        <row r="121">
          <cell r="S121">
            <v>30125885</v>
          </cell>
          <cell r="T121" t="str">
            <v>KARIN DEL CARMEN BARRIENTOS WINTER</v>
          </cell>
          <cell r="U121" t="str">
            <v>CONSTRUCCION SERVICIO APR TERMAS DE RALUN, PUERTO VARAS</v>
          </cell>
        </row>
        <row r="122">
          <cell r="S122">
            <v>40019874</v>
          </cell>
          <cell r="T122" t="str">
            <v>PAULINA HUIDOBRO JARAMI</v>
          </cell>
          <cell r="U122" t="str">
            <v>RESTAURACION TEMPLO PARROQUIAL EL SAGRADO CORAZON DE JESUS, PUERTO VARAS</v>
          </cell>
        </row>
        <row r="123">
          <cell r="S123">
            <v>40042379</v>
          </cell>
          <cell r="T123" t="str">
            <v>PAULINA HUIDOBRO JARAMI</v>
          </cell>
          <cell r="U123" t="str">
            <v>CONSERVACION ACERAS SECTOR PUERTO CHICO DE PUERTO VARAS</v>
          </cell>
        </row>
        <row r="124">
          <cell r="S124">
            <v>40019241</v>
          </cell>
          <cell r="T124" t="str">
            <v>RENE CARCAMO</v>
          </cell>
          <cell r="U124" t="str">
            <v>CONSTRUCCION SOLUCIONES FOTOVOLTAICAS INDIVIDUALES LAGO TODOS LOS SANTOS, PUERTO VARAS</v>
          </cell>
        </row>
        <row r="125">
          <cell r="S125">
            <v>30087304</v>
          </cell>
          <cell r="T125" t="str">
            <v>KARIN DEL CARMEN BARRIENTOS WINTER</v>
          </cell>
          <cell r="U125" t="str">
            <v>REPOSICION POSTA RURAL DE PEULLA, PUERTO VARAS</v>
          </cell>
        </row>
        <row r="126">
          <cell r="S126">
            <v>40042377</v>
          </cell>
          <cell r="T126" t="str">
            <v>PAULINA HUIDOBRO JARAMI</v>
          </cell>
          <cell r="U126" t="str">
            <v>MEJORAMIENTO CALLES MANZANAL Y LOS ÁNGELES, COMUNA DE PUERTO VARAS</v>
          </cell>
        </row>
        <row r="127">
          <cell r="S127">
            <v>30364305</v>
          </cell>
          <cell r="T127" t="str">
            <v>PAULINA HUIDOBRO JARAMI</v>
          </cell>
          <cell r="U127" t="str">
            <v>AMPLIACION Y MEJORAMIENTO INSTITUTO TELETON</v>
          </cell>
        </row>
        <row r="128">
          <cell r="S128">
            <v>30127010</v>
          </cell>
          <cell r="T128" t="str">
            <v>PAULINA HUIDOBRO JARAMI</v>
          </cell>
          <cell r="U128" t="str">
            <v>MEJORAMIENTO CALLE EL TENIENTE, BARRIO INDUSTRIAL DE PUERTO MONTT</v>
          </cell>
        </row>
        <row r="129">
          <cell r="S129">
            <v>30077481</v>
          </cell>
          <cell r="T129" t="str">
            <v>PAULINA HUIDOBRO JARAMI</v>
          </cell>
          <cell r="U129" t="str">
            <v>RESTAURACION IGLESIA N. S. DE LA CANDELARIA DE CARELMAPU, MAULLIN</v>
          </cell>
        </row>
        <row r="130">
          <cell r="S130">
            <v>30380331</v>
          </cell>
          <cell r="T130" t="str">
            <v>KARIN DEL CARMEN BARRIENTOS WINTER</v>
          </cell>
          <cell r="U130" t="str">
            <v>CONSTRUCCION  Y HABILITACION CENTRO DE DIALISIS HOSPITAL CALBUCO</v>
          </cell>
        </row>
        <row r="131">
          <cell r="S131">
            <v>40033297</v>
          </cell>
          <cell r="T131" t="str">
            <v>PAULINA HUIDOBRO JARAMI</v>
          </cell>
          <cell r="U131" t="str">
            <v>CONSERVACION PERIÓDICA, RUTA V-629 LA VARA-SENDA SUR KM 0,0 AL KM 7,5, COMUNA DE PUERTO MONTT</v>
          </cell>
        </row>
        <row r="132">
          <cell r="S132">
            <v>40019576</v>
          </cell>
          <cell r="T132" t="str">
            <v>Luisa Adela Macias Bahamonde</v>
          </cell>
          <cell r="U132" t="str">
            <v xml:space="preserve">MEJORAMIENTO COSTANERA JUAN SOLER, TRAMO COPIAPO – CHORRILLOS, PUERTO MONTT  </v>
          </cell>
        </row>
        <row r="133">
          <cell r="S133">
            <v>40046863</v>
          </cell>
          <cell r="T133" t="str">
            <v>Fabricio Carra Paredes</v>
          </cell>
          <cell r="U133" t="str">
            <v>REPOSICION EQUIPAMIENTO SERVICIOS DE HOSPITALIZACIÓN HOSPITAL PUERTO MONTT, SERVICIO DE SALUD DEL RELONCAVÍ</v>
          </cell>
        </row>
        <row r="134">
          <cell r="S134">
            <v>40025619</v>
          </cell>
          <cell r="T134" t="str">
            <v>GLORIA DEL CARMEN QUEZADA VELASQUEZ</v>
          </cell>
          <cell r="U134" t="str">
            <v>AMPLIACION RED DE AGUA POTABLE Y ALCANTARILLADO VILLA LOS AROMOS Y RÍO PUDETO, ANCUD</v>
          </cell>
        </row>
        <row r="135">
          <cell r="S135">
            <v>40008322</v>
          </cell>
          <cell r="T135" t="str">
            <v>Christián del Río Valdés</v>
          </cell>
          <cell r="U135" t="str">
            <v>CONSTRUCCION CUARTEL 3A. COMPAÑÍA BOMBEROS ANCUD</v>
          </cell>
        </row>
        <row r="136">
          <cell r="S136">
            <v>30214722</v>
          </cell>
          <cell r="T136" t="str">
            <v>GLORIA DEL CARMEN QUEZADA VELASQUEZ</v>
          </cell>
          <cell r="U136" t="str">
            <v>REPOSICION CON RELOCALIZACIÓN POSTA SALUD RURAL DE GUABUN, ANCUD</v>
          </cell>
        </row>
        <row r="137">
          <cell r="S137">
            <v>40041565</v>
          </cell>
          <cell r="T137" t="str">
            <v>Fabricio Carra Paredes</v>
          </cell>
          <cell r="U137" t="str">
            <v>ADQUISICION  DE DOS RETROEXCAVADORAS PARA LA ILUSTRE MUNICIPALIDAD DE ANCUD</v>
          </cell>
        </row>
        <row r="138">
          <cell r="S138">
            <v>30471852</v>
          </cell>
          <cell r="T138" t="str">
            <v>GLORIA DEL CARMEN QUEZADA VELASQUEZ</v>
          </cell>
          <cell r="U138" t="str">
            <v>INSTALACION SISTEMA APR LOCALIDAD RURAL DE AGUAS BUENAS, ANCUD</v>
          </cell>
        </row>
        <row r="139">
          <cell r="S139">
            <v>40014527</v>
          </cell>
          <cell r="T139"/>
          <cell r="U139" t="str">
            <v>MEJORAMIENTO CALLE BAQUEDANO Y COSTANERA NORTE, COMUNA DE ANCUD</v>
          </cell>
        </row>
        <row r="140">
          <cell r="S140">
            <v>30093353</v>
          </cell>
          <cell r="T140"/>
          <cell r="U140" t="str">
            <v>REPOSICION CON RELOCALIZACIÓN POSTA DE SALUD RURAL SECTOR NAL, COMUNA DE ANCUD</v>
          </cell>
        </row>
        <row r="141">
          <cell r="S141">
            <v>40057328</v>
          </cell>
          <cell r="T141"/>
          <cell r="U141" t="str">
            <v>CONSTRUCCION CENTRO SALUD FAMILIAR CARACOLES, ANCUD</v>
          </cell>
        </row>
        <row r="142">
          <cell r="S142">
            <v>20140221</v>
          </cell>
          <cell r="T142" t="str">
            <v>Christián del Río Valdés</v>
          </cell>
          <cell r="U142" t="str">
            <v>REPOSICION POSTA DE SALUD RURAL DE LA ISLA CHELÍN, CASTRO</v>
          </cell>
        </row>
        <row r="143">
          <cell r="S143">
            <v>40005957</v>
          </cell>
          <cell r="T143" t="str">
            <v>GLORIA DEL CARMEN QUEZADA VELASQUEZ</v>
          </cell>
          <cell r="U143" t="str">
            <v>REPOSICION MUSEO MUNICIPAL Y BIBLIOTECA PUBLICA, CASTRO</v>
          </cell>
        </row>
        <row r="144">
          <cell r="S144">
            <v>30076949</v>
          </cell>
          <cell r="T144" t="str">
            <v>GLORIA DEL CARMEN QUEZADA VELASQUEZ</v>
          </cell>
          <cell r="U144" t="str">
            <v>REPOSICION ESCUELA DE LA CULTURA, FRIDOLINA BARRIENTOS, CASTRO</v>
          </cell>
        </row>
        <row r="145">
          <cell r="S145">
            <v>40048286</v>
          </cell>
          <cell r="T145" t="str">
            <v>Christián del Río Valdés</v>
          </cell>
          <cell r="U145" t="str">
            <v>CONSTRUCCION REDES SANITARIAS Y URBANIZACIONES COMPLEMENTARIAS DIVERSOS SECTORES DE CASTRO</v>
          </cell>
        </row>
        <row r="146">
          <cell r="S146">
            <v>40058065</v>
          </cell>
          <cell r="T146"/>
          <cell r="U146" t="str">
            <v>REPOSICION MOBILIARIO CLÍNICO EN ATENCIÓN CERRADA DEL HOSPITAL DE CASTRO</v>
          </cell>
        </row>
        <row r="147">
          <cell r="S147">
            <v>40058065</v>
          </cell>
          <cell r="T147"/>
          <cell r="U147" t="str">
            <v>REPOSICION MOBILIARIO CLÍNICO EN ATENCIÓN CERRADA DEL HOSPITAL DE CASTRO</v>
          </cell>
        </row>
        <row r="148">
          <cell r="S148">
            <v>30126506</v>
          </cell>
          <cell r="T148" t="str">
            <v>Christián del Río Valdés</v>
          </cell>
          <cell r="U148" t="str">
            <v>CONSTRUCCION CUARTEL 2° COMPAÑIA BOMBEROS DE LA COMUNA DE CHONCHI</v>
          </cell>
        </row>
        <row r="149">
          <cell r="S149">
            <v>30126487</v>
          </cell>
          <cell r="T149" t="str">
            <v>Christián del Río Valdés</v>
          </cell>
          <cell r="U149" t="str">
            <v>REPOSICION ESCUELA RURAL DE HUILLINCO COMUNA DE CHONCHI</v>
          </cell>
        </row>
        <row r="150">
          <cell r="S150">
            <v>20157700</v>
          </cell>
          <cell r="T150" t="str">
            <v>Christián del Río Valdés</v>
          </cell>
          <cell r="U150" t="str">
            <v>REPOSICION ESCUELA RURAL DE QUITRIPULLI COMUNA DE CHONCHI</v>
          </cell>
        </row>
        <row r="151">
          <cell r="S151">
            <v>30126522</v>
          </cell>
          <cell r="T151" t="str">
            <v>GLORIA DEL CARMEN QUEZADA VELASQUEZ</v>
          </cell>
          <cell r="U151" t="str">
            <v>ACTUALIZACION PLAN REGULADOR COMUNAL DE CHONCHI Y PLANO DE DETALLE</v>
          </cell>
        </row>
        <row r="152">
          <cell r="S152">
            <v>40022712</v>
          </cell>
          <cell r="T152" t="str">
            <v>GLORIA DEL CARMEN QUEZADA VELASQUEZ</v>
          </cell>
          <cell r="U152" t="str">
            <v>CONSERVACION ESCUELA RURAL DE NOTUCO, COMUNA DE CHONCHI</v>
          </cell>
        </row>
        <row r="153">
          <cell r="S153">
            <v>30484959</v>
          </cell>
          <cell r="T153" t="str">
            <v>GLORIA DEL CARMEN QUEZADA VELASQUEZ</v>
          </cell>
          <cell r="U153" t="str">
            <v>CONSTRUCCION CENTRO DEPORTIVO MUNICIPAL COMUNA DE CHONCHI</v>
          </cell>
        </row>
        <row r="154">
          <cell r="S154">
            <v>40031425</v>
          </cell>
          <cell r="T154" t="str">
            <v>Christián del Río Valdés</v>
          </cell>
          <cell r="U154" t="str">
            <v>CONSTRUCCION SERVICIOS DE AP Y ALCANT. DE SEC. CENTENARIO Y PROLONGACIÓN P. A. CERDA, CHONCHI</v>
          </cell>
        </row>
        <row r="155">
          <cell r="S155">
            <v>40013891</v>
          </cell>
          <cell r="T155" t="str">
            <v>Fabricio Carra Paredes</v>
          </cell>
          <cell r="U155" t="str">
            <v>REPOSICION LUMINARIAS PARA DIVERSOS SECTORES RURALES, COMUNA DE CHONCHI</v>
          </cell>
        </row>
        <row r="156">
          <cell r="S156">
            <v>40040317</v>
          </cell>
          <cell r="T156" t="str">
            <v>Christián del Río Valdés</v>
          </cell>
          <cell r="U156" t="str">
            <v>REPOSICION REFUGIOS PEATONALES CON ILUMINACIÓN EN DIVERSOS SECTORES DE LA COMUNA DE CHONCHI</v>
          </cell>
        </row>
        <row r="157">
          <cell r="S157">
            <v>40013031</v>
          </cell>
          <cell r="T157" t="str">
            <v>GLORIA DEL CARMEN QUEZADA VELASQUEZ</v>
          </cell>
          <cell r="U157" t="str">
            <v>REPOSICION POSTA DE SALUD RURAL NATRI, CHONCHI</v>
          </cell>
        </row>
        <row r="158">
          <cell r="S158">
            <v>40052247</v>
          </cell>
          <cell r="T158"/>
          <cell r="U158" t="str">
            <v>CONSTRUCCION SISTEMA DE ALCANTARILLADO SECTOR ESMERALDA, COMUNA DE CHONCHI</v>
          </cell>
        </row>
        <row r="159">
          <cell r="S159">
            <v>40044681</v>
          </cell>
          <cell r="T159"/>
          <cell r="U159" t="str">
            <v>REPOSICION DE BUSES ESCUELA ESPECIAL AMANECER, COMUNA DE CHONCHI</v>
          </cell>
        </row>
        <row r="160">
          <cell r="S160">
            <v>30095333</v>
          </cell>
          <cell r="T160" t="str">
            <v>GLORIA DEL CARMEN QUEZADA VELASQUEZ</v>
          </cell>
          <cell r="U160" t="str">
            <v>REPOSICION ESTADIO MUNICIPAL DE CURACO DE VÉLEZ</v>
          </cell>
        </row>
        <row r="161">
          <cell r="S161">
            <v>40053634</v>
          </cell>
          <cell r="T161" t="str">
            <v>GLORIA DEL CARMEN QUEZADA VELASQUEZ</v>
          </cell>
          <cell r="U161" t="str">
            <v>CONSERVACION DE CAMINOS NO ENROLADOS DE 5 SECTORES RURALES, CURACO DE VÉLEZ</v>
          </cell>
        </row>
        <row r="162">
          <cell r="S162">
            <v>30112096</v>
          </cell>
          <cell r="T162" t="str">
            <v>GLORIA DEL CARMEN QUEZADA VELASQUEZ</v>
          </cell>
          <cell r="U162" t="str">
            <v>REPOSICION CESFAM RURAL, CURACO DE VELEZ</v>
          </cell>
        </row>
        <row r="163">
          <cell r="S163">
            <v>30072730</v>
          </cell>
          <cell r="T163" t="str">
            <v>Christián del Río Valdés</v>
          </cell>
          <cell r="U163" t="str">
            <v>REPOSICION EDIFICIO MUNICIPAL DE CURACO DE VÉLEZ</v>
          </cell>
        </row>
        <row r="164">
          <cell r="S164">
            <v>40064171</v>
          </cell>
          <cell r="T164"/>
          <cell r="U164" t="str">
            <v>REPOSICION VEHICULO RECICLAJE MUNICIPAL, CURACO DE VELEZ</v>
          </cell>
        </row>
        <row r="165">
          <cell r="S165">
            <v>40060989</v>
          </cell>
          <cell r="T165"/>
          <cell r="U165" t="str">
            <v>REPOSICION Y ADQUISICION MAQUINARIA MUNICIPAL, CURACO DE VELEZ</v>
          </cell>
        </row>
        <row r="166">
          <cell r="S166">
            <v>40060989</v>
          </cell>
          <cell r="T166"/>
          <cell r="U166" t="str">
            <v>REPOSICION Y ADQUISICION MAQUINARIA MUNICIPAL, CURACO DE VELEZ</v>
          </cell>
        </row>
        <row r="167">
          <cell r="S167">
            <v>40063532</v>
          </cell>
          <cell r="T167"/>
          <cell r="U167" t="str">
            <v>CONSERVACION DE CAMINOS NO ENROLADOS DE 4 SECTORES RURALES, CURACO DE VELEZ</v>
          </cell>
        </row>
        <row r="168">
          <cell r="S168">
            <v>40016862</v>
          </cell>
          <cell r="T168" t="str">
            <v>GLORIA DEL CARMEN QUEZADA VELASQUEZ</v>
          </cell>
          <cell r="U168" t="str">
            <v>CONSTRUCCION SISTEMA APR PULUTAUCO, DALCAHUE</v>
          </cell>
        </row>
        <row r="169">
          <cell r="S169">
            <v>40017878</v>
          </cell>
          <cell r="T169" t="str">
            <v>Christián del Río Valdés</v>
          </cell>
          <cell r="U169" t="str">
            <v>CONSTRUCCION SISTEMA APR SECTOR PUPETRA</v>
          </cell>
        </row>
        <row r="170">
          <cell r="S170">
            <v>40040024</v>
          </cell>
          <cell r="T170" t="str">
            <v>Christián del Río Valdés</v>
          </cell>
          <cell r="U170" t="str">
            <v>CONSERVACION CAMINOS NO ENROLADOS, COMUNA DE DALCAHUE</v>
          </cell>
        </row>
        <row r="171">
          <cell r="S171">
            <v>30129912</v>
          </cell>
          <cell r="T171" t="str">
            <v>Christián del Río Valdés</v>
          </cell>
          <cell r="U171" t="str">
            <v>CONSTRUCCION CENTRO CIVICO DALCAHUE</v>
          </cell>
        </row>
        <row r="172">
          <cell r="S172">
            <v>40052180</v>
          </cell>
          <cell r="T172" t="str">
            <v>GLORIA DEL CARMEN QUEZADA VELASQUEZ</v>
          </cell>
          <cell r="U172" t="str">
            <v>CONSTRUCCION SSR SECTOR TEHUACO, COMUNA DE DALCAHUE</v>
          </cell>
        </row>
        <row r="173">
          <cell r="S173">
            <v>40053067</v>
          </cell>
          <cell r="T173" t="str">
            <v>GLORIA DEL CARMEN QUEZADA VELASQUEZ</v>
          </cell>
          <cell r="U173" t="str">
            <v>CONSTRUCCION AGUA POTABLE Y ALCANTARILLADO, SECTOR 18 DE SEP, COMUNA DE DALCAHUE</v>
          </cell>
        </row>
        <row r="174">
          <cell r="S174">
            <v>40061640</v>
          </cell>
          <cell r="T174"/>
          <cell r="U174" t="str">
            <v>REPOSICION POSTA SALUD RURAL CALEN, COMUNA DE DALCAHUE</v>
          </cell>
        </row>
        <row r="175">
          <cell r="S175">
            <v>30042613</v>
          </cell>
          <cell r="T175" t="str">
            <v>GLORIA DEL CARMEN QUEZADA VELASQUEZ</v>
          </cell>
          <cell r="U175" t="str">
            <v>NORMALIZACION CONSULTORIO RURAL PUQUELDON</v>
          </cell>
        </row>
        <row r="176">
          <cell r="S176">
            <v>40028442</v>
          </cell>
          <cell r="T176" t="str">
            <v>Christián del Río Valdés</v>
          </cell>
          <cell r="U176" t="str">
            <v>REPOSICION POSTA DE SALUD RURAL DE DETIF, PUQUELDON</v>
          </cell>
        </row>
        <row r="177">
          <cell r="S177">
            <v>40013818</v>
          </cell>
          <cell r="T177" t="str">
            <v>Fabricio Carra Paredes</v>
          </cell>
          <cell r="U177" t="str">
            <v>REPOSICION  MAQUINARIA  PARA MANTENCION DE CAMINOS VECINALES, COMUNA PUQUELDON</v>
          </cell>
        </row>
        <row r="178">
          <cell r="S178">
            <v>40013818</v>
          </cell>
          <cell r="T178" t="str">
            <v>Fabricio Carra Paredes</v>
          </cell>
          <cell r="U178" t="str">
            <v>REPOSICION  MAQUINARIA  PARA MANTENCION DE CAMINOS VECINALES, COMUNA PUQUELDON</v>
          </cell>
        </row>
        <row r="179">
          <cell r="S179">
            <v>40051860</v>
          </cell>
          <cell r="T179"/>
          <cell r="U179" t="str">
            <v>ADQUISICION CONTENEDORES RSD Y RD, CAMION DE CARGA LATERAL Y CAMION CARGA TRASERA, PUQUELDON</v>
          </cell>
        </row>
        <row r="180">
          <cell r="S180">
            <v>40051860</v>
          </cell>
          <cell r="T180"/>
          <cell r="U180" t="str">
            <v>ADQUISICION CONTENEDORES RSD Y RD, CAMION DE CARGA LATERAL Y CAMION CARGA TRASERA, PUQUELDON</v>
          </cell>
        </row>
        <row r="181">
          <cell r="S181">
            <v>40002386</v>
          </cell>
          <cell r="T181" t="str">
            <v>Christián del Río Valdés</v>
          </cell>
          <cell r="U181" t="str">
            <v>MEJORAMIENTO INTEGRAL ESTADIO MUNICIPAL DE QUEILEN</v>
          </cell>
        </row>
        <row r="182">
          <cell r="S182">
            <v>40009684</v>
          </cell>
          <cell r="T182" t="str">
            <v>Christián del Río Valdés</v>
          </cell>
          <cell r="U182" t="str">
            <v>AMPLIACION DE RED PUBLICA SIST DE AGUA POTABLE Y ALC SECTOR ALCÁZAR COMUNA DE QUELLON</v>
          </cell>
        </row>
        <row r="183">
          <cell r="S183">
            <v>40000178</v>
          </cell>
          <cell r="T183" t="str">
            <v>Christián del Río Valdés</v>
          </cell>
          <cell r="U183" t="str">
            <v>INSTALACION SISTEMA APR SECTORES CHAILDAD-CHANCO-YATEHUE, QUELLÓN</v>
          </cell>
        </row>
        <row r="184">
          <cell r="S184">
            <v>30488426</v>
          </cell>
          <cell r="T184" t="str">
            <v>Christián del Río Valdés</v>
          </cell>
          <cell r="U184" t="str">
            <v>INSTALACION SISTEMA AGUA POTABLE RURAL ISLA LAITEC, QUELLON</v>
          </cell>
        </row>
        <row r="185">
          <cell r="S185">
            <v>30095440</v>
          </cell>
          <cell r="T185" t="str">
            <v>Christián del Río Valdés</v>
          </cell>
          <cell r="U185" t="str">
            <v>REPOSICION POSTA DE SALUD RURAL DE YALDAD, QUELLON</v>
          </cell>
        </row>
        <row r="186">
          <cell r="S186">
            <v>30069919</v>
          </cell>
          <cell r="T186" t="str">
            <v>Christián del Río Valdés</v>
          </cell>
          <cell r="U186" t="str">
            <v>CONSTRUCCION GIMNASIO ESCUELA ORIENTE DE QUELLÓN</v>
          </cell>
        </row>
        <row r="187">
          <cell r="S187">
            <v>40007743</v>
          </cell>
          <cell r="T187" t="str">
            <v>GLORIA DEL CARMEN QUEZADA VELASQUEZ</v>
          </cell>
          <cell r="U187" t="str">
            <v>REPOSICION CENTRO EDUCACIONAL DE ADULTOS, COMUNA DE QUELLON</v>
          </cell>
        </row>
        <row r="188">
          <cell r="S188">
            <v>30430173</v>
          </cell>
          <cell r="T188" t="str">
            <v>GLORIA DEL CARMEN QUEZADA VELASQUEZ</v>
          </cell>
          <cell r="U188" t="str">
            <v xml:space="preserve">CONSERVACION CAMINOS ISLA BUTACHAUQUES </v>
          </cell>
        </row>
        <row r="189">
          <cell r="S189">
            <v>30396026</v>
          </cell>
          <cell r="T189" t="str">
            <v>GLORIA DEL CARMEN QUEZADA VELASQUEZ</v>
          </cell>
          <cell r="U189" t="str">
            <v>CONSERVACION CAMINOS RURALES SECTOR SUR, COMUNA DE QUEMCHI</v>
          </cell>
        </row>
        <row r="190">
          <cell r="S190">
            <v>30101055</v>
          </cell>
          <cell r="T190" t="str">
            <v>Christián del Río Valdés</v>
          </cell>
          <cell r="U190" t="str">
            <v>CONSTRUCCION INFRAESTRUCTURA AGUA POTABLE Y ALCANTARILLADO, QUEMCHI</v>
          </cell>
        </row>
        <row r="191">
          <cell r="S191">
            <v>30101055</v>
          </cell>
          <cell r="T191" t="str">
            <v>Christián del Río Valdés</v>
          </cell>
          <cell r="U191" t="str">
            <v>CONSTRUCCION INFRAESTRUCTURA AGUA POTABLE Y ALCANTARILLADO, QUEMCHI</v>
          </cell>
        </row>
        <row r="192">
          <cell r="S192">
            <v>40049738</v>
          </cell>
          <cell r="T192" t="str">
            <v>Christián del Río Valdés</v>
          </cell>
          <cell r="U192" t="str">
            <v>CONSERVACION CAMINOS MECHUQUE Y CHENIAO-VOIGUE</v>
          </cell>
        </row>
        <row r="193">
          <cell r="S193">
            <v>40045829</v>
          </cell>
          <cell r="T193" t="str">
            <v>Christián del Río Valdés</v>
          </cell>
          <cell r="U193" t="str">
            <v>HABILITACION Y MEJORAMIENTO ESTADIO MUNICIPAL DE QUEMCHI</v>
          </cell>
        </row>
        <row r="194">
          <cell r="S194">
            <v>40063487</v>
          </cell>
          <cell r="T194"/>
          <cell r="U194" t="str">
            <v>CONSERVACION DE CAMINOS ISLAS TAUCULON, AULIN Y BUTACHAUQUES, COMUNA DE QUEMCHI.</v>
          </cell>
        </row>
        <row r="195">
          <cell r="S195">
            <v>40013068</v>
          </cell>
          <cell r="T195" t="str">
            <v>Christián del Río Valdés</v>
          </cell>
          <cell r="U195" t="str">
            <v>REPOSICION POSTA DE SALUD RURAL VILLA CHAULINEC, ISLA CHAULINEC - QUINCHAO</v>
          </cell>
        </row>
        <row r="196">
          <cell r="S196">
            <v>40039350</v>
          </cell>
          <cell r="T196" t="str">
            <v>GLORIA DEL CARMEN QUEZADA VELASQUEZ</v>
          </cell>
          <cell r="U196" t="str">
            <v>REPOSICION POSTA SALUD RURAL LLINGUA, COMUNA DE QUINCHAO</v>
          </cell>
        </row>
        <row r="197">
          <cell r="S197">
            <v>40027221</v>
          </cell>
          <cell r="T197" t="str">
            <v>Christián del Río Valdés</v>
          </cell>
          <cell r="U197" t="str">
            <v>REPOSICION ESCUELA RURAL DE ALAO, QUINCHAO</v>
          </cell>
        </row>
        <row r="198">
          <cell r="S198">
            <v>40033589</v>
          </cell>
          <cell r="T198" t="str">
            <v>Christián del Río Valdés</v>
          </cell>
          <cell r="U198" t="str">
            <v>RESTAURACION TEMPLO JESÚS NAZARENO DE CAGUACH,  QUINCHAO</v>
          </cell>
        </row>
        <row r="199">
          <cell r="S199">
            <v>30381175</v>
          </cell>
          <cell r="T199" t="str">
            <v>GLORIA DEL CARMEN QUEZADA VELASQUEZ</v>
          </cell>
          <cell r="U199" t="str">
            <v>CONSTRUCCION CANCHA Y PISTA ATLETICA CANCHA RAYADA DE CASTRO</v>
          </cell>
        </row>
        <row r="200">
          <cell r="S200">
            <v>30083335</v>
          </cell>
          <cell r="T200" t="str">
            <v>GLORIA DEL CARMEN QUEZADA VELASQUEZ</v>
          </cell>
          <cell r="U200" t="str">
            <v>NORMALIZACION HOSPITAL DE QUELLON, PROVINCIA DE CHILOE</v>
          </cell>
        </row>
        <row r="201">
          <cell r="S201">
            <v>30083300</v>
          </cell>
          <cell r="T201" t="str">
            <v>GLORIA DEL CARMEN QUEZADA VELASQUEZ</v>
          </cell>
          <cell r="U201" t="str">
            <v>NORMALIZACION HOSPITAL DE ANCUD, PROVINCIA DE CHILOE</v>
          </cell>
        </row>
        <row r="202">
          <cell r="S202">
            <v>40019999</v>
          </cell>
          <cell r="T202" t="str">
            <v>Christián del Río Valdés</v>
          </cell>
          <cell r="U202" t="str">
            <v>MEJORAMIENTO AVDA. GALVARINO RIVEROS NORTE DE CASTRO</v>
          </cell>
        </row>
        <row r="203">
          <cell r="S203">
            <v>40057047</v>
          </cell>
          <cell r="T203" t="str">
            <v>Fabricio Carra Paredes</v>
          </cell>
          <cell r="U203" t="str">
            <v>REPOSICION VEHÍCULOS Y ADQUISICIÓN MAQUINARIA DE ASFALTO PARA LA D.V., PROVINCIA DE CHILOÉ</v>
          </cell>
        </row>
        <row r="204">
          <cell r="S204">
            <v>40057047</v>
          </cell>
          <cell r="T204" t="str">
            <v>Fabricio Carra Paredes</v>
          </cell>
          <cell r="U204" t="str">
            <v>REPOSICION VEHÍCULOS Y ADQUISICIÓN MAQUINARIA DE ASFALTO PARA LA D.V., PROVINCIA DE CHILOÉ</v>
          </cell>
        </row>
        <row r="205">
          <cell r="S205">
            <v>40062497</v>
          </cell>
          <cell r="T205"/>
          <cell r="U205" t="str">
            <v>DIAGNOSTICO COMPLEMENTARIO INFRAEST. PORTUARIA 04 SECT. REZAGO, QUEMCHI-QUINCHAO Y QUELLON</v>
          </cell>
        </row>
        <row r="206">
          <cell r="S206">
            <v>30103541</v>
          </cell>
          <cell r="T206" t="str">
            <v>Matías Yunge Quidel</v>
          </cell>
          <cell r="U206" t="str">
            <v>REPOSICION EDIFICIO MUNICIPAL DE CHAITEN</v>
          </cell>
        </row>
        <row r="207">
          <cell r="S207">
            <v>40053350</v>
          </cell>
          <cell r="T207" t="str">
            <v>Fabricio Carra Paredes</v>
          </cell>
          <cell r="U207" t="str">
            <v>REPOSICION 4 CAMIONETAS Y UN MINIBUS Y ADQUISICION 3 CAMIONETAS, COMUNA DE CHAITEN</v>
          </cell>
        </row>
        <row r="208">
          <cell r="S208">
            <v>40047728</v>
          </cell>
          <cell r="T208"/>
          <cell r="U208" t="str">
            <v>HABILITACION SUMINISTRO ENERGÍA ELÉCTRICA DIVERSOS SECTORES, COMUNA DE CHAITÉN</v>
          </cell>
        </row>
        <row r="209">
          <cell r="S209">
            <v>40058788</v>
          </cell>
          <cell r="T209"/>
          <cell r="U209" t="str">
            <v>REPOSICION AMBULANCIAS COMUNA DE CHAITEN</v>
          </cell>
        </row>
        <row r="210">
          <cell r="S210">
            <v>30341678</v>
          </cell>
          <cell r="T210" t="str">
            <v>Fabricio Carra Paredes</v>
          </cell>
          <cell r="U210" t="str">
            <v>ANALISIS ESTUDIO PLAN REGULADOR COMUNAL DE FUTALEUFÚ</v>
          </cell>
        </row>
        <row r="211">
          <cell r="S211">
            <v>30352430</v>
          </cell>
          <cell r="T211" t="str">
            <v>Fabricio Carra Paredes</v>
          </cell>
          <cell r="U211" t="str">
            <v>CONSTRUCCION PARQUE MUNICIPAL DE FUTALEUFÚ</v>
          </cell>
        </row>
        <row r="212">
          <cell r="S212">
            <v>40031970</v>
          </cell>
          <cell r="T212" t="str">
            <v>Christián del Río Valdés</v>
          </cell>
          <cell r="U212" t="str">
            <v>MEJORAMIENTO INFRAESTRUCTURA PEATONAL CALLE O´HIGGINS, COMUNA FUTALEUFÚ.</v>
          </cell>
        </row>
        <row r="213">
          <cell r="S213">
            <v>40041636</v>
          </cell>
          <cell r="T213" t="str">
            <v>Matías Yunge Quidel</v>
          </cell>
          <cell r="U213" t="str">
            <v>REPOSICION POSTA SALUD RURAL EL ESPOLON COMUNA DE FUTALEUFU</v>
          </cell>
        </row>
        <row r="214">
          <cell r="S214">
            <v>40053669</v>
          </cell>
          <cell r="T214" t="str">
            <v>Fabricio Carra Paredes</v>
          </cell>
          <cell r="U214" t="str">
            <v>REPOSICION EQUIPOS Y MAQUINARIA PARA CTI COMUNA DE FUTALEUFÚ</v>
          </cell>
        </row>
        <row r="215">
          <cell r="S215">
            <v>40024235</v>
          </cell>
          <cell r="T215"/>
          <cell r="U215" t="str">
            <v>REPOSICION EDIFICIO MUNICIPAL COMUNA DE FUTALEUFÚ</v>
          </cell>
        </row>
        <row r="216">
          <cell r="S216">
            <v>40056911</v>
          </cell>
          <cell r="T216"/>
          <cell r="U216" t="str">
            <v>CONSERVACION DE CAMINOS NO ENROLADOS DE 4 SECTORES RURALES COMUNA DE FUTALEUFU</v>
          </cell>
        </row>
        <row r="217">
          <cell r="S217">
            <v>30419694</v>
          </cell>
          <cell r="T217" t="str">
            <v>Matías Yunge Quidel</v>
          </cell>
          <cell r="U217" t="str">
            <v>REPOSICION ESCUELA RURAL CALETA EL MANZANO, HUALAIHUE</v>
          </cell>
        </row>
        <row r="218">
          <cell r="S218">
            <v>40037891</v>
          </cell>
          <cell r="T218" t="str">
            <v>Matías Yunge Quidel</v>
          </cell>
          <cell r="U218" t="str">
            <v>REPOSICION ESTADIO MUNICIPAL DE CONTAO, HUALAIHUÉ</v>
          </cell>
        </row>
        <row r="219">
          <cell r="S219">
            <v>40047836</v>
          </cell>
          <cell r="T219" t="str">
            <v>Matías Yunge Quidel</v>
          </cell>
          <cell r="U219" t="str">
            <v>REPOSICION ESCUELA RURAL SEMILLERO DE ROLECHA, HUALAIHUÉ</v>
          </cell>
        </row>
        <row r="220">
          <cell r="S220">
            <v>40037396</v>
          </cell>
          <cell r="T220" t="str">
            <v>Matías Yunge Quidel</v>
          </cell>
          <cell r="U220" t="str">
            <v>CONSTRUCCION GIMNASIO MUNICIPAL EL MANZANO, HUALAIHUE</v>
          </cell>
        </row>
        <row r="221">
          <cell r="S221">
            <v>30386191</v>
          </cell>
          <cell r="T221"/>
          <cell r="U221" t="str">
            <v>REPOSICION ESTADIO MUNICIPAL DE HORNOPIREN, HUALAIHUE</v>
          </cell>
        </row>
        <row r="222">
          <cell r="S222">
            <v>30115295</v>
          </cell>
          <cell r="T222" t="str">
            <v>Fabricio Carra Paredes</v>
          </cell>
          <cell r="U222" t="str">
            <v>REPOSICION Y AMPLIACION CUARTEL 1° COMPAÑIA DE BOMBEROS DE PALENA</v>
          </cell>
        </row>
        <row r="223">
          <cell r="S223">
            <v>30474713</v>
          </cell>
          <cell r="T223" t="str">
            <v>Fabricio Carra Paredes</v>
          </cell>
          <cell r="U223" t="str">
            <v>ACTUALIZACION PLAN REGULADOR COMUNAL DE PALENA</v>
          </cell>
        </row>
        <row r="224">
          <cell r="S224">
            <v>40037418</v>
          </cell>
          <cell r="T224" t="str">
            <v>RENE CARCAMO</v>
          </cell>
          <cell r="U224" t="str">
            <v>CONSTRUCCION ELECTRIFICACIÓN FOTOVOLTAICA DIVERSOS SECTORES, COMUNA DE PALENA</v>
          </cell>
        </row>
        <row r="225">
          <cell r="S225">
            <v>30342673</v>
          </cell>
          <cell r="T225" t="str">
            <v>Fabricio Carra Paredes</v>
          </cell>
          <cell r="U225" t="str">
            <v>CONSTRUCCION CAMINO RUTA W-807,SECTOR:PTE.NEGRO-PTE.AQUELLAS,CHAITEN</v>
          </cell>
        </row>
        <row r="226">
          <cell r="S226">
            <v>30060589</v>
          </cell>
          <cell r="T226" t="str">
            <v>Fabricio Carra Paredes</v>
          </cell>
          <cell r="U226" t="str">
            <v>MEJORAMIENTO HOSPITAL DE  CHAITEN.</v>
          </cell>
        </row>
        <row r="227">
          <cell r="S227">
            <v>30384677</v>
          </cell>
          <cell r="T227" t="str">
            <v>Fabricio Carra Paredes</v>
          </cell>
          <cell r="U227" t="str">
            <v>MEJORAMIENTO RUTA 235-CH SECTOR V. S. LUCIA-P. RAMIREZ, PROV. PALENA</v>
          </cell>
        </row>
        <row r="228">
          <cell r="S228">
            <v>30421729</v>
          </cell>
          <cell r="T228" t="str">
            <v>Matías Yunge Quidel</v>
          </cell>
          <cell r="U228" t="str">
            <v>REPOSICION OFICINA DEL REGISTRO CIVIL E IDENTIF. DE HORNOPIREN</v>
          </cell>
        </row>
        <row r="229">
          <cell r="S229">
            <v>40035178</v>
          </cell>
          <cell r="T229" t="str">
            <v>Matías Yunge Quidel</v>
          </cell>
          <cell r="U229" t="str">
            <v>REPOSICION RETÉN CONTAO, COMUNA DE HUALAIHUÉ</v>
          </cell>
        </row>
        <row r="230">
          <cell r="S230">
            <v>30458729</v>
          </cell>
          <cell r="T230" t="str">
            <v>Fabricio Carra Paredes</v>
          </cell>
          <cell r="U230" t="str">
            <v>MEJORAMIENTO AREA DE MOVIMIENTO AERODROMO AYACARA, CHAITEN</v>
          </cell>
        </row>
        <row r="231">
          <cell r="S231">
            <v>40063704</v>
          </cell>
          <cell r="T231"/>
          <cell r="U231" t="str">
            <v>REPOSICION EQUIPOS RAYOS X OSTEOPULMONARES HOSPITALES DE FUTALEUFU, CHAITEN Y PALENA</v>
          </cell>
        </row>
        <row r="232">
          <cell r="S232">
            <v>40063754</v>
          </cell>
          <cell r="T232"/>
          <cell r="U232" t="str">
            <v>REPOSICION 4 AMBULANCIAS COMUNAS DE PALENA, FUTALEUFU, CHAITEN Y HUALAIHUE</v>
          </cell>
        </row>
        <row r="233">
          <cell r="S233">
            <v>40063754</v>
          </cell>
          <cell r="T233"/>
          <cell r="U233" t="str">
            <v>REPOSICION 4 AMBULANCIAS COMUNAS DE PALENA, FUTALEUFU, CHAITEN Y HUALAIHUE</v>
          </cell>
        </row>
        <row r="234">
          <cell r="S234">
            <v>30430874</v>
          </cell>
          <cell r="T234" t="str">
            <v>Luisa Adela Macias Bahamonde</v>
          </cell>
          <cell r="U234" t="str">
            <v>ACTUALIZACION MODIFICACION Y REESTRUCTURACIÓN DE LA PROPUESTA PROT</v>
          </cell>
        </row>
        <row r="235">
          <cell r="S235">
            <v>40020318</v>
          </cell>
          <cell r="T235" t="str">
            <v>Fabricio Carra Paredes</v>
          </cell>
          <cell r="U235" t="str">
            <v>REPOSICION  VEHÍCULOS PDI, REGIÓN POLICIAL DE LOS LAGOS</v>
          </cell>
        </row>
        <row r="236">
          <cell r="S236">
            <v>40034230</v>
          </cell>
          <cell r="T236" t="str">
            <v>Fabricio Carra Paredes</v>
          </cell>
          <cell r="U236" t="str">
            <v>REPOSICION EQUIPOS UNIDAD DE ENDOSCOPIA HOSPITAL PUERTO MONTT</v>
          </cell>
        </row>
        <row r="237">
          <cell r="S237">
            <v>40032331</v>
          </cell>
          <cell r="T237" t="str">
            <v>Luisa Adela Macias Bahamonde</v>
          </cell>
          <cell r="U237" t="str">
            <v>DIAGNOSTICO ESTUDIO Y CARACTERIZACIÓN DE LOS RSD Y SU GESTIÓN EN ZONAS DE REZAGO</v>
          </cell>
        </row>
        <row r="238">
          <cell r="S238">
            <v>40043670</v>
          </cell>
          <cell r="T238" t="str">
            <v>Luisa Adela Macias Bahamonde</v>
          </cell>
          <cell r="U238" t="str">
            <v>DIAGNOSTICO CONDICIONES NAT. VARIOS SECT. ZONAS DE REZAGO SUR, REGION DE LOS LAGOS</v>
          </cell>
        </row>
        <row r="239">
          <cell r="S239">
            <v>40055194</v>
          </cell>
          <cell r="T239" t="str">
            <v>Luisa Adela Macias Bahamonde</v>
          </cell>
          <cell r="U239" t="str">
            <v>ANALISIS POLÍTICA DE DISCAPACIDAD E INCLUSIÓN SOCIAL, REGIÓN DE LOS LAGOS.</v>
          </cell>
        </row>
        <row r="240">
          <cell r="S240">
            <v>40058442</v>
          </cell>
          <cell r="T240"/>
          <cell r="U240" t="str">
            <v>ANALISIS POLITICA INDIGENA REGIONAL</v>
          </cell>
        </row>
        <row r="241">
          <cell r="S241">
            <v>40042999</v>
          </cell>
          <cell r="T241" t="str">
            <v>Fabricio Carra Paredes</v>
          </cell>
          <cell r="U241" t="str">
            <v>REPOSICION DE EQUIPOS LABORATORIOS DE CARRERAS MARÍTIMAS DEL TECNOLÓGICO U LAGOS</v>
          </cell>
        </row>
        <row r="242">
          <cell r="S242">
            <v>40032097</v>
          </cell>
          <cell r="T242"/>
          <cell r="U242" t="str">
            <v>CONSTRUCCION ASCENSORES SECTOR CENTRO - CAR - EDIFICIO CONSISTORIAL, PUERTO MONTT</v>
          </cell>
        </row>
        <row r="243">
          <cell r="S243">
            <v>40038820</v>
          </cell>
          <cell r="T243" t="str">
            <v>Fabricio Carra Paredes</v>
          </cell>
          <cell r="U243" t="str">
            <v>ADQUISICION DE EQUIPOS PARA MEJORAMIENTO DE ACCESIBILIDAD UNIVERSAL EN CRUCES SEMAFORIZADOS</v>
          </cell>
        </row>
        <row r="244">
          <cell r="S244">
            <v>40046973</v>
          </cell>
          <cell r="T244" t="str">
            <v>PAULINA HUIDOBRO JARAMI</v>
          </cell>
          <cell r="U244" t="str">
            <v>CONSTRUCCION DE INSTALACIONES NUEVA ZONA PRIMARIA EXTRAPUERTO EMPORMONTT, PUERTO MONTT</v>
          </cell>
        </row>
        <row r="245">
          <cell r="S245">
            <v>30091074</v>
          </cell>
          <cell r="T245" t="str">
            <v>PAULINA HUIDOBRO JARAMI</v>
          </cell>
          <cell r="U245" t="str">
            <v>CONSTRUCCION BIBLIOTECA REGIONAL LOS LAGOS, PUERTO MONTT</v>
          </cell>
        </row>
        <row r="246">
          <cell r="S246">
            <v>40058220</v>
          </cell>
          <cell r="T246"/>
          <cell r="U246" t="str">
            <v>ADQUISICION DE AERONAVES REMOTAMENTE PILOTADAS PARA LA ZONA CARABINEROS LOS LAGOS</v>
          </cell>
        </row>
        <row r="247">
          <cell r="S247">
            <v>40058220</v>
          </cell>
          <cell r="T247"/>
          <cell r="U247" t="str">
            <v>ADQUISICION DE AERONAVES REMOTAMENTE PILOTADAS PARA LA ZONA CARABINEROS LOS LAGOS</v>
          </cell>
        </row>
        <row r="248">
          <cell r="S248">
            <v>40055362</v>
          </cell>
          <cell r="T248"/>
          <cell r="U248" t="str">
            <v>ANALISIS PLAN REGULADOR INTERCOMUNAL DE LOS LAGOS</v>
          </cell>
        </row>
        <row r="249">
          <cell r="S249">
            <v>40056926</v>
          </cell>
          <cell r="T249"/>
          <cell r="U249" t="str">
            <v>ADQUISICION EQUIPAMIENTO OFTALMOLOGIA, PROVINCIAS DE LLANQUIHUE Y PALENA</v>
          </cell>
        </row>
        <row r="250">
          <cell r="S250">
            <v>40056926</v>
          </cell>
          <cell r="T250"/>
          <cell r="U250" t="str">
            <v>ADQUISICION EQUIPAMIENTO OFTALMOLOGIA, PROVINCIAS DE LLANQUIHUE Y PALENA</v>
          </cell>
        </row>
        <row r="251">
          <cell r="S251">
            <v>40064760</v>
          </cell>
          <cell r="T251"/>
          <cell r="U251" t="str">
            <v>CONSERVACION POLIDEPORTIVO ARENA PUERTO MONTT</v>
          </cell>
        </row>
        <row r="252">
          <cell r="S252">
            <v>40036420</v>
          </cell>
          <cell r="T252"/>
          <cell r="U252" t="str">
            <v>HABILITACION Centro Cardioquirúrgico para Macro Zona Sur Austral</v>
          </cell>
        </row>
        <row r="253">
          <cell r="S253">
            <v>40056853</v>
          </cell>
          <cell r="T253"/>
          <cell r="U253" t="str">
            <v xml:space="preserve">CONSTRUCCION CAMPUS SALUD, INGENIERÍA Y ARTES, ULAGOS, PUERTO MONTT </v>
          </cell>
        </row>
        <row r="254">
          <cell r="S254">
            <v>30429222</v>
          </cell>
          <cell r="T254" t="str">
            <v>JUAN CARLOS DUHALDE</v>
          </cell>
          <cell r="U254" t="str">
            <v>TRANSFERENCIA PROGRAMA RENOVACION FLOTA LOCOMOCION COLECTIVA</v>
          </cell>
        </row>
        <row r="255">
          <cell r="S255">
            <v>40065863</v>
          </cell>
          <cell r="T255" t="str">
            <v>GLORIA DEL CARMEN QUEZADA VELASQUEZ</v>
          </cell>
          <cell r="U255" t="str">
            <v>TRANSFERENCIA A JUNTA NACIONAL DE CUERPO DE BOMBEROS DE CHILE</v>
          </cell>
        </row>
        <row r="256">
          <cell r="S256">
            <v>30341439</v>
          </cell>
          <cell r="T256" t="str">
            <v>JUAN CARLOS DUHALDE</v>
          </cell>
          <cell r="U256" t="str">
            <v>TRANSFERENCIA PROGRAMA RECUPERACION SUELOS DEGRADADOS EN TPV</v>
          </cell>
        </row>
        <row r="257">
          <cell r="S257">
            <v>30329922</v>
          </cell>
          <cell r="T257" t="str">
            <v>JUAN CARLOS DUHALDE</v>
          </cell>
          <cell r="U257" t="str">
            <v>TRANSFERENCIA TECNOLOGICA PARA EL FORTALECIMIENTO DE LA AFC DEL TPV</v>
          </cell>
        </row>
        <row r="258">
          <cell r="S258">
            <v>40033084</v>
          </cell>
          <cell r="T258" t="str">
            <v>JUAN CARLOS DUHALDE</v>
          </cell>
          <cell r="U258" t="str">
            <v>CAPACITACION APOYO A LA REACTIVACIÓN ECONÓMICA DEL SECTOR TURÍSTICO EN EL TERRITORIO PATAGONIA</v>
          </cell>
        </row>
        <row r="259">
          <cell r="S259">
            <v>40031184</v>
          </cell>
          <cell r="T259" t="str">
            <v>JUAN CARLOS DUHALDE</v>
          </cell>
          <cell r="U259" t="str">
            <v>CAPACITACION APOYO A LA REACTIVACIÓN ECONÓMICA E INNOVACIÓN EN TURISMO Y AGRICULTURA SUSTENTA</v>
          </cell>
        </row>
        <row r="260">
          <cell r="S260">
            <v>30136320</v>
          </cell>
          <cell r="T260" t="str">
            <v>JUAN CARLOS DUHALDE</v>
          </cell>
          <cell r="U260" t="str">
            <v>PROTECCION APLICACIÓN MODELO USO SUST. EN PAISAJE CONSERV. CHILOÉ</v>
          </cell>
        </row>
        <row r="261">
          <cell r="S261">
            <v>40005399</v>
          </cell>
          <cell r="T261" t="str">
            <v>JUAN CARLOS DUHALDE</v>
          </cell>
          <cell r="U261" t="str">
            <v>TRANSFERENCIA CAPAC. Y TRANSF. EN EL USO EFICIENTE DE LA CALEFACCIÓN RESIDENCIAL EN OSORNO</v>
          </cell>
        </row>
        <row r="262">
          <cell r="S262">
            <v>40024244</v>
          </cell>
          <cell r="T262" t="str">
            <v>JUAN CARLOS DUHALDE</v>
          </cell>
          <cell r="U262" t="str">
            <v xml:space="preserve">TRANSFERENCIA PROGRAMA PARA RED AFC DE  CRIANCEROS DE TERNEROS LECHEROS   </v>
          </cell>
        </row>
        <row r="263">
          <cell r="S263">
            <v>40014466</v>
          </cell>
          <cell r="T263" t="str">
            <v>JUAN CARLOS DUHALDE</v>
          </cell>
          <cell r="U263" t="str">
            <v>CAPACITACION Y FOMENTO PARA FORTALECER EL RIEGO TECNIFICADO EN LA REGION DE LOS LAGOS</v>
          </cell>
        </row>
        <row r="264">
          <cell r="S264">
            <v>40029246</v>
          </cell>
          <cell r="T264" t="str">
            <v>JUAN CARLOS DUHALDE</v>
          </cell>
          <cell r="U264" t="str">
            <v>TRANSFERENCIA HABILITACION OFERTA DE SERVICIOS DE INTERNET DOMICILIARIO ULTIMA MILLA, REGION X</v>
          </cell>
        </row>
        <row r="265">
          <cell r="S265">
            <v>40037025</v>
          </cell>
          <cell r="T265" t="str">
            <v>JUAN CARLOS DUHALDE</v>
          </cell>
          <cell r="U265" t="str">
            <v>TRANSFERENCIA PARA EL FORTALECIMIENTO Y GESTION DE INICIATIVAS SOSTENIBLE</v>
          </cell>
        </row>
        <row r="266">
          <cell r="S266">
            <v>40044516</v>
          </cell>
          <cell r="T266" t="str">
            <v>JUAN CARLOS DUHALDE</v>
          </cell>
          <cell r="U266" t="str">
            <v>FORTALECIMIENTO CENTRO DE INNOVACIÓN REGIÓN DE LOS LAGOS</v>
          </cell>
        </row>
        <row r="267">
          <cell r="S267">
            <v>40044892</v>
          </cell>
          <cell r="T267" t="str">
            <v>JUAN CARLOS DUHALDE</v>
          </cell>
          <cell r="U267" t="str">
            <v>FORTALECER RECICLAJE Y ECONOMÍA CIRCULAR</v>
          </cell>
        </row>
        <row r="268">
          <cell r="S268">
            <v>40044894</v>
          </cell>
          <cell r="T268" t="str">
            <v>JUAN CARLOS DUHALDE</v>
          </cell>
          <cell r="U268" t="str">
            <v>RECUPERACIÓN PROGRAMA DE FERIAS</v>
          </cell>
        </row>
        <row r="269">
          <cell r="S269">
            <v>40046057</v>
          </cell>
          <cell r="T269" t="str">
            <v>JUAN CARLOS DUHALDE</v>
          </cell>
          <cell r="U269" t="str">
            <v xml:space="preserve">TRANSFERENCIA TURISMO RURAL REGIÓN DE LOS LAGOS </v>
          </cell>
        </row>
        <row r="270">
          <cell r="S270">
            <v>40046065</v>
          </cell>
          <cell r="T270" t="str">
            <v>JUAN CARLOS DUHALDE</v>
          </cell>
          <cell r="U270" t="str">
            <v>TRANSFERENCIA ACUICULTURA DE PEQUEÑA ESCALA REGIÓN DE LOS LAGOS</v>
          </cell>
        </row>
        <row r="271">
          <cell r="S271">
            <v>40044895</v>
          </cell>
          <cell r="T271" t="str">
            <v>JUAN CARLOS DUHALDE</v>
          </cell>
          <cell r="U271" t="str">
            <v>PROGRAMA FORTALECIMIENTO Y RECUPERACIÓN TURISMO</v>
          </cell>
        </row>
        <row r="272">
          <cell r="S272">
            <v>40056363</v>
          </cell>
          <cell r="T272" t="str">
            <v>JUAN CARLOS DUHALDE</v>
          </cell>
          <cell r="U272" t="str">
            <v>PROGRAMA DE PESQUISA, DIAGNOSTICO Y TRATAMIENTO DE CANCER DIGESTIVO EN LA PROVINCIA DE CHILOE</v>
          </cell>
        </row>
        <row r="273">
          <cell r="S273">
            <v>40055259</v>
          </cell>
          <cell r="T273" t="str">
            <v>JUAN CARLOS DUHALDE</v>
          </cell>
          <cell r="U273" t="str">
            <v>INCLUSION SOCIAL Y APOYO DE SALUD INTEGRAL PARA POBLACION DEL ESPECTRO AUTISTA</v>
          </cell>
        </row>
        <row r="274">
          <cell r="S274">
            <v>40057244</v>
          </cell>
          <cell r="T274" t="str">
            <v>JUAN CARLOS DUHALDE</v>
          </cell>
          <cell r="U274" t="str">
            <v>PROGRAMA DE FORTALECIMIENTO SALUD MENTAL PROVINCIA DE PALENA</v>
          </cell>
        </row>
        <row r="275">
          <cell r="S275">
            <v>40057736</v>
          </cell>
          <cell r="T275" t="str">
            <v>JUAN CARLOS DUHALDE</v>
          </cell>
          <cell r="U275" t="str">
            <v>PROGRAMA DE PROMOCION, PREVENCION Y DIAGNOSTICO PRECOZ DE CANCERES MAS PREVALENTES EN LAS MUJERES DE LA PROVINCIA DE OSORNO</v>
          </cell>
        </row>
        <row r="276">
          <cell r="S276">
            <v>40001626</v>
          </cell>
          <cell r="T276" t="str">
            <v>JUAN CARLOS DUHALDE</v>
          </cell>
          <cell r="U276" t="str">
            <v>PROGRAMA DE RESOLUCION DE ORTODONCIA EN NIÑOS, NIÑAS Y ADOLECENTES DE LA PROVINCIA DE OSORNO Y REGION DE LOS LAGOS COSTRUYENDO NUEVAS SONRISAS</v>
          </cell>
        </row>
        <row r="277">
          <cell r="S277">
            <v>40056811</v>
          </cell>
          <cell r="T277" t="str">
            <v>JUAN CARLOS DUHALDE</v>
          </cell>
          <cell r="U277" t="str">
            <v>CONTROL Y TRATAMIENTO PACIENTES ONCOLÓGICOS SERVICIO DE SALUD RELONCAVÍ</v>
          </cell>
        </row>
        <row r="278">
          <cell r="S278">
            <v>40057528</v>
          </cell>
          <cell r="T278" t="str">
            <v>JUAN CARLOS DUHALDE</v>
          </cell>
          <cell r="U278" t="str">
            <v>PROGRAMA CONTROL DE PACIENTES DE LA PROVINCIA DE PALENA CON DISCAPACIDAD, MEDIANTE REHABILITACIÓN INTEGRAL</v>
          </cell>
        </row>
        <row r="279">
          <cell r="S279">
            <v>40057611</v>
          </cell>
          <cell r="T279" t="str">
            <v>JUAN CARLOS DUHALDE</v>
          </cell>
          <cell r="U279" t="str">
            <v>TRANSFERENCIA SERVICIO DE REFERENCIA ONCOLÓGICA DE CHILOÉ</v>
          </cell>
        </row>
        <row r="280">
          <cell r="S280">
            <v>40057162</v>
          </cell>
          <cell r="T280" t="str">
            <v>JUAN CARLOS DUHALDE</v>
          </cell>
          <cell r="U280" t="str">
            <v>CAPACITACION FOMENTO PRODUCTIVO FORRAJERO PARA BOVINOS DE CARNE DE LA PROVINCIA DE PALENA</v>
          </cell>
        </row>
        <row r="281">
          <cell r="S281">
            <v>40057135</v>
          </cell>
          <cell r="T281" t="str">
            <v>JUAN CARLOS DUHALDE</v>
          </cell>
          <cell r="U281" t="str">
            <v>TRANSFERENCIA RECUPER Y FORTALECIM DEL MANEJO SUSTENTABLE DE SUELOS PARA COM INDIG PROV OSORNO</v>
          </cell>
        </row>
        <row r="282">
          <cell r="S282">
            <v>40057165</v>
          </cell>
          <cell r="T282" t="str">
            <v>JUAN CARLOS DUHALDE</v>
          </cell>
          <cell r="U282" t="str">
            <v>CAPACITACION RECUP, CONSERV Y MEJOR DE SUELOS EN TERRITORIOS INDÍG PROV LLANQ CHILOE Y PALENA</v>
          </cell>
        </row>
        <row r="283">
          <cell r="S283">
            <v>40057256</v>
          </cell>
          <cell r="T283" t="str">
            <v>JUAN CARLOS DUHALDE</v>
          </cell>
          <cell r="U283" t="str">
            <v>TRANSFERENCIA CAP E INV SILVOAGROP PARA TECNIFIC Y REACTIV ECON DE CAMP, REGION LOS LAGOS</v>
          </cell>
        </row>
        <row r="284">
          <cell r="S284">
            <v>40063557</v>
          </cell>
          <cell r="T284" t="str">
            <v>JUAN CARLOS DUHALDE</v>
          </cell>
          <cell r="U284" t="str">
            <v>TRANSFERENCIA PROGRAMA TRANSFERENCIA PESCA ARTESANAL REGIÓN DE LOS LAGOS</v>
          </cell>
        </row>
        <row r="285">
          <cell r="S285">
            <v>40064817</v>
          </cell>
          <cell r="T285" t="str">
            <v>JUAN CARLOS DUHALDE</v>
          </cell>
          <cell r="U285" t="str">
            <v>TRANSFERENCIA PROMOCIÓN TURÍSTICA</v>
          </cell>
        </row>
        <row r="286">
          <cell r="S286">
            <v>40057681</v>
          </cell>
          <cell r="T286" t="str">
            <v>JUAN CARLOS DUHALDE</v>
          </cell>
          <cell r="U286" t="str">
            <v>TRANSFERENCIA SERVICIO DE TRANSPORTE PÚBLICO MEDIANTE BUSES ELECTRICOS EN PUERTO VARAS</v>
          </cell>
        </row>
        <row r="287">
          <cell r="S287">
            <v>40057182</v>
          </cell>
          <cell r="T287" t="str">
            <v>JUAN CARLOS DUHALDE</v>
          </cell>
          <cell r="U287" t="str">
            <v>TRANSFERENCIA EMPRENDIMIENTOS COOPERATIVO LOS LAGOS</v>
          </cell>
        </row>
        <row r="288">
          <cell r="S288">
            <v>40017797</v>
          </cell>
          <cell r="T288" t="str">
            <v>JUAN CARLOS DUHALDE</v>
          </cell>
          <cell r="U288" t="str">
            <v>TRANSFERENCIA PEQUEÑA Y MICROEMPRESA EN ECONOMÍA CIRCULAR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DATOS_PREINVERSION"/>
      <sheetName val="Terminan (Borrar)"/>
      <sheetName val="Dominio campos"/>
    </sheetNames>
    <sheetDataSet>
      <sheetData sheetId="0"/>
      <sheetData sheetId="1">
        <row r="3">
          <cell r="O3">
            <v>40073466</v>
          </cell>
          <cell r="P3" t="str">
            <v>BIP</v>
          </cell>
          <cell r="Q3" t="str">
            <v>RS-GORE</v>
          </cell>
          <cell r="R3"/>
        </row>
        <row r="4">
          <cell r="O4">
            <v>30430874</v>
          </cell>
          <cell r="P4" t="str">
            <v>BIP</v>
          </cell>
          <cell r="Q4" t="str">
            <v>Sin Rate</v>
          </cell>
          <cell r="R4"/>
        </row>
        <row r="5">
          <cell r="O5">
            <v>40055194</v>
          </cell>
          <cell r="P5" t="str">
            <v>BIP</v>
          </cell>
          <cell r="Q5" t="str">
            <v>RS-GORE</v>
          </cell>
          <cell r="R5"/>
        </row>
        <row r="6">
          <cell r="O6">
            <v>40058442</v>
          </cell>
          <cell r="P6" t="str">
            <v>BIP</v>
          </cell>
          <cell r="Q6" t="str">
            <v>RS-GORE</v>
          </cell>
          <cell r="R6"/>
        </row>
        <row r="7">
          <cell r="O7">
            <v>40055362</v>
          </cell>
          <cell r="P7" t="str">
            <v>BIP</v>
          </cell>
          <cell r="Q7" t="str">
            <v>RS-GORE</v>
          </cell>
          <cell r="R7"/>
        </row>
        <row r="8">
          <cell r="O8">
            <v>40073955</v>
          </cell>
          <cell r="P8" t="str">
            <v>BIP</v>
          </cell>
          <cell r="Q8" t="str">
            <v>RS-GORE</v>
          </cell>
          <cell r="R8"/>
        </row>
        <row r="9">
          <cell r="O9">
            <v>40007939</v>
          </cell>
          <cell r="P9" t="str">
            <v>BIP</v>
          </cell>
          <cell r="Q9" t="str">
            <v>RS-GORE</v>
          </cell>
          <cell r="R9"/>
        </row>
        <row r="10">
          <cell r="O10">
            <v>40042999</v>
          </cell>
          <cell r="P10" t="str">
            <v>BIP</v>
          </cell>
          <cell r="Q10" t="str">
            <v>RS-GORE</v>
          </cell>
          <cell r="R10"/>
        </row>
        <row r="11">
          <cell r="O11">
            <v>40046863</v>
          </cell>
          <cell r="P11" t="str">
            <v>BIP</v>
          </cell>
          <cell r="Q11" t="str">
            <v>RS-GORE</v>
          </cell>
          <cell r="R11"/>
        </row>
        <row r="12">
          <cell r="O12">
            <v>40058065</v>
          </cell>
          <cell r="P12" t="str">
            <v>BIP</v>
          </cell>
          <cell r="Q12" t="str">
            <v>RS-GORE</v>
          </cell>
          <cell r="R12"/>
        </row>
        <row r="13">
          <cell r="O13">
            <v>40061816</v>
          </cell>
          <cell r="P13" t="str">
            <v>BIP</v>
          </cell>
          <cell r="Q13" t="str">
            <v>RS-GORE</v>
          </cell>
          <cell r="R13"/>
        </row>
        <row r="14">
          <cell r="O14">
            <v>40065407</v>
          </cell>
          <cell r="P14" t="str">
            <v>BIP</v>
          </cell>
          <cell r="Q14" t="str">
            <v>RS-GORE</v>
          </cell>
          <cell r="R14"/>
        </row>
        <row r="15">
          <cell r="O15">
            <v>40072933</v>
          </cell>
          <cell r="P15" t="str">
            <v>BIP</v>
          </cell>
          <cell r="Q15" t="str">
            <v>RS-GORE</v>
          </cell>
          <cell r="R15"/>
        </row>
        <row r="16">
          <cell r="O16">
            <v>40019376</v>
          </cell>
          <cell r="P16" t="str">
            <v>BIP</v>
          </cell>
          <cell r="Q16" t="str">
            <v>RS</v>
          </cell>
          <cell r="R16"/>
        </row>
        <row r="17">
          <cell r="O17">
            <v>40032367</v>
          </cell>
          <cell r="P17" t="str">
            <v>BIP</v>
          </cell>
          <cell r="Q17" t="str">
            <v>RS</v>
          </cell>
          <cell r="R17"/>
        </row>
        <row r="18">
          <cell r="O18">
            <v>20086686</v>
          </cell>
          <cell r="P18" t="str">
            <v>BIP</v>
          </cell>
          <cell r="Q18" t="str">
            <v>RS</v>
          </cell>
          <cell r="R18"/>
        </row>
        <row r="19">
          <cell r="O19">
            <v>20140221</v>
          </cell>
          <cell r="P19" t="str">
            <v>BIP</v>
          </cell>
          <cell r="Q19" t="str">
            <v>RS</v>
          </cell>
          <cell r="R19"/>
        </row>
        <row r="20">
          <cell r="O20">
            <v>20181416</v>
          </cell>
          <cell r="P20" t="str">
            <v>BIP</v>
          </cell>
          <cell r="Q20" t="str">
            <v>RS</v>
          </cell>
          <cell r="R20"/>
        </row>
        <row r="21">
          <cell r="O21">
            <v>20195455</v>
          </cell>
          <cell r="P21" t="str">
            <v>BIP</v>
          </cell>
          <cell r="Q21" t="str">
            <v>RS</v>
          </cell>
          <cell r="R21"/>
        </row>
        <row r="22">
          <cell r="O22">
            <v>30034826</v>
          </cell>
          <cell r="P22" t="str">
            <v>BIP</v>
          </cell>
          <cell r="Q22" t="str">
            <v>RS</v>
          </cell>
          <cell r="R22"/>
        </row>
        <row r="23">
          <cell r="O23">
            <v>30042613</v>
          </cell>
          <cell r="P23" t="str">
            <v>BIP</v>
          </cell>
          <cell r="Q23" t="str">
            <v>RS</v>
          </cell>
          <cell r="R23"/>
        </row>
        <row r="24">
          <cell r="O24">
            <v>30064230</v>
          </cell>
          <cell r="P24" t="str">
            <v>BIP</v>
          </cell>
          <cell r="Q24" t="str">
            <v>RS</v>
          </cell>
          <cell r="R24"/>
        </row>
        <row r="25">
          <cell r="O25">
            <v>30068433</v>
          </cell>
          <cell r="P25" t="str">
            <v>BIP</v>
          </cell>
          <cell r="Q25" t="str">
            <v>RS</v>
          </cell>
          <cell r="R25"/>
        </row>
        <row r="26">
          <cell r="O26">
            <v>30069919</v>
          </cell>
          <cell r="P26" t="str">
            <v>BIP</v>
          </cell>
          <cell r="Q26" t="str">
            <v>RS</v>
          </cell>
          <cell r="R26"/>
        </row>
        <row r="27">
          <cell r="O27">
            <v>30070314</v>
          </cell>
          <cell r="P27" t="str">
            <v>BIP</v>
          </cell>
          <cell r="Q27" t="str">
            <v>RS</v>
          </cell>
          <cell r="R27"/>
        </row>
        <row r="28">
          <cell r="O28">
            <v>30070862</v>
          </cell>
          <cell r="P28" t="str">
            <v>BIP</v>
          </cell>
          <cell r="Q28" t="str">
            <v>RS</v>
          </cell>
          <cell r="R28"/>
        </row>
        <row r="29">
          <cell r="O29">
            <v>30071878</v>
          </cell>
          <cell r="P29" t="str">
            <v>BIP</v>
          </cell>
          <cell r="Q29" t="str">
            <v>RS</v>
          </cell>
          <cell r="R29"/>
        </row>
        <row r="30">
          <cell r="O30">
            <v>1</v>
          </cell>
          <cell r="P30" t="str">
            <v>OTRO</v>
          </cell>
          <cell r="Q30" t="str">
            <v>Sin Rate</v>
          </cell>
          <cell r="R30"/>
        </row>
        <row r="31">
          <cell r="O31">
            <v>2</v>
          </cell>
          <cell r="P31" t="str">
            <v>OTRO</v>
          </cell>
          <cell r="Q31" t="str">
            <v>Sin Rate</v>
          </cell>
          <cell r="R31"/>
        </row>
        <row r="32">
          <cell r="O32">
            <v>3</v>
          </cell>
          <cell r="P32" t="str">
            <v>OTRO</v>
          </cell>
          <cell r="Q32" t="str">
            <v>Sin Rate</v>
          </cell>
          <cell r="R32"/>
        </row>
        <row r="33">
          <cell r="O33">
            <v>4</v>
          </cell>
          <cell r="P33" t="str">
            <v>OTRO</v>
          </cell>
          <cell r="Q33" t="str">
            <v>Sin Rate</v>
          </cell>
          <cell r="R33"/>
        </row>
        <row r="34">
          <cell r="O34">
            <v>5</v>
          </cell>
          <cell r="P34" t="str">
            <v>OTRO</v>
          </cell>
          <cell r="Q34" t="str">
            <v>Sin Rate</v>
          </cell>
          <cell r="R34"/>
        </row>
        <row r="35">
          <cell r="O35">
            <v>6</v>
          </cell>
          <cell r="P35" t="str">
            <v>OTRO</v>
          </cell>
          <cell r="Q35" t="str">
            <v>Sin Rate</v>
          </cell>
          <cell r="R35"/>
        </row>
        <row r="36">
          <cell r="O36">
            <v>7</v>
          </cell>
          <cell r="P36" t="str">
            <v>OTRO</v>
          </cell>
          <cell r="Q36" t="str">
            <v>Sin Rate</v>
          </cell>
          <cell r="R36"/>
        </row>
        <row r="37">
          <cell r="O37">
            <v>8</v>
          </cell>
          <cell r="P37" t="str">
            <v>OTRO</v>
          </cell>
          <cell r="Q37" t="str">
            <v>Sin Rate</v>
          </cell>
          <cell r="R37"/>
        </row>
        <row r="38">
          <cell r="O38">
            <v>9</v>
          </cell>
          <cell r="P38" t="str">
            <v>OTRO</v>
          </cell>
          <cell r="Q38" t="str">
            <v>Sin Rate</v>
          </cell>
          <cell r="R38"/>
        </row>
        <row r="39">
          <cell r="O39">
            <v>10</v>
          </cell>
          <cell r="P39" t="str">
            <v>OTRO</v>
          </cell>
          <cell r="Q39" t="str">
            <v>Sin Rate</v>
          </cell>
          <cell r="R39"/>
        </row>
        <row r="40">
          <cell r="O40">
            <v>30072730</v>
          </cell>
          <cell r="P40" t="str">
            <v>BIP</v>
          </cell>
          <cell r="Q40" t="str">
            <v>RS</v>
          </cell>
          <cell r="R40"/>
        </row>
        <row r="41">
          <cell r="O41">
            <v>30076949</v>
          </cell>
          <cell r="P41" t="str">
            <v>BIP</v>
          </cell>
          <cell r="Q41" t="str">
            <v>RS</v>
          </cell>
          <cell r="R41"/>
        </row>
        <row r="42">
          <cell r="O42">
            <v>30077481</v>
          </cell>
          <cell r="P42" t="str">
            <v>BIP</v>
          </cell>
          <cell r="Q42" t="str">
            <v>RS</v>
          </cell>
          <cell r="R42"/>
        </row>
        <row r="43">
          <cell r="O43">
            <v>30077932</v>
          </cell>
          <cell r="P43" t="str">
            <v>BIP</v>
          </cell>
          <cell r="Q43" t="str">
            <v>RS</v>
          </cell>
          <cell r="R43"/>
        </row>
        <row r="44">
          <cell r="O44">
            <v>30080921</v>
          </cell>
          <cell r="P44" t="str">
            <v>BIP</v>
          </cell>
          <cell r="Q44" t="str">
            <v>RS</v>
          </cell>
          <cell r="R44"/>
        </row>
        <row r="45">
          <cell r="O45">
            <v>30080922</v>
          </cell>
          <cell r="P45" t="str">
            <v>BIP</v>
          </cell>
          <cell r="Q45" t="str">
            <v>RS</v>
          </cell>
          <cell r="R45"/>
        </row>
        <row r="46">
          <cell r="O46">
            <v>30085125</v>
          </cell>
          <cell r="P46" t="str">
            <v>BIP</v>
          </cell>
          <cell r="Q46" t="str">
            <v>RS</v>
          </cell>
          <cell r="R46"/>
        </row>
        <row r="47">
          <cell r="O47">
            <v>30087304</v>
          </cell>
          <cell r="P47" t="str">
            <v>BIP</v>
          </cell>
          <cell r="Q47" t="str">
            <v>RS</v>
          </cell>
          <cell r="R47"/>
        </row>
        <row r="48">
          <cell r="O48">
            <v>30091074</v>
          </cell>
          <cell r="P48" t="str">
            <v>BIP</v>
          </cell>
          <cell r="Q48" t="str">
            <v>RS</v>
          </cell>
          <cell r="R48"/>
        </row>
        <row r="49">
          <cell r="O49">
            <v>30093353</v>
          </cell>
          <cell r="P49" t="str">
            <v>BIP</v>
          </cell>
          <cell r="Q49" t="str">
            <v>RS</v>
          </cell>
          <cell r="R49"/>
        </row>
        <row r="50">
          <cell r="O50">
            <v>30097977</v>
          </cell>
          <cell r="P50" t="str">
            <v>BIP</v>
          </cell>
          <cell r="Q50" t="str">
            <v>RS</v>
          </cell>
          <cell r="R50"/>
        </row>
        <row r="51">
          <cell r="O51">
            <v>30106468</v>
          </cell>
          <cell r="P51" t="str">
            <v>BIP</v>
          </cell>
          <cell r="Q51" t="str">
            <v>RS</v>
          </cell>
          <cell r="R51"/>
        </row>
        <row r="52">
          <cell r="O52">
            <v>30115395</v>
          </cell>
          <cell r="P52" t="str">
            <v>BIP</v>
          </cell>
          <cell r="Q52" t="str">
            <v>RS</v>
          </cell>
          <cell r="R52"/>
        </row>
        <row r="53">
          <cell r="O53">
            <v>30126943</v>
          </cell>
          <cell r="P53" t="str">
            <v>BIP</v>
          </cell>
          <cell r="Q53" t="str">
            <v>RS</v>
          </cell>
          <cell r="R53"/>
        </row>
        <row r="54">
          <cell r="O54">
            <v>30129873</v>
          </cell>
          <cell r="P54" t="str">
            <v>BIP</v>
          </cell>
          <cell r="Q54" t="str">
            <v>RS</v>
          </cell>
          <cell r="R54"/>
        </row>
        <row r="55">
          <cell r="O55">
            <v>30129886</v>
          </cell>
          <cell r="P55" t="str">
            <v>BIP</v>
          </cell>
          <cell r="Q55" t="str">
            <v>RS</v>
          </cell>
          <cell r="R55"/>
        </row>
        <row r="56">
          <cell r="O56">
            <v>30129912</v>
          </cell>
          <cell r="P56" t="str">
            <v>BIP</v>
          </cell>
          <cell r="Q56" t="str">
            <v>RS</v>
          </cell>
          <cell r="R56"/>
        </row>
        <row r="57">
          <cell r="O57">
            <v>30134574</v>
          </cell>
          <cell r="P57" t="str">
            <v>BIP</v>
          </cell>
          <cell r="Q57" t="str">
            <v>RS</v>
          </cell>
          <cell r="R57"/>
        </row>
        <row r="58">
          <cell r="O58">
            <v>30134714</v>
          </cell>
          <cell r="P58" t="str">
            <v>BIP</v>
          </cell>
          <cell r="Q58" t="str">
            <v>RS</v>
          </cell>
          <cell r="R58"/>
        </row>
        <row r="59">
          <cell r="O59">
            <v>30135967</v>
          </cell>
          <cell r="P59" t="str">
            <v>BIP</v>
          </cell>
          <cell r="Q59" t="str">
            <v>RS</v>
          </cell>
          <cell r="R59"/>
        </row>
        <row r="60">
          <cell r="O60">
            <v>30171924</v>
          </cell>
          <cell r="P60" t="str">
            <v>BIP</v>
          </cell>
          <cell r="Q60" t="str">
            <v>RS</v>
          </cell>
          <cell r="R60"/>
        </row>
        <row r="61">
          <cell r="O61">
            <v>30257472</v>
          </cell>
          <cell r="P61" t="str">
            <v>BIP</v>
          </cell>
          <cell r="Q61" t="str">
            <v>RS</v>
          </cell>
          <cell r="R61"/>
        </row>
        <row r="62">
          <cell r="O62">
            <v>30270222</v>
          </cell>
          <cell r="P62" t="str">
            <v>BIP</v>
          </cell>
          <cell r="Q62" t="str">
            <v>RS</v>
          </cell>
          <cell r="R62"/>
        </row>
        <row r="63">
          <cell r="O63">
            <v>30282773</v>
          </cell>
          <cell r="P63" t="str">
            <v>BIP</v>
          </cell>
          <cell r="Q63" t="str">
            <v>RS</v>
          </cell>
          <cell r="R63"/>
        </row>
        <row r="64">
          <cell r="O64">
            <v>30352430</v>
          </cell>
          <cell r="P64" t="str">
            <v>BIP</v>
          </cell>
          <cell r="Q64" t="str">
            <v>RS</v>
          </cell>
          <cell r="R64"/>
        </row>
        <row r="65">
          <cell r="O65">
            <v>30381175</v>
          </cell>
          <cell r="P65" t="str">
            <v>BIP</v>
          </cell>
          <cell r="Q65" t="str">
            <v>RS</v>
          </cell>
          <cell r="R65"/>
        </row>
        <row r="66">
          <cell r="O66">
            <v>30395422</v>
          </cell>
          <cell r="P66" t="str">
            <v>BIP</v>
          </cell>
          <cell r="Q66" t="str">
            <v>RS</v>
          </cell>
          <cell r="R66"/>
        </row>
        <row r="67">
          <cell r="O67">
            <v>30397627</v>
          </cell>
          <cell r="P67" t="str">
            <v>BIP</v>
          </cell>
          <cell r="Q67" t="str">
            <v>RS</v>
          </cell>
          <cell r="R67"/>
        </row>
        <row r="68">
          <cell r="O68">
            <v>30399945</v>
          </cell>
          <cell r="P68" t="str">
            <v>BIP</v>
          </cell>
          <cell r="Q68" t="str">
            <v>RS</v>
          </cell>
          <cell r="R68"/>
        </row>
        <row r="69">
          <cell r="O69">
            <v>30435722</v>
          </cell>
          <cell r="P69" t="str">
            <v>BIP</v>
          </cell>
          <cell r="Q69" t="str">
            <v>RS</v>
          </cell>
          <cell r="R69"/>
        </row>
        <row r="70">
          <cell r="O70">
            <v>30484959</v>
          </cell>
          <cell r="P70" t="str">
            <v>BIP</v>
          </cell>
          <cell r="Q70" t="str">
            <v>RS-GORE</v>
          </cell>
          <cell r="R70"/>
        </row>
        <row r="71">
          <cell r="O71">
            <v>30485133</v>
          </cell>
          <cell r="P71" t="str">
            <v>BIP</v>
          </cell>
          <cell r="Q71" t="str">
            <v>RE</v>
          </cell>
          <cell r="R71"/>
        </row>
        <row r="72">
          <cell r="O72">
            <v>30485157</v>
          </cell>
          <cell r="P72" t="str">
            <v>BIP</v>
          </cell>
          <cell r="Q72" t="str">
            <v>RS</v>
          </cell>
          <cell r="R72"/>
        </row>
        <row r="73">
          <cell r="O73">
            <v>30488426</v>
          </cell>
          <cell r="P73" t="str">
            <v>BIP</v>
          </cell>
          <cell r="Q73" t="str">
            <v>RS</v>
          </cell>
          <cell r="R73"/>
        </row>
        <row r="74">
          <cell r="O74">
            <v>40000178</v>
          </cell>
          <cell r="P74" t="str">
            <v>BIP</v>
          </cell>
          <cell r="Q74" t="str">
            <v>RS</v>
          </cell>
          <cell r="R74"/>
        </row>
        <row r="75">
          <cell r="O75">
            <v>40001662</v>
          </cell>
          <cell r="P75" t="str">
            <v>BIP</v>
          </cell>
          <cell r="Q75" t="str">
            <v>RS</v>
          </cell>
          <cell r="R75"/>
        </row>
        <row r="76">
          <cell r="O76">
            <v>40002386</v>
          </cell>
          <cell r="P76" t="str">
            <v>BIP</v>
          </cell>
          <cell r="Q76" t="str">
            <v>RS</v>
          </cell>
          <cell r="R76"/>
        </row>
        <row r="77">
          <cell r="O77">
            <v>40003812</v>
          </cell>
          <cell r="P77" t="str">
            <v>BIP</v>
          </cell>
          <cell r="Q77" t="str">
            <v>RS-GORE</v>
          </cell>
          <cell r="R77"/>
        </row>
        <row r="78">
          <cell r="O78">
            <v>40004341</v>
          </cell>
          <cell r="P78" t="str">
            <v>BIP</v>
          </cell>
          <cell r="Q78" t="str">
            <v>RS</v>
          </cell>
          <cell r="R78"/>
        </row>
        <row r="79">
          <cell r="O79">
            <v>40005337</v>
          </cell>
          <cell r="P79" t="str">
            <v>BIP</v>
          </cell>
          <cell r="Q79" t="str">
            <v>RS</v>
          </cell>
          <cell r="R79"/>
        </row>
        <row r="80">
          <cell r="O80">
            <v>40005528</v>
          </cell>
          <cell r="P80" t="str">
            <v>BIP</v>
          </cell>
          <cell r="Q80" t="str">
            <v>RS-GORE</v>
          </cell>
          <cell r="R80"/>
        </row>
        <row r="81">
          <cell r="O81">
            <v>40005745</v>
          </cell>
          <cell r="P81" t="str">
            <v>BIP</v>
          </cell>
          <cell r="Q81" t="str">
            <v>RS</v>
          </cell>
          <cell r="R81"/>
        </row>
        <row r="82">
          <cell r="O82">
            <v>40005800</v>
          </cell>
          <cell r="P82" t="str">
            <v>BIP</v>
          </cell>
          <cell r="Q82" t="str">
            <v>RS</v>
          </cell>
          <cell r="R82"/>
        </row>
        <row r="83">
          <cell r="O83">
            <v>40007573</v>
          </cell>
          <cell r="P83" t="str">
            <v>BIP</v>
          </cell>
          <cell r="Q83" t="str">
            <v>OT</v>
          </cell>
          <cell r="R83"/>
        </row>
        <row r="84">
          <cell r="O84">
            <v>40007928</v>
          </cell>
          <cell r="P84" t="str">
            <v>BIP</v>
          </cell>
          <cell r="Q84" t="str">
            <v>RS</v>
          </cell>
          <cell r="R84"/>
        </row>
        <row r="85">
          <cell r="O85">
            <v>40008322</v>
          </cell>
          <cell r="P85" t="str">
            <v>BIP</v>
          </cell>
          <cell r="Q85" t="str">
            <v>RS</v>
          </cell>
          <cell r="R85"/>
        </row>
        <row r="86">
          <cell r="O86">
            <v>40013031</v>
          </cell>
          <cell r="P86" t="str">
            <v>BIP</v>
          </cell>
          <cell r="Q86" t="str">
            <v>RS</v>
          </cell>
          <cell r="R86"/>
        </row>
        <row r="87">
          <cell r="O87">
            <v>40013103</v>
          </cell>
          <cell r="P87" t="str">
            <v>BIP</v>
          </cell>
          <cell r="Q87" t="str">
            <v>RS</v>
          </cell>
          <cell r="R87"/>
        </row>
        <row r="88">
          <cell r="O88">
            <v>40013412</v>
          </cell>
          <cell r="P88" t="str">
            <v>BIP</v>
          </cell>
          <cell r="Q88" t="str">
            <v>RS</v>
          </cell>
          <cell r="R88"/>
        </row>
        <row r="89">
          <cell r="O89">
            <v>40013816</v>
          </cell>
          <cell r="P89" t="str">
            <v>BIP</v>
          </cell>
          <cell r="Q89" t="str">
            <v>RS-GORE</v>
          </cell>
          <cell r="R89"/>
        </row>
        <row r="90">
          <cell r="O90">
            <v>40014527</v>
          </cell>
          <cell r="P90" t="str">
            <v>BIP</v>
          </cell>
          <cell r="Q90" t="str">
            <v>RS</v>
          </cell>
          <cell r="R90"/>
        </row>
        <row r="91">
          <cell r="O91">
            <v>40015396</v>
          </cell>
          <cell r="P91" t="str">
            <v>BIP</v>
          </cell>
          <cell r="Q91" t="str">
            <v>RS</v>
          </cell>
          <cell r="R91"/>
        </row>
        <row r="92">
          <cell r="O92">
            <v>40015528</v>
          </cell>
          <cell r="P92" t="str">
            <v>BIP</v>
          </cell>
          <cell r="Q92" t="str">
            <v>RS</v>
          </cell>
          <cell r="R92"/>
        </row>
        <row r="93">
          <cell r="O93">
            <v>40018868</v>
          </cell>
          <cell r="P93" t="str">
            <v>BIP</v>
          </cell>
          <cell r="Q93" t="str">
            <v>RS</v>
          </cell>
          <cell r="R93"/>
        </row>
        <row r="94">
          <cell r="O94">
            <v>40019209</v>
          </cell>
          <cell r="P94" t="str">
            <v>BIP</v>
          </cell>
          <cell r="Q94" t="str">
            <v>RS</v>
          </cell>
          <cell r="R94"/>
        </row>
        <row r="95">
          <cell r="O95">
            <v>40019874</v>
          </cell>
          <cell r="P95" t="str">
            <v>BIP</v>
          </cell>
          <cell r="Q95" t="str">
            <v>RS</v>
          </cell>
          <cell r="R95"/>
        </row>
        <row r="96">
          <cell r="O96">
            <v>40019999</v>
          </cell>
          <cell r="P96" t="str">
            <v>BIP</v>
          </cell>
          <cell r="Q96" t="str">
            <v>RS</v>
          </cell>
          <cell r="R96"/>
        </row>
        <row r="97">
          <cell r="O97">
            <v>40024945</v>
          </cell>
          <cell r="P97" t="str">
            <v>BIP</v>
          </cell>
          <cell r="Q97" t="str">
            <v>RS</v>
          </cell>
          <cell r="R97"/>
        </row>
        <row r="98">
          <cell r="O98">
            <v>40025466</v>
          </cell>
          <cell r="P98" t="str">
            <v>BIP</v>
          </cell>
          <cell r="Q98" t="str">
            <v>RS</v>
          </cell>
          <cell r="R98"/>
        </row>
        <row r="99">
          <cell r="O99">
            <v>40025619</v>
          </cell>
          <cell r="P99" t="str">
            <v>BIP</v>
          </cell>
          <cell r="Q99" t="str">
            <v>RS</v>
          </cell>
          <cell r="R99"/>
        </row>
        <row r="100">
          <cell r="O100">
            <v>40026493</v>
          </cell>
          <cell r="P100" t="str">
            <v>BIP</v>
          </cell>
          <cell r="Q100" t="str">
            <v>RS</v>
          </cell>
          <cell r="R100"/>
        </row>
        <row r="101">
          <cell r="O101">
            <v>40028442</v>
          </cell>
          <cell r="P101" t="str">
            <v>BIP</v>
          </cell>
          <cell r="Q101" t="str">
            <v>RS</v>
          </cell>
          <cell r="R101"/>
        </row>
        <row r="102">
          <cell r="O102">
            <v>40030820</v>
          </cell>
          <cell r="P102" t="str">
            <v>BIP</v>
          </cell>
          <cell r="Q102" t="str">
            <v>RS</v>
          </cell>
          <cell r="R102"/>
        </row>
        <row r="103">
          <cell r="O103">
            <v>40031425</v>
          </cell>
          <cell r="P103" t="str">
            <v>BIP</v>
          </cell>
          <cell r="Q103" t="str">
            <v>RS</v>
          </cell>
          <cell r="R103"/>
        </row>
        <row r="104">
          <cell r="O104">
            <v>40032097</v>
          </cell>
          <cell r="P104" t="str">
            <v>BIP</v>
          </cell>
          <cell r="Q104" t="str">
            <v>RS</v>
          </cell>
          <cell r="R104"/>
        </row>
        <row r="105">
          <cell r="O105">
            <v>40033259</v>
          </cell>
          <cell r="P105" t="str">
            <v>BIP</v>
          </cell>
          <cell r="Q105" t="str">
            <v>RS</v>
          </cell>
          <cell r="R105"/>
        </row>
        <row r="106">
          <cell r="O106">
            <v>40033589</v>
          </cell>
          <cell r="P106" t="str">
            <v>BIP</v>
          </cell>
          <cell r="Q106" t="str">
            <v>RS</v>
          </cell>
          <cell r="R106"/>
        </row>
        <row r="107">
          <cell r="O107">
            <v>40039350</v>
          </cell>
          <cell r="P107" t="str">
            <v>BIP</v>
          </cell>
          <cell r="Q107" t="str">
            <v>Sin Rate</v>
          </cell>
          <cell r="R107"/>
        </row>
        <row r="108">
          <cell r="O108">
            <v>40040291</v>
          </cell>
          <cell r="P108" t="str">
            <v>BIP</v>
          </cell>
          <cell r="Q108" t="str">
            <v>RS</v>
          </cell>
          <cell r="R108"/>
        </row>
        <row r="109">
          <cell r="O109">
            <v>40041382</v>
          </cell>
          <cell r="P109" t="str">
            <v>BIP</v>
          </cell>
          <cell r="Q109" t="str">
            <v>RS</v>
          </cell>
          <cell r="R109"/>
        </row>
        <row r="110">
          <cell r="O110">
            <v>40041629</v>
          </cell>
          <cell r="P110" t="str">
            <v>BIP</v>
          </cell>
          <cell r="Q110" t="str">
            <v>RS</v>
          </cell>
          <cell r="R110"/>
        </row>
        <row r="111">
          <cell r="O111">
            <v>40041636</v>
          </cell>
          <cell r="P111" t="str">
            <v>BIP</v>
          </cell>
          <cell r="Q111" t="str">
            <v>RS</v>
          </cell>
          <cell r="R111"/>
        </row>
        <row r="112">
          <cell r="O112">
            <v>30342673</v>
          </cell>
          <cell r="P112" t="str">
            <v>BIP</v>
          </cell>
          <cell r="Q112" t="str">
            <v>RS</v>
          </cell>
          <cell r="R112"/>
        </row>
        <row r="113">
          <cell r="O113">
            <v>30384677</v>
          </cell>
          <cell r="P113" t="str">
            <v>BIP</v>
          </cell>
          <cell r="Q113" t="str">
            <v>RS</v>
          </cell>
          <cell r="R113"/>
        </row>
        <row r="114">
          <cell r="O114">
            <v>30060589</v>
          </cell>
          <cell r="P114" t="str">
            <v>BIP</v>
          </cell>
          <cell r="Q114" t="str">
            <v>RS</v>
          </cell>
          <cell r="R114"/>
        </row>
        <row r="115">
          <cell r="O115">
            <v>40042493</v>
          </cell>
          <cell r="P115" t="str">
            <v>BIP</v>
          </cell>
          <cell r="Q115" t="str">
            <v>RS</v>
          </cell>
          <cell r="R115"/>
        </row>
        <row r="116">
          <cell r="O116">
            <v>40045547</v>
          </cell>
          <cell r="P116" t="str">
            <v>BIP</v>
          </cell>
          <cell r="Q116" t="str">
            <v>RS</v>
          </cell>
          <cell r="R116"/>
        </row>
        <row r="117">
          <cell r="O117">
            <v>40047721</v>
          </cell>
          <cell r="P117" t="str">
            <v>BIP</v>
          </cell>
          <cell r="Q117" t="str">
            <v>RS</v>
          </cell>
          <cell r="R117"/>
        </row>
        <row r="118">
          <cell r="O118">
            <v>40047836</v>
          </cell>
          <cell r="P118" t="str">
            <v>BIP</v>
          </cell>
          <cell r="Q118" t="str">
            <v>RS</v>
          </cell>
          <cell r="R118"/>
        </row>
        <row r="119">
          <cell r="O119">
            <v>40048286</v>
          </cell>
          <cell r="P119" t="str">
            <v>BIP</v>
          </cell>
          <cell r="Q119" t="str">
            <v>RS</v>
          </cell>
          <cell r="R119"/>
        </row>
        <row r="120">
          <cell r="O120">
            <v>40048761</v>
          </cell>
          <cell r="P120" t="str">
            <v>BIP</v>
          </cell>
          <cell r="Q120" t="str">
            <v>RS</v>
          </cell>
          <cell r="R120"/>
        </row>
        <row r="121">
          <cell r="O121">
            <v>40049194</v>
          </cell>
          <cell r="P121" t="str">
            <v>BIP</v>
          </cell>
          <cell r="Q121" t="str">
            <v>RS</v>
          </cell>
          <cell r="R121"/>
        </row>
        <row r="122">
          <cell r="O122">
            <v>40051701</v>
          </cell>
          <cell r="P122" t="str">
            <v>BIP</v>
          </cell>
          <cell r="Q122" t="str">
            <v>RS</v>
          </cell>
          <cell r="R122"/>
        </row>
        <row r="123">
          <cell r="O123">
            <v>40052247</v>
          </cell>
          <cell r="P123" t="str">
            <v>BIP</v>
          </cell>
          <cell r="Q123" t="str">
            <v>RS</v>
          </cell>
          <cell r="R123"/>
        </row>
        <row r="124">
          <cell r="O124">
            <v>40052927</v>
          </cell>
          <cell r="P124" t="str">
            <v>BIP</v>
          </cell>
          <cell r="Q124" t="str">
            <v>RS</v>
          </cell>
          <cell r="R124"/>
        </row>
        <row r="125">
          <cell r="O125">
            <v>40053067</v>
          </cell>
          <cell r="P125" t="str">
            <v>BIP</v>
          </cell>
          <cell r="Q125" t="str">
            <v>RS</v>
          </cell>
          <cell r="R125"/>
        </row>
        <row r="126">
          <cell r="O126">
            <v>40053338</v>
          </cell>
          <cell r="P126" t="str">
            <v>BIP</v>
          </cell>
          <cell r="Q126" t="str">
            <v>RS</v>
          </cell>
          <cell r="R126"/>
        </row>
        <row r="127">
          <cell r="O127">
            <v>40054303</v>
          </cell>
          <cell r="P127" t="str">
            <v>BIP</v>
          </cell>
          <cell r="Q127" t="str">
            <v>RS</v>
          </cell>
          <cell r="R127"/>
        </row>
        <row r="128">
          <cell r="O128">
            <v>40054690</v>
          </cell>
          <cell r="P128" t="str">
            <v>BIP</v>
          </cell>
          <cell r="Q128" t="str">
            <v>RS</v>
          </cell>
          <cell r="R128"/>
        </row>
        <row r="129">
          <cell r="O129">
            <v>40055163</v>
          </cell>
          <cell r="P129" t="str">
            <v>BIP</v>
          </cell>
          <cell r="Q129" t="str">
            <v>RS-GORE</v>
          </cell>
          <cell r="R129"/>
        </row>
        <row r="130">
          <cell r="O130">
            <v>40055239</v>
          </cell>
          <cell r="P130" t="str">
            <v>BIP</v>
          </cell>
          <cell r="Q130" t="str">
            <v>RS</v>
          </cell>
          <cell r="R130"/>
        </row>
        <row r="131">
          <cell r="O131">
            <v>40056255</v>
          </cell>
          <cell r="P131" t="str">
            <v>BIP</v>
          </cell>
          <cell r="Q131" t="str">
            <v>RS-GORE</v>
          </cell>
          <cell r="R131"/>
        </row>
        <row r="132">
          <cell r="O132">
            <v>40056853</v>
          </cell>
          <cell r="P132" t="str">
            <v>BIP</v>
          </cell>
          <cell r="Q132" t="str">
            <v>RS</v>
          </cell>
          <cell r="R132"/>
        </row>
        <row r="133">
          <cell r="O133">
            <v>40056911</v>
          </cell>
          <cell r="P133" t="str">
            <v>BIP</v>
          </cell>
          <cell r="Q133" t="str">
            <v>RS</v>
          </cell>
          <cell r="R133"/>
        </row>
        <row r="134">
          <cell r="O134">
            <v>40057328</v>
          </cell>
          <cell r="P134" t="str">
            <v>BIP</v>
          </cell>
          <cell r="Q134" t="str">
            <v>RS</v>
          </cell>
          <cell r="R134"/>
        </row>
        <row r="135">
          <cell r="O135">
            <v>40057978</v>
          </cell>
          <cell r="P135" t="str">
            <v>BIP</v>
          </cell>
          <cell r="Q135" t="str">
            <v>RS</v>
          </cell>
          <cell r="R135"/>
        </row>
        <row r="136">
          <cell r="O136">
            <v>40058437</v>
          </cell>
          <cell r="P136" t="str">
            <v>BIP</v>
          </cell>
          <cell r="Q136" t="str">
            <v>RS</v>
          </cell>
          <cell r="R136"/>
        </row>
        <row r="137">
          <cell r="O137">
            <v>40059784</v>
          </cell>
          <cell r="P137" t="str">
            <v>BIP</v>
          </cell>
          <cell r="Q137" t="str">
            <v>RS</v>
          </cell>
          <cell r="R137"/>
        </row>
        <row r="138">
          <cell r="O138">
            <v>40061640</v>
          </cell>
          <cell r="P138" t="str">
            <v>BIP</v>
          </cell>
          <cell r="Q138" t="str">
            <v>RS</v>
          </cell>
          <cell r="R138"/>
        </row>
        <row r="139">
          <cell r="O139">
            <v>40063487</v>
          </cell>
          <cell r="P139" t="str">
            <v>BIP</v>
          </cell>
          <cell r="Q139" t="str">
            <v>RS-GORE</v>
          </cell>
          <cell r="R139"/>
        </row>
        <row r="140">
          <cell r="O140">
            <v>40063532</v>
          </cell>
          <cell r="P140" t="str">
            <v>BIP</v>
          </cell>
          <cell r="Q140" t="str">
            <v>RS-GORE</v>
          </cell>
          <cell r="R140"/>
        </row>
        <row r="141">
          <cell r="O141">
            <v>40064760</v>
          </cell>
          <cell r="P141" t="str">
            <v>BIP</v>
          </cell>
          <cell r="Q141" t="str">
            <v>RS-GORE</v>
          </cell>
          <cell r="R141"/>
        </row>
        <row r="142">
          <cell r="O142">
            <v>40064856</v>
          </cell>
          <cell r="P142" t="str">
            <v>BIP</v>
          </cell>
          <cell r="Q142" t="str">
            <v>RS-GORE</v>
          </cell>
          <cell r="R142"/>
        </row>
        <row r="143">
          <cell r="O143">
            <v>40066148</v>
          </cell>
          <cell r="P143" t="str">
            <v>BIP</v>
          </cell>
          <cell r="Q143" t="str">
            <v>RS</v>
          </cell>
          <cell r="R143"/>
        </row>
        <row r="144">
          <cell r="O144">
            <v>40066152</v>
          </cell>
          <cell r="P144" t="str">
            <v>BIP</v>
          </cell>
          <cell r="Q144" t="str">
            <v>RS-GORE</v>
          </cell>
          <cell r="R144"/>
        </row>
        <row r="145">
          <cell r="O145">
            <v>40067325</v>
          </cell>
          <cell r="P145" t="str">
            <v>BIP</v>
          </cell>
          <cell r="Q145" t="str">
            <v>RS-GORE</v>
          </cell>
          <cell r="R145"/>
        </row>
        <row r="146">
          <cell r="O146">
            <v>40067945</v>
          </cell>
          <cell r="P146" t="str">
            <v>BIP</v>
          </cell>
          <cell r="Q146" t="str">
            <v>RS</v>
          </cell>
          <cell r="R146"/>
        </row>
        <row r="147">
          <cell r="O147">
            <v>40067969</v>
          </cell>
          <cell r="P147" t="str">
            <v>BIP</v>
          </cell>
          <cell r="Q147" t="str">
            <v>RS</v>
          </cell>
          <cell r="R147"/>
        </row>
        <row r="148">
          <cell r="O148">
            <v>40068201</v>
          </cell>
          <cell r="P148" t="str">
            <v>BIP</v>
          </cell>
          <cell r="Q148" t="str">
            <v>RS</v>
          </cell>
          <cell r="R148"/>
        </row>
        <row r="149">
          <cell r="O149">
            <v>40069991</v>
          </cell>
          <cell r="P149" t="str">
            <v>BIP</v>
          </cell>
          <cell r="Q149" t="str">
            <v>RS-GORE</v>
          </cell>
          <cell r="R149"/>
        </row>
        <row r="150">
          <cell r="O150">
            <v>40070102</v>
          </cell>
          <cell r="P150" t="str">
            <v>BIP</v>
          </cell>
          <cell r="Q150" t="str">
            <v>RS</v>
          </cell>
          <cell r="R150"/>
        </row>
        <row r="151">
          <cell r="O151">
            <v>40070257</v>
          </cell>
          <cell r="P151" t="str">
            <v>BIP</v>
          </cell>
          <cell r="Q151" t="str">
            <v>RS</v>
          </cell>
          <cell r="R151"/>
        </row>
        <row r="152">
          <cell r="O152">
            <v>40070438</v>
          </cell>
          <cell r="P152" t="str">
            <v>BIP</v>
          </cell>
          <cell r="Q152" t="str">
            <v>RS-GORE</v>
          </cell>
          <cell r="R152"/>
        </row>
        <row r="153">
          <cell r="O153">
            <v>40071230</v>
          </cell>
          <cell r="P153" t="str">
            <v>BIP</v>
          </cell>
          <cell r="Q153" t="str">
            <v>RS-GORE</v>
          </cell>
          <cell r="R153"/>
        </row>
        <row r="154">
          <cell r="O154">
            <v>40071482</v>
          </cell>
          <cell r="P154" t="str">
            <v>BIP</v>
          </cell>
          <cell r="Q154" t="str">
            <v>RS</v>
          </cell>
          <cell r="R154"/>
        </row>
        <row r="155">
          <cell r="O155">
            <v>40071828</v>
          </cell>
          <cell r="P155" t="str">
            <v>BIP</v>
          </cell>
          <cell r="Q155" t="str">
            <v>RS-GORE</v>
          </cell>
          <cell r="R155"/>
        </row>
        <row r="156">
          <cell r="O156">
            <v>40071848</v>
          </cell>
          <cell r="P156" t="str">
            <v>BIP</v>
          </cell>
          <cell r="Q156" t="str">
            <v>RS</v>
          </cell>
          <cell r="R156"/>
        </row>
        <row r="157">
          <cell r="O157">
            <v>40071987</v>
          </cell>
          <cell r="P157" t="str">
            <v>BIP</v>
          </cell>
          <cell r="Q157" t="str">
            <v>RS</v>
          </cell>
          <cell r="R157"/>
        </row>
        <row r="158">
          <cell r="O158">
            <v>40072266</v>
          </cell>
          <cell r="P158" t="str">
            <v>BIP</v>
          </cell>
          <cell r="Q158" t="str">
            <v>RS-GORE</v>
          </cell>
          <cell r="R158"/>
        </row>
        <row r="159">
          <cell r="O159">
            <v>40072645</v>
          </cell>
          <cell r="P159" t="str">
            <v>BIP</v>
          </cell>
          <cell r="Q159" t="str">
            <v>RS</v>
          </cell>
          <cell r="R159"/>
        </row>
        <row r="160">
          <cell r="O160">
            <v>40072992</v>
          </cell>
          <cell r="P160" t="str">
            <v>BIP</v>
          </cell>
          <cell r="Q160" t="str">
            <v>RS</v>
          </cell>
          <cell r="R160"/>
        </row>
        <row r="161">
          <cell r="O161">
            <v>40073440</v>
          </cell>
          <cell r="P161" t="str">
            <v>BIP</v>
          </cell>
          <cell r="Q161" t="str">
            <v>RS</v>
          </cell>
          <cell r="R161"/>
        </row>
        <row r="162">
          <cell r="O162">
            <v>40073778</v>
          </cell>
          <cell r="P162" t="str">
            <v>BIP</v>
          </cell>
          <cell r="Q162" t="str">
            <v>RS-GORE</v>
          </cell>
          <cell r="R162"/>
        </row>
        <row r="163">
          <cell r="O163">
            <v>40074170</v>
          </cell>
          <cell r="P163" t="str">
            <v>BIP</v>
          </cell>
          <cell r="Q163" t="str">
            <v>RS</v>
          </cell>
          <cell r="R163"/>
        </row>
        <row r="164">
          <cell r="O164">
            <v>40075708</v>
          </cell>
          <cell r="P164" t="str">
            <v>BIP</v>
          </cell>
          <cell r="Q164" t="str">
            <v>RS-GORE</v>
          </cell>
          <cell r="R164"/>
        </row>
        <row r="165">
          <cell r="O165">
            <v>40077324</v>
          </cell>
          <cell r="P165" t="str">
            <v>BIP</v>
          </cell>
          <cell r="Q165" t="str">
            <v>RS-GORE</v>
          </cell>
          <cell r="R165"/>
        </row>
        <row r="166">
          <cell r="O166" t="str">
            <v>SUBT24-1</v>
          </cell>
          <cell r="P166" t="str">
            <v>OTRO</v>
          </cell>
          <cell r="Q166" t="str">
            <v>Sin Rate</v>
          </cell>
          <cell r="R166"/>
        </row>
        <row r="167">
          <cell r="O167" t="str">
            <v>SUBT24-2</v>
          </cell>
          <cell r="P167" t="str">
            <v>OTRO</v>
          </cell>
          <cell r="Q167" t="str">
            <v>Sin Rate</v>
          </cell>
          <cell r="R167"/>
        </row>
        <row r="168">
          <cell r="O168" t="str">
            <v>SUBT24-3</v>
          </cell>
          <cell r="P168" t="str">
            <v>OTRO</v>
          </cell>
          <cell r="Q168" t="str">
            <v>Sin Rate</v>
          </cell>
          <cell r="R168"/>
        </row>
        <row r="169">
          <cell r="O169">
            <v>40063903</v>
          </cell>
          <cell r="P169" t="str">
            <v>BIP</v>
          </cell>
          <cell r="Q169" t="str">
            <v>RS-GORE</v>
          </cell>
          <cell r="R169"/>
        </row>
        <row r="170">
          <cell r="O170">
            <v>40063898</v>
          </cell>
          <cell r="P170" t="str">
            <v>BIP</v>
          </cell>
          <cell r="Q170" t="str">
            <v>RS-GORE</v>
          </cell>
          <cell r="R170"/>
        </row>
        <row r="171">
          <cell r="O171">
            <v>40072688</v>
          </cell>
          <cell r="P171" t="str">
            <v>BIP</v>
          </cell>
          <cell r="Q171" t="str">
            <v>RS-GORE</v>
          </cell>
          <cell r="R171"/>
        </row>
        <row r="172">
          <cell r="O172">
            <v>40077562</v>
          </cell>
          <cell r="P172" t="str">
            <v>BIP</v>
          </cell>
          <cell r="Q172" t="str">
            <v>RS-GORE</v>
          </cell>
          <cell r="R172"/>
        </row>
        <row r="173">
          <cell r="O173" t="str">
            <v>SUBT24-4</v>
          </cell>
          <cell r="P173" t="str">
            <v>OTRO</v>
          </cell>
          <cell r="Q173" t="str">
            <v>Sin Rate</v>
          </cell>
          <cell r="R173"/>
        </row>
        <row r="174">
          <cell r="O174" t="str">
            <v>SUBT24-5</v>
          </cell>
          <cell r="P174" t="str">
            <v>OTRO</v>
          </cell>
          <cell r="Q174" t="str">
            <v>Sin Rate</v>
          </cell>
          <cell r="R174"/>
        </row>
        <row r="175">
          <cell r="O175">
            <v>40080526</v>
          </cell>
          <cell r="P175" t="str">
            <v>BIP</v>
          </cell>
          <cell r="Q175" t="str">
            <v>Sin Rate</v>
          </cell>
          <cell r="R175"/>
        </row>
        <row r="176">
          <cell r="O176">
            <v>40057310</v>
          </cell>
          <cell r="P176" t="str">
            <v>BIP</v>
          </cell>
          <cell r="Q176" t="str">
            <v>Sin Rate</v>
          </cell>
          <cell r="R176"/>
        </row>
        <row r="177">
          <cell r="O177">
            <v>40057322</v>
          </cell>
          <cell r="P177" t="str">
            <v>BIP</v>
          </cell>
          <cell r="Q177" t="str">
            <v>Sin Rate</v>
          </cell>
          <cell r="R177"/>
        </row>
        <row r="178">
          <cell r="O178" t="str">
            <v>FRIL</v>
          </cell>
          <cell r="P178" t="str">
            <v>OTRO</v>
          </cell>
          <cell r="Q178" t="str">
            <v>Sin Rate</v>
          </cell>
          <cell r="R178"/>
        </row>
        <row r="179">
          <cell r="O179">
            <v>40075384</v>
          </cell>
          <cell r="P179" t="str">
            <v>BIP</v>
          </cell>
          <cell r="Q179" t="str">
            <v>RS-GORE</v>
          </cell>
          <cell r="R179"/>
        </row>
        <row r="180">
          <cell r="O180">
            <v>40072971</v>
          </cell>
          <cell r="P180" t="str">
            <v>BIP</v>
          </cell>
          <cell r="Q180" t="str">
            <v>Sin Rate</v>
          </cell>
          <cell r="R180"/>
        </row>
        <row r="181">
          <cell r="O181">
            <v>50000231</v>
          </cell>
          <cell r="P181" t="str">
            <v>BIP</v>
          </cell>
          <cell r="Q181" t="str">
            <v>RS-GORE</v>
          </cell>
          <cell r="R181"/>
        </row>
        <row r="182">
          <cell r="O182">
            <v>40069720</v>
          </cell>
          <cell r="P182" t="str">
            <v>BIP</v>
          </cell>
          <cell r="Q182" t="str">
            <v>Sin Rate</v>
          </cell>
          <cell r="R182"/>
        </row>
        <row r="183">
          <cell r="O183">
            <v>50000258</v>
          </cell>
          <cell r="P183" t="str">
            <v>BIP</v>
          </cell>
          <cell r="Q183" t="str">
            <v>RS-GORE</v>
          </cell>
          <cell r="R183"/>
        </row>
        <row r="184">
          <cell r="O184">
            <v>50000252</v>
          </cell>
          <cell r="P184" t="str">
            <v>BIP</v>
          </cell>
          <cell r="Q184" t="str">
            <v>RS-GORE</v>
          </cell>
          <cell r="R184"/>
        </row>
        <row r="185">
          <cell r="O185">
            <v>50000240</v>
          </cell>
          <cell r="P185" t="str">
            <v>BIP</v>
          </cell>
          <cell r="Q185" t="str">
            <v>RS-GORE</v>
          </cell>
          <cell r="R185"/>
        </row>
        <row r="186">
          <cell r="O186">
            <v>50000235</v>
          </cell>
          <cell r="P186" t="str">
            <v>BIP</v>
          </cell>
          <cell r="Q186" t="str">
            <v>RS-GORE</v>
          </cell>
          <cell r="R186"/>
        </row>
        <row r="187">
          <cell r="O187">
            <v>50000244</v>
          </cell>
          <cell r="P187" t="str">
            <v>BIP</v>
          </cell>
          <cell r="Q187" t="str">
            <v>RS-GORE</v>
          </cell>
          <cell r="R187"/>
        </row>
        <row r="188">
          <cell r="O188">
            <v>40029246</v>
          </cell>
          <cell r="P188" t="str">
            <v>BIP</v>
          </cell>
          <cell r="Q188" t="str">
            <v>RS-GORE</v>
          </cell>
          <cell r="R188"/>
        </row>
        <row r="189">
          <cell r="O189">
            <v>40033084</v>
          </cell>
          <cell r="P189" t="str">
            <v>BIP</v>
          </cell>
          <cell r="Q189" t="str">
            <v>RS-GORE</v>
          </cell>
          <cell r="R189"/>
        </row>
        <row r="190">
          <cell r="O190">
            <v>40063557</v>
          </cell>
          <cell r="P190" t="str">
            <v>BIP</v>
          </cell>
          <cell r="Q190" t="str">
            <v>RS-GORE</v>
          </cell>
          <cell r="R190"/>
        </row>
        <row r="191">
          <cell r="O191">
            <v>40067360</v>
          </cell>
          <cell r="P191" t="str">
            <v>BIP</v>
          </cell>
          <cell r="Q191" t="str">
            <v>RS-GORE</v>
          </cell>
          <cell r="R191"/>
        </row>
        <row r="192">
          <cell r="O192">
            <v>40075416</v>
          </cell>
          <cell r="P192" t="str">
            <v>BIP</v>
          </cell>
          <cell r="Q192" t="str">
            <v>RS-GORE</v>
          </cell>
          <cell r="R192"/>
        </row>
        <row r="193">
          <cell r="O193">
            <v>40075429</v>
          </cell>
          <cell r="P193" t="str">
            <v>BIP</v>
          </cell>
          <cell r="Q193" t="str">
            <v>RS-GORE</v>
          </cell>
          <cell r="R193"/>
        </row>
        <row r="194">
          <cell r="O194">
            <v>40075430</v>
          </cell>
          <cell r="P194" t="str">
            <v>BIP</v>
          </cell>
          <cell r="Q194" t="str">
            <v>RS-GORE</v>
          </cell>
          <cell r="R194"/>
        </row>
        <row r="195">
          <cell r="O195">
            <v>50000248</v>
          </cell>
          <cell r="P195" t="str">
            <v>BIP</v>
          </cell>
          <cell r="Q195" t="str">
            <v>RS-GORE</v>
          </cell>
          <cell r="R195"/>
        </row>
        <row r="196">
          <cell r="O196">
            <v>50000254</v>
          </cell>
          <cell r="P196" t="str">
            <v>BIP</v>
          </cell>
          <cell r="Q196" t="str">
            <v>RS-GORE</v>
          </cell>
          <cell r="R196"/>
        </row>
        <row r="197">
          <cell r="O197">
            <v>40064703</v>
          </cell>
          <cell r="P197" t="str">
            <v>BIP</v>
          </cell>
          <cell r="Q197" t="str">
            <v>RS-GORE</v>
          </cell>
          <cell r="R197"/>
        </row>
        <row r="198">
          <cell r="O198">
            <v>40063864</v>
          </cell>
          <cell r="P198" t="str">
            <v>BIP</v>
          </cell>
          <cell r="Q198" t="str">
            <v>RS-GORE</v>
          </cell>
          <cell r="R198"/>
        </row>
        <row r="199">
          <cell r="O199">
            <v>40075714</v>
          </cell>
          <cell r="P199" t="str">
            <v>BIP</v>
          </cell>
          <cell r="Q199" t="str">
            <v>RS-GORE</v>
          </cell>
          <cell r="R199"/>
        </row>
        <row r="200">
          <cell r="O200">
            <v>40074239</v>
          </cell>
          <cell r="P200" t="str">
            <v>BIP</v>
          </cell>
          <cell r="Q200" t="str">
            <v>RS-GORE</v>
          </cell>
          <cell r="R200"/>
        </row>
        <row r="201">
          <cell r="O201">
            <v>40081394</v>
          </cell>
          <cell r="P201" t="str">
            <v>BIP</v>
          </cell>
          <cell r="Q201" t="str">
            <v>Sin Rate</v>
          </cell>
          <cell r="R201"/>
        </row>
        <row r="202">
          <cell r="O202">
            <v>40081395</v>
          </cell>
          <cell r="P202" t="str">
            <v>BIP</v>
          </cell>
          <cell r="Q202" t="str">
            <v>Sin Rate</v>
          </cell>
          <cell r="R202"/>
        </row>
        <row r="203">
          <cell r="O203">
            <v>40081397</v>
          </cell>
          <cell r="P203" t="str">
            <v>BIP</v>
          </cell>
          <cell r="Q203" t="str">
            <v>Sin Rate</v>
          </cell>
          <cell r="R203"/>
        </row>
        <row r="204">
          <cell r="O204">
            <v>40075722</v>
          </cell>
          <cell r="P204" t="str">
            <v>BIP</v>
          </cell>
          <cell r="Q204" t="str">
            <v>RS-GORE</v>
          </cell>
          <cell r="R204"/>
        </row>
        <row r="205">
          <cell r="O205">
            <v>40065461</v>
          </cell>
          <cell r="P205" t="str">
            <v>BIP</v>
          </cell>
          <cell r="Q205" t="str">
            <v>RS-GORE</v>
          </cell>
          <cell r="R205"/>
        </row>
        <row r="206">
          <cell r="O206">
            <v>40076275</v>
          </cell>
          <cell r="P206" t="str">
            <v>BIP</v>
          </cell>
          <cell r="Q206" t="str">
            <v>Sin Rate</v>
          </cell>
          <cell r="R206"/>
        </row>
        <row r="207">
          <cell r="O207">
            <v>40056836</v>
          </cell>
          <cell r="P207" t="str">
            <v>BIP</v>
          </cell>
          <cell r="Q207" t="str">
            <v>Sin Rate</v>
          </cell>
          <cell r="R207"/>
        </row>
        <row r="208">
          <cell r="O208">
            <v>40075933</v>
          </cell>
          <cell r="P208" t="str">
            <v>BIP</v>
          </cell>
          <cell r="Q208" t="str">
            <v>RS-GORE</v>
          </cell>
          <cell r="R208"/>
        </row>
        <row r="209">
          <cell r="O209">
            <v>40073648</v>
          </cell>
          <cell r="P209" t="str">
            <v>BIP</v>
          </cell>
          <cell r="Q209" t="str">
            <v>Sin Rate</v>
          </cell>
          <cell r="R209"/>
        </row>
        <row r="210">
          <cell r="O210">
            <v>40076844</v>
          </cell>
          <cell r="P210" t="str">
            <v>BIP</v>
          </cell>
          <cell r="Q210" t="str">
            <v>Sin Rate</v>
          </cell>
          <cell r="R210"/>
        </row>
        <row r="211">
          <cell r="O211">
            <v>40073842</v>
          </cell>
          <cell r="P211" t="str">
            <v>BIP</v>
          </cell>
          <cell r="Q211" t="str">
            <v>RS-GORE</v>
          </cell>
          <cell r="R211"/>
        </row>
        <row r="212">
          <cell r="O212" t="str">
            <v>FIC</v>
          </cell>
          <cell r="P212" t="str">
            <v>OTRO</v>
          </cell>
          <cell r="Q212" t="str">
            <v>Sin Rate</v>
          </cell>
          <cell r="R212"/>
        </row>
        <row r="213">
          <cell r="O213">
            <v>40025471</v>
          </cell>
          <cell r="P213" t="str">
            <v>BIP</v>
          </cell>
          <cell r="Q213" t="str">
            <v>OT</v>
          </cell>
          <cell r="R213"/>
        </row>
        <row r="214">
          <cell r="O214">
            <v>40069812</v>
          </cell>
          <cell r="P214" t="str">
            <v>BIP</v>
          </cell>
          <cell r="Q214" t="str">
            <v>OT</v>
          </cell>
          <cell r="R214"/>
        </row>
        <row r="215">
          <cell r="O215">
            <v>40008106</v>
          </cell>
          <cell r="P215" t="str">
            <v>BIP</v>
          </cell>
          <cell r="Q215" t="str">
            <v>RS</v>
          </cell>
          <cell r="R215"/>
        </row>
        <row r="216">
          <cell r="O216">
            <v>40059908</v>
          </cell>
          <cell r="P216" t="str">
            <v>BIP</v>
          </cell>
          <cell r="Q216" t="str">
            <v>RS</v>
          </cell>
          <cell r="R216"/>
        </row>
        <row r="217">
          <cell r="O217">
            <v>30071843</v>
          </cell>
          <cell r="P217" t="str">
            <v>BIP</v>
          </cell>
          <cell r="Q217" t="str">
            <v>Sin Rate</v>
          </cell>
          <cell r="R217"/>
        </row>
        <row r="218">
          <cell r="O218">
            <v>40070081</v>
          </cell>
          <cell r="P218" t="str">
            <v>BIP</v>
          </cell>
          <cell r="Q218" t="str">
            <v>Sin Rate</v>
          </cell>
          <cell r="R218"/>
        </row>
        <row r="219">
          <cell r="O219">
            <v>40079916</v>
          </cell>
          <cell r="P219" t="str">
            <v>BIP</v>
          </cell>
          <cell r="Q219" t="str">
            <v>Sin Rate</v>
          </cell>
          <cell r="R219"/>
        </row>
        <row r="220">
          <cell r="O220">
            <v>40071974</v>
          </cell>
          <cell r="P220" t="str">
            <v>BIP</v>
          </cell>
          <cell r="Q220" t="str">
            <v>Sin Rate</v>
          </cell>
          <cell r="R220"/>
        </row>
        <row r="221">
          <cell r="O221">
            <v>40079874</v>
          </cell>
          <cell r="P221" t="str">
            <v>BIP</v>
          </cell>
          <cell r="Q221" t="str">
            <v>Sin Rate</v>
          </cell>
          <cell r="R221"/>
        </row>
        <row r="222">
          <cell r="O222">
            <v>40079907</v>
          </cell>
          <cell r="P222" t="str">
            <v>BIP</v>
          </cell>
          <cell r="Q222" t="str">
            <v>Sin Rate</v>
          </cell>
          <cell r="R222"/>
        </row>
        <row r="223">
          <cell r="O223">
            <v>40079884</v>
          </cell>
          <cell r="P223" t="str">
            <v>BIP</v>
          </cell>
          <cell r="Q223" t="str">
            <v>Sin Rate</v>
          </cell>
          <cell r="R223"/>
        </row>
        <row r="224">
          <cell r="O224">
            <v>40078864</v>
          </cell>
          <cell r="P224" t="str">
            <v>BIP</v>
          </cell>
          <cell r="Q224" t="str">
            <v>Sin Rate</v>
          </cell>
          <cell r="R224"/>
        </row>
        <row r="225">
          <cell r="O225">
            <v>40078930</v>
          </cell>
          <cell r="P225" t="str">
            <v>BIP</v>
          </cell>
          <cell r="Q225" t="str">
            <v>Sin Rate</v>
          </cell>
          <cell r="R225"/>
        </row>
        <row r="226">
          <cell r="O226">
            <v>40077591</v>
          </cell>
          <cell r="P226" t="str">
            <v>BIP</v>
          </cell>
          <cell r="Q226" t="str">
            <v>Sin Rate</v>
          </cell>
          <cell r="R226"/>
        </row>
        <row r="227">
          <cell r="O227">
            <v>40055334</v>
          </cell>
          <cell r="P227" t="str">
            <v>BIP</v>
          </cell>
          <cell r="Q227" t="str">
            <v>Sin Rate</v>
          </cell>
          <cell r="R227"/>
        </row>
        <row r="228">
          <cell r="O228">
            <v>40072776</v>
          </cell>
          <cell r="P228" t="str">
            <v>BIP</v>
          </cell>
          <cell r="Q228" t="str">
            <v>Sin Rate</v>
          </cell>
          <cell r="R228"/>
        </row>
        <row r="229">
          <cell r="O229">
            <v>40072782</v>
          </cell>
          <cell r="P229" t="str">
            <v>BIP</v>
          </cell>
          <cell r="Q229" t="str">
            <v>Sin Rate</v>
          </cell>
          <cell r="R229"/>
        </row>
        <row r="230">
          <cell r="O230">
            <v>40043232</v>
          </cell>
          <cell r="P230" t="str">
            <v>BIP</v>
          </cell>
          <cell r="Q230" t="str">
            <v>OT</v>
          </cell>
          <cell r="R230"/>
        </row>
        <row r="231">
          <cell r="O231">
            <v>40027764</v>
          </cell>
          <cell r="P231" t="str">
            <v>BIP</v>
          </cell>
          <cell r="Q231" t="str">
            <v>RS</v>
          </cell>
          <cell r="R231"/>
        </row>
        <row r="232">
          <cell r="O232">
            <v>40072882</v>
          </cell>
          <cell r="P232" t="str">
            <v>BIP</v>
          </cell>
          <cell r="Q232" t="str">
            <v>Sin Rate</v>
          </cell>
          <cell r="R232"/>
        </row>
        <row r="233">
          <cell r="O233">
            <v>40072503</v>
          </cell>
          <cell r="P233" t="str">
            <v>BIP</v>
          </cell>
          <cell r="Q233" t="str">
            <v>RS</v>
          </cell>
          <cell r="R233"/>
        </row>
        <row r="234">
          <cell r="O234">
            <v>40072916</v>
          </cell>
          <cell r="P234" t="str">
            <v>BIP</v>
          </cell>
          <cell r="Q234" t="str">
            <v>Sin Rate</v>
          </cell>
          <cell r="R234"/>
        </row>
        <row r="235">
          <cell r="O235">
            <v>40031582</v>
          </cell>
          <cell r="P235" t="str">
            <v>BIP</v>
          </cell>
          <cell r="Q235" t="str">
            <v>Sin Rate</v>
          </cell>
          <cell r="R235"/>
        </row>
        <row r="236">
          <cell r="O236">
            <v>40042390</v>
          </cell>
          <cell r="P236" t="str">
            <v>BIP</v>
          </cell>
          <cell r="Q236" t="str">
            <v>Sin Rate</v>
          </cell>
          <cell r="R236"/>
        </row>
        <row r="237">
          <cell r="O237">
            <v>40072896</v>
          </cell>
          <cell r="P237" t="str">
            <v>BIP</v>
          </cell>
          <cell r="Q237" t="str">
            <v>Sin Rate</v>
          </cell>
          <cell r="R237"/>
        </row>
        <row r="238">
          <cell r="O238">
            <v>40080268</v>
          </cell>
          <cell r="P238" t="str">
            <v>BIP</v>
          </cell>
          <cell r="Q238" t="str">
            <v>Sin Rate</v>
          </cell>
          <cell r="R238"/>
        </row>
        <row r="239">
          <cell r="O239">
            <v>40068805</v>
          </cell>
          <cell r="P239" t="str">
            <v>BIP</v>
          </cell>
          <cell r="Q239" t="str">
            <v>Sin Rate</v>
          </cell>
          <cell r="R239"/>
        </row>
        <row r="240">
          <cell r="O240">
            <v>40078966</v>
          </cell>
          <cell r="P240" t="str">
            <v>BIP</v>
          </cell>
          <cell r="Q240" t="str">
            <v>Sin Rate</v>
          </cell>
          <cell r="R240"/>
        </row>
        <row r="241">
          <cell r="O241">
            <v>40078963</v>
          </cell>
          <cell r="P241" t="str">
            <v>BIP</v>
          </cell>
          <cell r="Q241" t="str">
            <v>Sin Rate</v>
          </cell>
          <cell r="R241"/>
        </row>
        <row r="242">
          <cell r="O242">
            <v>30485216</v>
          </cell>
          <cell r="P242" t="str">
            <v>BIP</v>
          </cell>
          <cell r="Q242" t="str">
            <v>FI</v>
          </cell>
          <cell r="R242"/>
        </row>
        <row r="243">
          <cell r="O243">
            <v>40073919</v>
          </cell>
          <cell r="P243" t="str">
            <v>BIP</v>
          </cell>
          <cell r="Q243" t="str">
            <v>Sin Rate</v>
          </cell>
          <cell r="R243"/>
        </row>
        <row r="244">
          <cell r="O244">
            <v>40013025</v>
          </cell>
          <cell r="P244" t="str">
            <v>BIP</v>
          </cell>
          <cell r="Q244" t="str">
            <v>RS</v>
          </cell>
          <cell r="R244"/>
        </row>
        <row r="245">
          <cell r="O245">
            <v>40055485</v>
          </cell>
          <cell r="P245" t="str">
            <v>BIP</v>
          </cell>
          <cell r="Q245" t="str">
            <v>RS-GORE</v>
          </cell>
          <cell r="R245"/>
        </row>
        <row r="246">
          <cell r="O246">
            <v>40073923</v>
          </cell>
          <cell r="P246" t="str">
            <v>BIP</v>
          </cell>
          <cell r="Q246" t="str">
            <v>Sin Rate</v>
          </cell>
          <cell r="R246"/>
        </row>
        <row r="247">
          <cell r="O247">
            <v>40074688</v>
          </cell>
          <cell r="P247" t="str">
            <v>BIP</v>
          </cell>
          <cell r="Q247" t="str">
            <v>Sin Rate</v>
          </cell>
          <cell r="R247"/>
        </row>
        <row r="248">
          <cell r="O248">
            <v>40077191</v>
          </cell>
          <cell r="P248" t="str">
            <v>BIP</v>
          </cell>
          <cell r="Q248" t="str">
            <v>RS-GORE</v>
          </cell>
          <cell r="R248"/>
        </row>
        <row r="249">
          <cell r="O249">
            <v>40027467</v>
          </cell>
          <cell r="P249" t="str">
            <v>BIP</v>
          </cell>
          <cell r="Q249" t="str">
            <v>Sin Rate</v>
          </cell>
          <cell r="R249"/>
        </row>
        <row r="250">
          <cell r="O250">
            <v>40038210</v>
          </cell>
          <cell r="P250" t="str">
            <v>BIP</v>
          </cell>
          <cell r="Q250" t="str">
            <v>Sin Rate</v>
          </cell>
          <cell r="R250"/>
        </row>
        <row r="251">
          <cell r="O251">
            <v>40054428</v>
          </cell>
          <cell r="P251" t="str">
            <v>BIP</v>
          </cell>
          <cell r="Q251" t="str">
            <v>Sin Rate</v>
          </cell>
          <cell r="R251"/>
        </row>
        <row r="252">
          <cell r="O252">
            <v>40019232</v>
          </cell>
          <cell r="P252" t="str">
            <v>BIP</v>
          </cell>
          <cell r="Q252" t="str">
            <v>Sin Rate</v>
          </cell>
          <cell r="R252"/>
        </row>
        <row r="253">
          <cell r="O253">
            <v>40063885</v>
          </cell>
          <cell r="P253" t="str">
            <v>BIP</v>
          </cell>
          <cell r="Q253" t="str">
            <v>OT</v>
          </cell>
          <cell r="R253"/>
        </row>
        <row r="254">
          <cell r="O254">
            <v>40054435</v>
          </cell>
          <cell r="P254" t="str">
            <v>BIP</v>
          </cell>
          <cell r="Q254" t="str">
            <v>Sin Rate</v>
          </cell>
          <cell r="R254"/>
        </row>
        <row r="255">
          <cell r="O255">
            <v>40078958</v>
          </cell>
          <cell r="P255" t="str">
            <v>BIP</v>
          </cell>
          <cell r="Q255" t="str">
            <v>Sin Rate</v>
          </cell>
          <cell r="R255"/>
        </row>
        <row r="256">
          <cell r="O256">
            <v>40078961</v>
          </cell>
          <cell r="P256" t="str">
            <v>BIP</v>
          </cell>
          <cell r="Q256" t="str">
            <v>Sin Rate</v>
          </cell>
          <cell r="R256"/>
        </row>
        <row r="257">
          <cell r="O257">
            <v>40054481</v>
          </cell>
          <cell r="P257" t="str">
            <v>BIP</v>
          </cell>
          <cell r="Q257" t="str">
            <v>RS</v>
          </cell>
          <cell r="R257"/>
        </row>
        <row r="258">
          <cell r="O258">
            <v>40074666</v>
          </cell>
          <cell r="P258" t="str">
            <v>BIP</v>
          </cell>
          <cell r="Q258" t="str">
            <v>Sin Rate</v>
          </cell>
          <cell r="R258"/>
        </row>
        <row r="259">
          <cell r="O259">
            <v>40072616</v>
          </cell>
          <cell r="P259" t="str">
            <v>BIP</v>
          </cell>
          <cell r="Q259" t="str">
            <v>Sin Rate</v>
          </cell>
          <cell r="R259"/>
        </row>
        <row r="260">
          <cell r="O260">
            <v>30092370</v>
          </cell>
          <cell r="P260" t="str">
            <v>BIP</v>
          </cell>
          <cell r="Q260" t="str">
            <v>Sin Rate</v>
          </cell>
          <cell r="R260"/>
        </row>
        <row r="261">
          <cell r="O261">
            <v>40078947</v>
          </cell>
          <cell r="P261" t="str">
            <v>BIP</v>
          </cell>
          <cell r="Q261" t="str">
            <v>Sin Rate</v>
          </cell>
          <cell r="R261"/>
        </row>
        <row r="262">
          <cell r="O262">
            <v>40076942</v>
          </cell>
          <cell r="P262" t="str">
            <v>BIP</v>
          </cell>
          <cell r="Q262" t="str">
            <v>Sin Rate</v>
          </cell>
          <cell r="R262"/>
        </row>
        <row r="263">
          <cell r="O263">
            <v>40076941</v>
          </cell>
          <cell r="P263" t="str">
            <v>BIP</v>
          </cell>
          <cell r="Q263" t="str">
            <v>Sin Rate</v>
          </cell>
          <cell r="R263"/>
        </row>
        <row r="264">
          <cell r="O264">
            <v>40078794</v>
          </cell>
          <cell r="P264" t="str">
            <v>BIP</v>
          </cell>
          <cell r="Q264" t="str">
            <v>Sin Rate</v>
          </cell>
          <cell r="R264"/>
        </row>
        <row r="265">
          <cell r="O265">
            <v>40076987</v>
          </cell>
          <cell r="P265" t="str">
            <v>BIP</v>
          </cell>
          <cell r="Q265" t="str">
            <v>Sin Rate</v>
          </cell>
          <cell r="R265"/>
        </row>
        <row r="266">
          <cell r="O266">
            <v>40039318</v>
          </cell>
          <cell r="P266" t="str">
            <v>BIP</v>
          </cell>
          <cell r="Q266" t="str">
            <v>Sin Rate</v>
          </cell>
          <cell r="R266"/>
        </row>
        <row r="267">
          <cell r="O267">
            <v>40078953</v>
          </cell>
          <cell r="P267" t="str">
            <v>BIP</v>
          </cell>
          <cell r="Q267" t="str">
            <v>FI</v>
          </cell>
          <cell r="R267"/>
        </row>
        <row r="268">
          <cell r="O268">
            <v>50002094</v>
          </cell>
          <cell r="P268" t="str">
            <v>BIP</v>
          </cell>
          <cell r="Q268" t="str">
            <v>Sin Rate</v>
          </cell>
          <cell r="R268"/>
        </row>
        <row r="269">
          <cell r="O269">
            <v>50002090</v>
          </cell>
          <cell r="P269" t="str">
            <v>BIP</v>
          </cell>
          <cell r="Q269" t="str">
            <v>Sin Rate</v>
          </cell>
          <cell r="R269"/>
        </row>
        <row r="270">
          <cell r="O270">
            <v>40080639</v>
          </cell>
          <cell r="P270" t="str">
            <v>BIP</v>
          </cell>
          <cell r="Q270" t="str">
            <v>Sin Rate</v>
          </cell>
          <cell r="R270"/>
        </row>
        <row r="271">
          <cell r="O271">
            <v>50002174</v>
          </cell>
          <cell r="P271" t="str">
            <v>BIP</v>
          </cell>
          <cell r="Q271" t="str">
            <v>Sin Rate</v>
          </cell>
          <cell r="R271"/>
        </row>
        <row r="272">
          <cell r="O272">
            <v>30171875</v>
          </cell>
          <cell r="P272" t="str">
            <v>BIP</v>
          </cell>
          <cell r="Q272" t="str">
            <v>FI</v>
          </cell>
          <cell r="R272"/>
        </row>
        <row r="273">
          <cell r="O273">
            <v>40055184</v>
          </cell>
          <cell r="P273" t="str">
            <v>BIP</v>
          </cell>
          <cell r="Q273" t="str">
            <v>Sin Rate</v>
          </cell>
          <cell r="R273"/>
        </row>
        <row r="274">
          <cell r="O274">
            <v>40072886</v>
          </cell>
          <cell r="P274" t="str">
            <v>BIP</v>
          </cell>
          <cell r="Q274" t="str">
            <v>Sin Rate</v>
          </cell>
          <cell r="R274"/>
        </row>
        <row r="275">
          <cell r="O275">
            <v>40081083</v>
          </cell>
          <cell r="P275" t="str">
            <v>BIP</v>
          </cell>
          <cell r="Q275" t="str">
            <v>Sin Rate</v>
          </cell>
          <cell r="R275"/>
        </row>
        <row r="276">
          <cell r="O276">
            <v>40054849</v>
          </cell>
          <cell r="P276" t="str">
            <v>BIP</v>
          </cell>
          <cell r="Q276" t="str">
            <v>Sin Rate</v>
          </cell>
          <cell r="R276"/>
        </row>
        <row r="277">
          <cell r="O277">
            <v>40072892</v>
          </cell>
          <cell r="P277" t="str">
            <v>BIP</v>
          </cell>
          <cell r="Q277" t="str">
            <v>Sin Rate</v>
          </cell>
          <cell r="R277"/>
        </row>
        <row r="278">
          <cell r="O278">
            <v>40076838</v>
          </cell>
          <cell r="P278" t="str">
            <v>BIP</v>
          </cell>
          <cell r="Q278" t="str">
            <v>RS-GORE</v>
          </cell>
          <cell r="R278"/>
        </row>
        <row r="279">
          <cell r="O279">
            <v>40079076</v>
          </cell>
          <cell r="P279" t="str">
            <v>BIP</v>
          </cell>
          <cell r="Q279" t="str">
            <v>Sin Rate</v>
          </cell>
          <cell r="R279"/>
        </row>
        <row r="280">
          <cell r="O280">
            <v>40071248</v>
          </cell>
          <cell r="P280" t="str">
            <v>BIP</v>
          </cell>
          <cell r="Q280" t="str">
            <v>RS</v>
          </cell>
          <cell r="R280"/>
        </row>
        <row r="281">
          <cell r="O281">
            <v>40039692</v>
          </cell>
          <cell r="P281" t="str">
            <v>BIP</v>
          </cell>
          <cell r="Q281" t="str">
            <v>RS</v>
          </cell>
          <cell r="R281"/>
        </row>
        <row r="282">
          <cell r="O282">
            <v>50002313</v>
          </cell>
          <cell r="P282" t="str">
            <v>BIP</v>
          </cell>
          <cell r="Q282" t="str">
            <v>Sin Rate</v>
          </cell>
          <cell r="R282"/>
        </row>
        <row r="283">
          <cell r="O283">
            <v>40071304</v>
          </cell>
          <cell r="P283" t="str">
            <v>BIP</v>
          </cell>
          <cell r="Q283" t="str">
            <v>Sin Rate</v>
          </cell>
          <cell r="R283"/>
        </row>
        <row r="284">
          <cell r="O284">
            <v>40071267</v>
          </cell>
          <cell r="P284" t="str">
            <v>BIP</v>
          </cell>
          <cell r="Q284" t="str">
            <v>FI</v>
          </cell>
          <cell r="R284"/>
        </row>
        <row r="285">
          <cell r="O285">
            <v>40072522</v>
          </cell>
          <cell r="P285" t="str">
            <v>BIP</v>
          </cell>
          <cell r="Q285" t="str">
            <v>Sin Rate</v>
          </cell>
          <cell r="R285"/>
        </row>
        <row r="286">
          <cell r="O286">
            <v>40081090</v>
          </cell>
          <cell r="P286" t="str">
            <v>BIP</v>
          </cell>
          <cell r="Q286" t="str">
            <v>Sin Rate</v>
          </cell>
          <cell r="R286"/>
        </row>
        <row r="287">
          <cell r="O287">
            <v>40080095</v>
          </cell>
          <cell r="P287" t="str">
            <v>BIP</v>
          </cell>
          <cell r="Q287" t="str">
            <v>Sin Rate</v>
          </cell>
          <cell r="R287"/>
        </row>
        <row r="288">
          <cell r="O288">
            <v>50002412</v>
          </cell>
          <cell r="P288" t="str">
            <v>BIP</v>
          </cell>
          <cell r="Q288" t="str">
            <v>Sin Rate</v>
          </cell>
          <cell r="R288"/>
        </row>
        <row r="289">
          <cell r="O289">
            <v>40039329</v>
          </cell>
          <cell r="P289" t="str">
            <v>BIP</v>
          </cell>
          <cell r="Q289" t="str">
            <v>Sin Rate</v>
          </cell>
          <cell r="R289"/>
        </row>
        <row r="290">
          <cell r="O290">
            <v>40081009</v>
          </cell>
          <cell r="P290" t="str">
            <v>BIP</v>
          </cell>
          <cell r="Q290" t="str">
            <v>Sin Rate</v>
          </cell>
          <cell r="R290"/>
        </row>
        <row r="291">
          <cell r="O291">
            <v>40061659</v>
          </cell>
          <cell r="P291" t="str">
            <v>BIP</v>
          </cell>
          <cell r="Q291" t="str">
            <v>RS-GORE</v>
          </cell>
          <cell r="R291"/>
        </row>
        <row r="292">
          <cell r="O292">
            <v>40062857</v>
          </cell>
          <cell r="P292" t="str">
            <v>BIP</v>
          </cell>
          <cell r="Q292" t="str">
            <v>RS-GORE</v>
          </cell>
          <cell r="R292"/>
        </row>
        <row r="293">
          <cell r="O293">
            <v>40066566</v>
          </cell>
          <cell r="P293" t="str">
            <v>BIP</v>
          </cell>
          <cell r="Q293" t="str">
            <v>RS-GORE</v>
          </cell>
          <cell r="R293"/>
        </row>
        <row r="294">
          <cell r="O294">
            <v>40062712</v>
          </cell>
          <cell r="P294" t="str">
            <v>BIP</v>
          </cell>
          <cell r="Q294" t="str">
            <v>RS-GORE</v>
          </cell>
          <cell r="R294"/>
        </row>
        <row r="295">
          <cell r="O295">
            <v>40072519</v>
          </cell>
          <cell r="P295" t="str">
            <v>BIP</v>
          </cell>
          <cell r="Q295" t="str">
            <v>RS</v>
          </cell>
          <cell r="R295"/>
        </row>
        <row r="296">
          <cell r="O296">
            <v>50000852</v>
          </cell>
          <cell r="P296" t="str">
            <v>BIP</v>
          </cell>
          <cell r="Q296" t="str">
            <v>FI</v>
          </cell>
          <cell r="R296"/>
        </row>
        <row r="297">
          <cell r="O297">
            <v>40025369</v>
          </cell>
          <cell r="P297" t="str">
            <v>BIP</v>
          </cell>
          <cell r="Q297" t="str">
            <v>FI</v>
          </cell>
          <cell r="R297"/>
        </row>
        <row r="298">
          <cell r="O298">
            <v>40072600</v>
          </cell>
          <cell r="P298" t="str">
            <v>BIP</v>
          </cell>
          <cell r="Q298" t="str">
            <v>Sin Rate</v>
          </cell>
          <cell r="R298"/>
        </row>
        <row r="299">
          <cell r="O299">
            <v>50000492</v>
          </cell>
          <cell r="P299" t="str">
            <v>BIP</v>
          </cell>
          <cell r="Q299" t="str">
            <v>FI</v>
          </cell>
          <cell r="R299"/>
        </row>
        <row r="300">
          <cell r="O300">
            <v>40080968</v>
          </cell>
          <cell r="P300" t="str">
            <v>BIP</v>
          </cell>
          <cell r="Q300" t="str">
            <v>Sin Rate</v>
          </cell>
          <cell r="R300"/>
        </row>
        <row r="301">
          <cell r="O301">
            <v>40072664</v>
          </cell>
          <cell r="P301" t="str">
            <v>BIP</v>
          </cell>
          <cell r="Q301" t="str">
            <v>OT</v>
          </cell>
          <cell r="R301"/>
        </row>
        <row r="302">
          <cell r="O302">
            <v>40077644</v>
          </cell>
          <cell r="P302" t="str">
            <v>BIP</v>
          </cell>
          <cell r="Q302" t="str">
            <v>Sin Rate</v>
          </cell>
          <cell r="R302"/>
        </row>
        <row r="303">
          <cell r="O303">
            <v>40077645</v>
          </cell>
          <cell r="P303" t="str">
            <v>BIP</v>
          </cell>
          <cell r="Q303" t="str">
            <v>Sin Rate</v>
          </cell>
          <cell r="R303"/>
        </row>
        <row r="304">
          <cell r="O304">
            <v>40077646</v>
          </cell>
          <cell r="P304" t="str">
            <v>BIP</v>
          </cell>
          <cell r="Q304" t="str">
            <v>Sin Rate</v>
          </cell>
          <cell r="R304"/>
        </row>
        <row r="305">
          <cell r="O305">
            <v>40077647</v>
          </cell>
          <cell r="P305" t="str">
            <v>BIP</v>
          </cell>
          <cell r="Q305" t="str">
            <v>Sin Rate</v>
          </cell>
          <cell r="R305"/>
        </row>
        <row r="306">
          <cell r="O306">
            <v>40068124</v>
          </cell>
          <cell r="P306" t="str">
            <v>BIP</v>
          </cell>
          <cell r="Q306" t="str">
            <v>Sin Rate</v>
          </cell>
          <cell r="R306"/>
        </row>
        <row r="307">
          <cell r="O307">
            <v>40079024</v>
          </cell>
          <cell r="P307" t="str">
            <v>BIP</v>
          </cell>
          <cell r="Q307" t="str">
            <v>Sin Rate</v>
          </cell>
          <cell r="R307"/>
        </row>
        <row r="308">
          <cell r="O308">
            <v>40079109</v>
          </cell>
          <cell r="P308" t="str">
            <v>BIP</v>
          </cell>
          <cell r="Q308" t="str">
            <v>Sin Rate</v>
          </cell>
          <cell r="R308"/>
        </row>
        <row r="309">
          <cell r="O309">
            <v>40079128</v>
          </cell>
          <cell r="P309" t="str">
            <v>BIP</v>
          </cell>
          <cell r="Q309" t="str">
            <v>Sin Rate</v>
          </cell>
          <cell r="R309"/>
        </row>
        <row r="310">
          <cell r="O310">
            <v>40079141</v>
          </cell>
          <cell r="P310" t="str">
            <v>BIP</v>
          </cell>
          <cell r="Q310" t="str">
            <v>Sin Rate</v>
          </cell>
          <cell r="R310"/>
        </row>
        <row r="311">
          <cell r="O311">
            <v>40079222</v>
          </cell>
          <cell r="P311" t="str">
            <v>BIP</v>
          </cell>
          <cell r="Q311" t="str">
            <v>Sin Rate</v>
          </cell>
          <cell r="R311"/>
        </row>
        <row r="312">
          <cell r="O312">
            <v>40079223</v>
          </cell>
          <cell r="P312" t="str">
            <v>BIP</v>
          </cell>
          <cell r="Q312" t="str">
            <v>Sin Rate</v>
          </cell>
          <cell r="R312"/>
        </row>
        <row r="313">
          <cell r="O313">
            <v>40081595</v>
          </cell>
          <cell r="P313" t="str">
            <v>BIP</v>
          </cell>
          <cell r="Q313" t="str">
            <v>Sin Rate</v>
          </cell>
          <cell r="R313"/>
        </row>
        <row r="314">
          <cell r="O314">
            <v>40079211</v>
          </cell>
          <cell r="P314" t="str">
            <v>BIP</v>
          </cell>
          <cell r="Q314" t="str">
            <v>Sin Rate</v>
          </cell>
          <cell r="R314"/>
        </row>
        <row r="315">
          <cell r="O315">
            <v>40060318</v>
          </cell>
          <cell r="P315" t="str">
            <v>BIP</v>
          </cell>
          <cell r="Q315" t="str">
            <v>OT</v>
          </cell>
          <cell r="R315"/>
        </row>
        <row r="316">
          <cell r="O316">
            <v>30125824</v>
          </cell>
          <cell r="P316" t="str">
            <v>BIP</v>
          </cell>
          <cell r="Q316" t="str">
            <v>Sin Rate</v>
          </cell>
          <cell r="R316"/>
        </row>
        <row r="317">
          <cell r="O317">
            <v>40004598</v>
          </cell>
          <cell r="P317" t="str">
            <v>BIP</v>
          </cell>
          <cell r="Q317" t="str">
            <v>Sin Rate</v>
          </cell>
          <cell r="R317"/>
        </row>
        <row r="318">
          <cell r="O318">
            <v>40059805</v>
          </cell>
          <cell r="P318" t="str">
            <v>BIP</v>
          </cell>
          <cell r="Q318" t="str">
            <v>Sin Rate</v>
          </cell>
          <cell r="R318"/>
        </row>
        <row r="319">
          <cell r="O319">
            <v>40058484</v>
          </cell>
          <cell r="P319" t="str">
            <v>BIP</v>
          </cell>
          <cell r="Q319" t="str">
            <v>Sin Rate</v>
          </cell>
          <cell r="R319"/>
        </row>
        <row r="320">
          <cell r="O320">
            <v>40040220</v>
          </cell>
          <cell r="P320" t="str">
            <v>BIP</v>
          </cell>
          <cell r="Q320" t="str">
            <v>Sin Rate</v>
          </cell>
          <cell r="R320"/>
        </row>
        <row r="321">
          <cell r="O321">
            <v>40069983</v>
          </cell>
          <cell r="P321" t="str">
            <v>BIP</v>
          </cell>
          <cell r="Q321" t="str">
            <v>RS-GORE</v>
          </cell>
          <cell r="R321"/>
        </row>
        <row r="322">
          <cell r="O322">
            <v>40071250</v>
          </cell>
          <cell r="P322" t="str">
            <v>BIP</v>
          </cell>
          <cell r="Q322" t="str">
            <v>RS-GORE</v>
          </cell>
          <cell r="R322"/>
        </row>
        <row r="323">
          <cell r="O323">
            <v>40071265</v>
          </cell>
          <cell r="P323" t="str">
            <v>BIP</v>
          </cell>
          <cell r="Q323" t="str">
            <v>RS-GORE</v>
          </cell>
          <cell r="R323"/>
        </row>
        <row r="324">
          <cell r="O324">
            <v>40071279</v>
          </cell>
          <cell r="P324" t="str">
            <v>BIP</v>
          </cell>
          <cell r="Q324" t="str">
            <v>Sin Rate</v>
          </cell>
          <cell r="R324"/>
        </row>
        <row r="325">
          <cell r="O325">
            <v>40071280</v>
          </cell>
          <cell r="P325" t="str">
            <v>BIP</v>
          </cell>
          <cell r="Q325" t="str">
            <v>RS-GORE</v>
          </cell>
          <cell r="R325"/>
        </row>
        <row r="326">
          <cell r="O326">
            <v>40071282</v>
          </cell>
          <cell r="P326" t="str">
            <v>BIP</v>
          </cell>
          <cell r="Q326" t="str">
            <v>Sin Rate</v>
          </cell>
          <cell r="R326"/>
        </row>
        <row r="327">
          <cell r="O327">
            <v>40052180</v>
          </cell>
          <cell r="P327" t="str">
            <v>BIP</v>
          </cell>
          <cell r="Q327" t="str">
            <v>OT</v>
          </cell>
          <cell r="R327"/>
        </row>
        <row r="328">
          <cell r="O328">
            <v>40074904</v>
          </cell>
          <cell r="P328" t="str">
            <v>BIP</v>
          </cell>
          <cell r="Q328" t="str">
            <v>Sin Rate</v>
          </cell>
          <cell r="R328"/>
        </row>
        <row r="329">
          <cell r="O329">
            <v>40079337</v>
          </cell>
          <cell r="P329" t="str">
            <v>BIP</v>
          </cell>
          <cell r="Q329" t="str">
            <v>Sin Rate</v>
          </cell>
          <cell r="R329"/>
        </row>
        <row r="330">
          <cell r="O330">
            <v>40079338</v>
          </cell>
          <cell r="P330" t="str">
            <v>BIP</v>
          </cell>
          <cell r="Q330" t="str">
            <v>Sin Rate</v>
          </cell>
          <cell r="R330"/>
        </row>
        <row r="331">
          <cell r="O331">
            <v>40079038</v>
          </cell>
          <cell r="P331" t="str">
            <v>BIP</v>
          </cell>
          <cell r="Q331" t="str">
            <v>Sin Rate</v>
          </cell>
          <cell r="R331"/>
        </row>
        <row r="332">
          <cell r="O332">
            <v>40079349</v>
          </cell>
          <cell r="P332" t="str">
            <v>BIP</v>
          </cell>
          <cell r="Q332" t="str">
            <v>Sin Rate</v>
          </cell>
          <cell r="R332"/>
        </row>
        <row r="333">
          <cell r="O333">
            <v>40039645</v>
          </cell>
          <cell r="P333" t="str">
            <v>BIP</v>
          </cell>
          <cell r="Q333" t="str">
            <v>OT</v>
          </cell>
          <cell r="R333"/>
        </row>
        <row r="334">
          <cell r="O334">
            <v>40053062</v>
          </cell>
          <cell r="P334" t="str">
            <v>BIP</v>
          </cell>
          <cell r="Q334" t="str">
            <v>OT</v>
          </cell>
          <cell r="R334"/>
        </row>
        <row r="335">
          <cell r="O335">
            <v>40074574</v>
          </cell>
          <cell r="P335" t="str">
            <v>BIP</v>
          </cell>
          <cell r="Q335" t="str">
            <v>FI</v>
          </cell>
          <cell r="R335"/>
        </row>
        <row r="336">
          <cell r="O336">
            <v>40063290</v>
          </cell>
          <cell r="P336" t="str">
            <v>BIP</v>
          </cell>
          <cell r="Q336" t="str">
            <v>Sin Rate</v>
          </cell>
          <cell r="R336"/>
        </row>
        <row r="337">
          <cell r="O337">
            <v>40039582</v>
          </cell>
          <cell r="P337" t="str">
            <v>BIP</v>
          </cell>
          <cell r="Q337" t="str">
            <v>Sin Rate</v>
          </cell>
          <cell r="R337"/>
        </row>
        <row r="338">
          <cell r="O338">
            <v>40062743</v>
          </cell>
          <cell r="P338" t="str">
            <v>BIP</v>
          </cell>
          <cell r="Q338" t="str">
            <v>Sin Rate</v>
          </cell>
          <cell r="R338"/>
        </row>
        <row r="339">
          <cell r="O339">
            <v>40062796</v>
          </cell>
          <cell r="P339" t="str">
            <v>BIP</v>
          </cell>
          <cell r="Q339" t="str">
            <v>Sin Rate</v>
          </cell>
          <cell r="R339"/>
        </row>
        <row r="340">
          <cell r="O340">
            <v>40039548</v>
          </cell>
          <cell r="P340" t="str">
            <v>BIP</v>
          </cell>
          <cell r="Q340" t="str">
            <v>Sin Rate</v>
          </cell>
          <cell r="R340"/>
        </row>
        <row r="341">
          <cell r="O341">
            <v>40081356</v>
          </cell>
          <cell r="P341" t="str">
            <v>BIP</v>
          </cell>
          <cell r="Q341" t="str">
            <v>Sin Rate</v>
          </cell>
          <cell r="R341"/>
        </row>
        <row r="342">
          <cell r="O342">
            <v>40054227</v>
          </cell>
          <cell r="P342" t="str">
            <v>BIP</v>
          </cell>
          <cell r="Q342" t="str">
            <v>RS</v>
          </cell>
          <cell r="R342"/>
        </row>
        <row r="343">
          <cell r="O343">
            <v>40071481</v>
          </cell>
          <cell r="P343" t="str">
            <v>BIP</v>
          </cell>
          <cell r="Q343" t="str">
            <v>OT</v>
          </cell>
          <cell r="R343"/>
        </row>
        <row r="344">
          <cell r="O344">
            <v>40071472</v>
          </cell>
          <cell r="P344" t="str">
            <v>BIP</v>
          </cell>
          <cell r="Q344" t="str">
            <v>RS-GORE</v>
          </cell>
          <cell r="R344"/>
        </row>
        <row r="345">
          <cell r="O345">
            <v>40071483</v>
          </cell>
          <cell r="P345" t="str">
            <v>BIP</v>
          </cell>
          <cell r="Q345" t="str">
            <v>FI</v>
          </cell>
          <cell r="R345"/>
        </row>
        <row r="346">
          <cell r="O346">
            <v>40052037</v>
          </cell>
          <cell r="P346" t="str">
            <v>BIP</v>
          </cell>
          <cell r="Q346" t="str">
            <v>RS-GORE</v>
          </cell>
          <cell r="R346"/>
        </row>
        <row r="347">
          <cell r="O347">
            <v>40079123</v>
          </cell>
          <cell r="P347" t="str">
            <v>BIP</v>
          </cell>
          <cell r="Q347" t="str">
            <v>Sin Rate</v>
          </cell>
          <cell r="R347"/>
        </row>
        <row r="348">
          <cell r="O348">
            <v>40078806</v>
          </cell>
          <cell r="P348" t="str">
            <v>BIP</v>
          </cell>
          <cell r="Q348" t="str">
            <v>Sin Rate</v>
          </cell>
          <cell r="R348"/>
        </row>
        <row r="349">
          <cell r="O349">
            <v>40074940</v>
          </cell>
          <cell r="P349" t="str">
            <v>BIP</v>
          </cell>
          <cell r="Q349" t="str">
            <v>OT</v>
          </cell>
          <cell r="R349"/>
        </row>
        <row r="350">
          <cell r="O350">
            <v>40064059</v>
          </cell>
          <cell r="P350" t="str">
            <v>BIP</v>
          </cell>
          <cell r="Q350" t="str">
            <v>RS-GORE</v>
          </cell>
          <cell r="R350"/>
        </row>
        <row r="351">
          <cell r="O351">
            <v>40064061</v>
          </cell>
          <cell r="P351" t="str">
            <v>BIP</v>
          </cell>
          <cell r="Q351" t="str">
            <v>RS-GORE</v>
          </cell>
          <cell r="R351"/>
        </row>
        <row r="352">
          <cell r="O352">
            <v>40073904</v>
          </cell>
          <cell r="P352" t="str">
            <v>BIP</v>
          </cell>
          <cell r="Q352" t="str">
            <v>RS-GORE</v>
          </cell>
          <cell r="R352"/>
        </row>
        <row r="353">
          <cell r="O353">
            <v>40071114</v>
          </cell>
          <cell r="P353" t="str">
            <v>BIP</v>
          </cell>
          <cell r="Q353" t="str">
            <v>Sin Rate</v>
          </cell>
          <cell r="R353"/>
        </row>
        <row r="354">
          <cell r="O354">
            <v>40079129</v>
          </cell>
          <cell r="P354" t="str">
            <v>BIP</v>
          </cell>
          <cell r="Q354" t="str">
            <v>Sin Rate</v>
          </cell>
          <cell r="R354"/>
        </row>
        <row r="355">
          <cell r="O355">
            <v>40071765</v>
          </cell>
          <cell r="P355" t="str">
            <v>BIP</v>
          </cell>
          <cell r="Q355" t="str">
            <v>Sin Rate</v>
          </cell>
          <cell r="R355"/>
        </row>
        <row r="356">
          <cell r="O356">
            <v>40079248</v>
          </cell>
          <cell r="P356" t="str">
            <v>BIP</v>
          </cell>
          <cell r="Q356" t="str">
            <v>Sin Rate</v>
          </cell>
          <cell r="R356"/>
        </row>
        <row r="357">
          <cell r="O357">
            <v>50000703</v>
          </cell>
          <cell r="P357" t="str">
            <v>BIP</v>
          </cell>
          <cell r="Q357" t="str">
            <v>FI</v>
          </cell>
          <cell r="R357"/>
        </row>
        <row r="358">
          <cell r="O358">
            <v>40079251</v>
          </cell>
          <cell r="P358" t="str">
            <v>BIP</v>
          </cell>
          <cell r="Q358" t="str">
            <v>Sin Rate</v>
          </cell>
          <cell r="R358"/>
        </row>
        <row r="359">
          <cell r="O359">
            <v>40073253</v>
          </cell>
          <cell r="P359" t="str">
            <v>BIP</v>
          </cell>
          <cell r="Q359" t="str">
            <v>Sin Rate</v>
          </cell>
          <cell r="R359"/>
        </row>
        <row r="360">
          <cell r="O360">
            <v>40065547</v>
          </cell>
          <cell r="P360" t="str">
            <v>BIP</v>
          </cell>
          <cell r="Q360" t="str">
            <v>Sin Rate</v>
          </cell>
          <cell r="R360"/>
        </row>
        <row r="361">
          <cell r="O361">
            <v>40072903</v>
          </cell>
          <cell r="P361" t="str">
            <v>BIP</v>
          </cell>
          <cell r="Q361" t="str">
            <v>Sin Rate</v>
          </cell>
          <cell r="R361"/>
        </row>
        <row r="362">
          <cell r="O362">
            <v>40078495</v>
          </cell>
          <cell r="P362" t="str">
            <v>BIP</v>
          </cell>
          <cell r="Q362" t="str">
            <v>Sin Rate</v>
          </cell>
          <cell r="R362"/>
        </row>
        <row r="363">
          <cell r="O363">
            <v>40072947</v>
          </cell>
          <cell r="P363" t="str">
            <v>BIP</v>
          </cell>
          <cell r="Q363" t="str">
            <v>Sin Rate</v>
          </cell>
          <cell r="R363"/>
        </row>
        <row r="364">
          <cell r="O364">
            <v>40072821</v>
          </cell>
          <cell r="P364" t="str">
            <v>BIP</v>
          </cell>
          <cell r="Q364" t="str">
            <v>RS</v>
          </cell>
          <cell r="R364"/>
        </row>
        <row r="365">
          <cell r="O365">
            <v>30419694</v>
          </cell>
          <cell r="P365" t="str">
            <v>BIP</v>
          </cell>
          <cell r="Q365" t="str">
            <v>Sin Rate</v>
          </cell>
          <cell r="R365"/>
        </row>
        <row r="366">
          <cell r="O366">
            <v>40037891</v>
          </cell>
          <cell r="P366" t="str">
            <v>BIP</v>
          </cell>
          <cell r="Q366" t="str">
            <v>Sin Rate</v>
          </cell>
          <cell r="R366"/>
        </row>
        <row r="367">
          <cell r="O367">
            <v>40075419</v>
          </cell>
          <cell r="P367" t="str">
            <v>BIP</v>
          </cell>
          <cell r="Q367" t="str">
            <v>FI</v>
          </cell>
          <cell r="R367"/>
        </row>
        <row r="368">
          <cell r="O368">
            <v>40072695</v>
          </cell>
          <cell r="P368" t="str">
            <v>BIP</v>
          </cell>
          <cell r="Q368" t="str">
            <v>Sin Rate</v>
          </cell>
          <cell r="R368"/>
        </row>
        <row r="369">
          <cell r="O369">
            <v>40079646</v>
          </cell>
          <cell r="P369" t="str">
            <v>BIP</v>
          </cell>
          <cell r="Q369" t="str">
            <v>Sin Rate</v>
          </cell>
          <cell r="R369"/>
        </row>
        <row r="370">
          <cell r="O370">
            <v>40021925</v>
          </cell>
          <cell r="P370" t="str">
            <v>BIP</v>
          </cell>
          <cell r="Q370" t="str">
            <v>FI</v>
          </cell>
          <cell r="R370"/>
        </row>
        <row r="371">
          <cell r="O371">
            <v>40048803</v>
          </cell>
          <cell r="P371" t="str">
            <v>BIP</v>
          </cell>
          <cell r="Q371" t="str">
            <v>Sin Rate</v>
          </cell>
          <cell r="R371"/>
        </row>
        <row r="372">
          <cell r="O372">
            <v>40078361</v>
          </cell>
          <cell r="P372" t="str">
            <v>BIP</v>
          </cell>
          <cell r="Q372" t="str">
            <v>Sin Rate</v>
          </cell>
          <cell r="R372"/>
        </row>
        <row r="373">
          <cell r="O373">
            <v>40013952</v>
          </cell>
          <cell r="P373" t="str">
            <v>BIP</v>
          </cell>
          <cell r="Q373" t="str">
            <v>Sin Rate</v>
          </cell>
          <cell r="R373"/>
        </row>
        <row r="374">
          <cell r="O374">
            <v>40032409</v>
          </cell>
          <cell r="P374" t="str">
            <v>BIP</v>
          </cell>
          <cell r="Q374" t="str">
            <v>Sin Rate</v>
          </cell>
          <cell r="R374"/>
        </row>
        <row r="375">
          <cell r="O375">
            <v>40019279</v>
          </cell>
          <cell r="P375" t="str">
            <v>BIP</v>
          </cell>
          <cell r="Q375" t="str">
            <v>Sin Rate</v>
          </cell>
          <cell r="R375"/>
        </row>
        <row r="376">
          <cell r="O376">
            <v>40072717</v>
          </cell>
          <cell r="P376" t="str">
            <v>BIP</v>
          </cell>
          <cell r="Q376" t="str">
            <v>Sin Rate</v>
          </cell>
          <cell r="R376"/>
        </row>
        <row r="377">
          <cell r="O377">
            <v>40075435</v>
          </cell>
          <cell r="P377" t="str">
            <v>BIP</v>
          </cell>
          <cell r="Q377" t="str">
            <v>Sin Rate</v>
          </cell>
          <cell r="R377"/>
        </row>
        <row r="378">
          <cell r="O378">
            <v>40077365</v>
          </cell>
          <cell r="P378" t="str">
            <v>BIP</v>
          </cell>
          <cell r="Q378" t="str">
            <v>Sin Rate</v>
          </cell>
          <cell r="R378"/>
        </row>
        <row r="379">
          <cell r="O379">
            <v>40079578</v>
          </cell>
          <cell r="P379" t="str">
            <v>BIP</v>
          </cell>
          <cell r="Q379" t="str">
            <v>Sin Rate</v>
          </cell>
          <cell r="R379"/>
        </row>
        <row r="380">
          <cell r="O380">
            <v>40079568</v>
          </cell>
          <cell r="P380" t="str">
            <v>BIP</v>
          </cell>
          <cell r="Q380" t="str">
            <v>Sin Rate</v>
          </cell>
          <cell r="R380"/>
        </row>
        <row r="381">
          <cell r="O381">
            <v>40072730</v>
          </cell>
          <cell r="P381" t="str">
            <v>BIP</v>
          </cell>
          <cell r="Q381" t="str">
            <v>Sin Rate</v>
          </cell>
          <cell r="R381"/>
        </row>
        <row r="382">
          <cell r="O382">
            <v>40072628</v>
          </cell>
          <cell r="P382" t="str">
            <v>BIP</v>
          </cell>
          <cell r="Q382" t="str">
            <v>RS-GORE</v>
          </cell>
          <cell r="R382"/>
        </row>
        <row r="383">
          <cell r="O383">
            <v>40074153</v>
          </cell>
          <cell r="P383" t="str">
            <v>BIP</v>
          </cell>
          <cell r="Q383" t="str">
            <v>Sin Rate</v>
          </cell>
          <cell r="R383"/>
        </row>
        <row r="384">
          <cell r="O384">
            <v>40079812</v>
          </cell>
          <cell r="P384" t="str">
            <v>BIP</v>
          </cell>
          <cell r="Q384" t="str">
            <v>Sin Rate</v>
          </cell>
          <cell r="R384"/>
        </row>
        <row r="385">
          <cell r="O385">
            <v>40072350</v>
          </cell>
          <cell r="P385" t="str">
            <v>BIP</v>
          </cell>
          <cell r="Q385" t="str">
            <v>Sin Rate</v>
          </cell>
          <cell r="R385"/>
        </row>
        <row r="386">
          <cell r="O386">
            <v>40079813</v>
          </cell>
          <cell r="P386" t="str">
            <v>BIP</v>
          </cell>
          <cell r="Q386" t="str">
            <v>Sin Rate</v>
          </cell>
          <cell r="R386"/>
        </row>
        <row r="387">
          <cell r="O387">
            <v>40079815</v>
          </cell>
          <cell r="P387" t="str">
            <v>BIP</v>
          </cell>
          <cell r="Q387" t="str">
            <v>Sin Rate</v>
          </cell>
          <cell r="R387"/>
        </row>
        <row r="388">
          <cell r="O388">
            <v>40079931</v>
          </cell>
          <cell r="P388" t="str">
            <v>BIP</v>
          </cell>
          <cell r="Q388" t="str">
            <v>Sin Rate</v>
          </cell>
          <cell r="R388"/>
        </row>
        <row r="389">
          <cell r="O389">
            <v>40050856</v>
          </cell>
          <cell r="P389" t="str">
            <v>BIP</v>
          </cell>
          <cell r="Q389" t="str">
            <v>Sin Rate</v>
          </cell>
          <cell r="R389"/>
        </row>
        <row r="390">
          <cell r="O390">
            <v>40081118</v>
          </cell>
          <cell r="P390" t="str">
            <v>BIP</v>
          </cell>
          <cell r="Q390" t="str">
            <v>Sin Rate</v>
          </cell>
          <cell r="R390"/>
        </row>
        <row r="391">
          <cell r="O391">
            <v>40081119</v>
          </cell>
          <cell r="P391" t="str">
            <v>BIP</v>
          </cell>
          <cell r="Q391" t="str">
            <v>Sin Rate</v>
          </cell>
          <cell r="R391"/>
        </row>
        <row r="392">
          <cell r="O392">
            <v>40079935</v>
          </cell>
          <cell r="P392" t="str">
            <v>BIP</v>
          </cell>
          <cell r="Q392" t="str">
            <v>Sin Rate</v>
          </cell>
          <cell r="R392"/>
        </row>
        <row r="393">
          <cell r="O393">
            <v>30116040</v>
          </cell>
          <cell r="P393" t="str">
            <v>BIP</v>
          </cell>
          <cell r="Q393" t="str">
            <v>RS</v>
          </cell>
          <cell r="R393"/>
        </row>
        <row r="394">
          <cell r="O394">
            <v>40080342</v>
          </cell>
          <cell r="P394" t="str">
            <v>BIP</v>
          </cell>
          <cell r="Q394" t="str">
            <v>Sin Rate</v>
          </cell>
          <cell r="R394"/>
        </row>
        <row r="395">
          <cell r="O395">
            <v>30316824</v>
          </cell>
          <cell r="P395" t="str">
            <v>BIP</v>
          </cell>
          <cell r="Q395" t="str">
            <v>Sin Rate</v>
          </cell>
          <cell r="R395"/>
        </row>
        <row r="396">
          <cell r="O396">
            <v>40080343</v>
          </cell>
          <cell r="P396" t="str">
            <v>BIP</v>
          </cell>
          <cell r="Q396" t="str">
            <v>Sin Rate</v>
          </cell>
          <cell r="R396"/>
        </row>
        <row r="397">
          <cell r="O397">
            <v>40019378</v>
          </cell>
          <cell r="P397" t="str">
            <v>BIP</v>
          </cell>
          <cell r="Q397" t="str">
            <v>Sin Rate</v>
          </cell>
          <cell r="R397"/>
        </row>
        <row r="398">
          <cell r="O398">
            <v>40073223</v>
          </cell>
          <cell r="P398" t="str">
            <v>BIP</v>
          </cell>
          <cell r="Q398" t="str">
            <v>Sin Rate</v>
          </cell>
          <cell r="R398"/>
        </row>
        <row r="399">
          <cell r="O399">
            <v>40032936</v>
          </cell>
          <cell r="P399" t="str">
            <v>BIP</v>
          </cell>
          <cell r="Q399" t="str">
            <v>Sin Rate</v>
          </cell>
          <cell r="R399"/>
        </row>
        <row r="400">
          <cell r="O400">
            <v>40043226</v>
          </cell>
          <cell r="P400" t="str">
            <v>BIP</v>
          </cell>
          <cell r="Q400" t="str">
            <v>OT</v>
          </cell>
          <cell r="R400"/>
        </row>
        <row r="401">
          <cell r="O401">
            <v>40054892</v>
          </cell>
          <cell r="P401" t="str">
            <v>BIP</v>
          </cell>
          <cell r="Q401" t="str">
            <v>OT</v>
          </cell>
          <cell r="R401"/>
        </row>
        <row r="402">
          <cell r="O402">
            <v>40065066</v>
          </cell>
          <cell r="P402" t="str">
            <v>BIP</v>
          </cell>
          <cell r="Q402" t="str">
            <v>Sin Rate</v>
          </cell>
          <cell r="R402"/>
        </row>
        <row r="403">
          <cell r="O403">
            <v>40074058</v>
          </cell>
          <cell r="P403" t="str">
            <v>BIP</v>
          </cell>
          <cell r="Q403" t="str">
            <v>Sin Rate</v>
          </cell>
          <cell r="R403"/>
        </row>
        <row r="404">
          <cell r="O404">
            <v>40015899</v>
          </cell>
          <cell r="P404" t="str">
            <v>BIP</v>
          </cell>
          <cell r="Q404" t="str">
            <v>Sin Rate</v>
          </cell>
          <cell r="R404"/>
        </row>
        <row r="405">
          <cell r="O405">
            <v>40070963</v>
          </cell>
          <cell r="P405" t="str">
            <v>BIP</v>
          </cell>
          <cell r="Q405" t="str">
            <v>RS-GORE</v>
          </cell>
          <cell r="R405"/>
        </row>
        <row r="406">
          <cell r="O406">
            <v>40080636</v>
          </cell>
          <cell r="P406" t="str">
            <v>BIP</v>
          </cell>
          <cell r="Q406" t="str">
            <v>Sin Rate</v>
          </cell>
          <cell r="R406"/>
        </row>
        <row r="407">
          <cell r="O407">
            <v>40043234</v>
          </cell>
          <cell r="P407" t="str">
            <v>BIP</v>
          </cell>
          <cell r="Q407" t="str">
            <v>RS-GORE</v>
          </cell>
          <cell r="R407"/>
        </row>
        <row r="408">
          <cell r="O408">
            <v>40024992</v>
          </cell>
          <cell r="P408" t="str">
            <v>BIP</v>
          </cell>
          <cell r="Q408" t="str">
            <v>OT</v>
          </cell>
          <cell r="R408"/>
        </row>
        <row r="409">
          <cell r="O409">
            <v>40054224</v>
          </cell>
          <cell r="P409" t="str">
            <v>BIP</v>
          </cell>
          <cell r="Q409" t="str">
            <v>Sin Rate</v>
          </cell>
          <cell r="R409"/>
        </row>
        <row r="410">
          <cell r="O410">
            <v>40072958</v>
          </cell>
          <cell r="P410" t="str">
            <v>BIP</v>
          </cell>
          <cell r="Q410" t="str">
            <v>Sin Rate</v>
          </cell>
          <cell r="R410"/>
        </row>
        <row r="411">
          <cell r="O411">
            <v>40076306</v>
          </cell>
          <cell r="P411" t="str">
            <v>BIP</v>
          </cell>
          <cell r="Q411" t="str">
            <v>RS-GORE</v>
          </cell>
          <cell r="R411"/>
        </row>
        <row r="412">
          <cell r="O412">
            <v>40041153</v>
          </cell>
          <cell r="P412" t="str">
            <v>BIP</v>
          </cell>
          <cell r="Q412" t="str">
            <v>RS-GORE</v>
          </cell>
          <cell r="R412"/>
        </row>
        <row r="413">
          <cell r="O413">
            <v>30126628</v>
          </cell>
          <cell r="P413" t="str">
            <v>BIP</v>
          </cell>
          <cell r="Q413" t="str">
            <v>Sin Rate</v>
          </cell>
          <cell r="R413"/>
        </row>
        <row r="414">
          <cell r="O414">
            <v>40075367</v>
          </cell>
          <cell r="P414" t="str">
            <v>BIP</v>
          </cell>
          <cell r="Q414" t="str">
            <v>Sin Rate</v>
          </cell>
          <cell r="R414"/>
        </row>
        <row r="415">
          <cell r="O415">
            <v>40078825</v>
          </cell>
          <cell r="P415" t="str">
            <v>BIP</v>
          </cell>
          <cell r="Q415" t="str">
            <v>Sin Rate</v>
          </cell>
          <cell r="R415"/>
        </row>
        <row r="416">
          <cell r="O416">
            <v>30326923</v>
          </cell>
          <cell r="P416" t="str">
            <v>BIP</v>
          </cell>
          <cell r="Q416" t="str">
            <v>Sin Rate</v>
          </cell>
          <cell r="R416"/>
        </row>
        <row r="417">
          <cell r="O417">
            <v>40081553</v>
          </cell>
          <cell r="P417" t="str">
            <v>BIP</v>
          </cell>
          <cell r="Q417" t="str">
            <v>Sin Rate</v>
          </cell>
          <cell r="R417"/>
        </row>
        <row r="418">
          <cell r="O418">
            <v>30103541</v>
          </cell>
          <cell r="P418" t="str">
            <v>BIP</v>
          </cell>
          <cell r="Q418" t="str">
            <v>RS</v>
          </cell>
          <cell r="R418"/>
        </row>
        <row r="419">
          <cell r="O419">
            <v>40071785</v>
          </cell>
          <cell r="P419" t="str">
            <v>BIP</v>
          </cell>
          <cell r="Q419" t="str">
            <v>Sin Rate</v>
          </cell>
          <cell r="R419"/>
        </row>
        <row r="420">
          <cell r="O420">
            <v>40064081</v>
          </cell>
          <cell r="P420" t="str">
            <v>BIP</v>
          </cell>
          <cell r="Q420" t="str">
            <v>Sin Rate</v>
          </cell>
          <cell r="R420"/>
        </row>
        <row r="421">
          <cell r="O421">
            <v>40080360</v>
          </cell>
          <cell r="P421" t="str">
            <v>BIP</v>
          </cell>
          <cell r="Q421" t="str">
            <v>Sin Rate</v>
          </cell>
          <cell r="R421"/>
        </row>
        <row r="422">
          <cell r="O422">
            <v>40080479</v>
          </cell>
          <cell r="P422" t="str">
            <v>BIP</v>
          </cell>
          <cell r="Q422" t="str">
            <v>Sin Rate</v>
          </cell>
          <cell r="R422"/>
        </row>
        <row r="423">
          <cell r="O423">
            <v>40064838</v>
          </cell>
          <cell r="P423" t="str">
            <v>BIP</v>
          </cell>
          <cell r="Q423" t="str">
            <v>Sin Rate</v>
          </cell>
          <cell r="R423"/>
        </row>
        <row r="424">
          <cell r="O424">
            <v>40061037</v>
          </cell>
          <cell r="P424" t="str">
            <v>BIP</v>
          </cell>
          <cell r="Q424" t="str">
            <v>Sin Rate</v>
          </cell>
          <cell r="R424"/>
        </row>
        <row r="425">
          <cell r="O425">
            <v>40062741</v>
          </cell>
          <cell r="P425" t="str">
            <v>BIP</v>
          </cell>
          <cell r="Q425" t="str">
            <v>Sin Rate</v>
          </cell>
          <cell r="R425"/>
        </row>
        <row r="426">
          <cell r="O426">
            <v>40074173</v>
          </cell>
          <cell r="P426" t="str">
            <v>BIP</v>
          </cell>
          <cell r="Q426" t="str">
            <v>Sin Rate</v>
          </cell>
          <cell r="R426"/>
        </row>
        <row r="427">
          <cell r="O427">
            <v>40064446</v>
          </cell>
          <cell r="P427" t="str">
            <v>BIP</v>
          </cell>
          <cell r="Q427" t="str">
            <v>Sin Rate</v>
          </cell>
          <cell r="R427"/>
        </row>
        <row r="428">
          <cell r="O428">
            <v>40059318</v>
          </cell>
          <cell r="P428" t="str">
            <v>BIP</v>
          </cell>
          <cell r="Q428" t="str">
            <v>FI</v>
          </cell>
          <cell r="R428"/>
        </row>
        <row r="429">
          <cell r="O429">
            <v>30341678</v>
          </cell>
          <cell r="P429" t="str">
            <v>BIP</v>
          </cell>
          <cell r="Q429" t="str">
            <v>RS-GORE</v>
          </cell>
          <cell r="R429"/>
        </row>
        <row r="430">
          <cell r="O430">
            <v>40073040</v>
          </cell>
          <cell r="P430" t="str">
            <v>BIP</v>
          </cell>
          <cell r="Q430" t="str">
            <v>Sin Rate</v>
          </cell>
          <cell r="R430"/>
        </row>
        <row r="431">
          <cell r="O431">
            <v>40031970</v>
          </cell>
          <cell r="P431" t="str">
            <v>BIP</v>
          </cell>
          <cell r="Q431" t="str">
            <v>OT</v>
          </cell>
          <cell r="R431"/>
        </row>
        <row r="432">
          <cell r="O432">
            <v>40073420</v>
          </cell>
          <cell r="P432" t="str">
            <v>BIP</v>
          </cell>
          <cell r="Q432" t="str">
            <v>Sin Rate</v>
          </cell>
          <cell r="R432"/>
        </row>
        <row r="433">
          <cell r="O433">
            <v>40053066</v>
          </cell>
          <cell r="P433" t="str">
            <v>BIP</v>
          </cell>
          <cell r="Q433" t="str">
            <v>Sin Rate</v>
          </cell>
          <cell r="R433"/>
        </row>
        <row r="434">
          <cell r="O434">
            <v>40073422</v>
          </cell>
          <cell r="P434" t="str">
            <v>BIP</v>
          </cell>
          <cell r="Q434" t="str">
            <v>Sin Rate</v>
          </cell>
          <cell r="R434"/>
        </row>
        <row r="435">
          <cell r="O435">
            <v>40073518</v>
          </cell>
          <cell r="P435" t="str">
            <v>BIP</v>
          </cell>
          <cell r="Q435" t="str">
            <v>Sin Rate</v>
          </cell>
          <cell r="R435"/>
        </row>
        <row r="436">
          <cell r="O436">
            <v>40064827</v>
          </cell>
          <cell r="P436" t="str">
            <v>BIP</v>
          </cell>
          <cell r="Q436" t="str">
            <v>Sin Rate</v>
          </cell>
          <cell r="R436"/>
        </row>
        <row r="437">
          <cell r="O437">
            <v>40075366</v>
          </cell>
          <cell r="P437" t="str">
            <v>BIP</v>
          </cell>
          <cell r="Q437" t="str">
            <v>Sin Rate</v>
          </cell>
          <cell r="R437"/>
        </row>
        <row r="438">
          <cell r="O438">
            <v>40076383</v>
          </cell>
          <cell r="P438" t="str">
            <v>BIP</v>
          </cell>
          <cell r="Q438" t="str">
            <v>Sin Rate</v>
          </cell>
          <cell r="R438"/>
        </row>
        <row r="439">
          <cell r="O439">
            <v>40076384</v>
          </cell>
          <cell r="P439" t="str">
            <v>BIP</v>
          </cell>
          <cell r="Q439" t="str">
            <v>Sin Rate</v>
          </cell>
          <cell r="R439"/>
        </row>
        <row r="440">
          <cell r="O440">
            <v>40073512</v>
          </cell>
          <cell r="P440" t="str">
            <v>BIP</v>
          </cell>
          <cell r="Q440" t="str">
            <v>Sin Rate</v>
          </cell>
          <cell r="R440"/>
        </row>
        <row r="441">
          <cell r="O441">
            <v>40080712</v>
          </cell>
          <cell r="P441" t="str">
            <v>BIP</v>
          </cell>
          <cell r="Q441" t="str">
            <v>Sin Rate</v>
          </cell>
          <cell r="R441"/>
        </row>
        <row r="442">
          <cell r="O442">
            <v>40080719</v>
          </cell>
          <cell r="P442" t="str">
            <v>BIP</v>
          </cell>
          <cell r="Q442" t="str">
            <v>Sin Rate</v>
          </cell>
          <cell r="R442"/>
        </row>
        <row r="443">
          <cell r="O443">
            <v>40075634</v>
          </cell>
          <cell r="P443" t="str">
            <v>BIP</v>
          </cell>
          <cell r="Q443" t="str">
            <v>Sin Rate</v>
          </cell>
          <cell r="R443"/>
        </row>
        <row r="444">
          <cell r="O444">
            <v>40075003</v>
          </cell>
          <cell r="P444" t="str">
            <v>BIP</v>
          </cell>
          <cell r="Q444" t="str">
            <v>Sin Rate</v>
          </cell>
          <cell r="R444"/>
        </row>
        <row r="445">
          <cell r="O445">
            <v>40014492</v>
          </cell>
          <cell r="P445" t="str">
            <v>BIP</v>
          </cell>
          <cell r="Q445" t="str">
            <v>RS-GORE</v>
          </cell>
          <cell r="R445"/>
        </row>
        <row r="446">
          <cell r="O446">
            <v>40076866</v>
          </cell>
          <cell r="P446" t="str">
            <v>BIP</v>
          </cell>
          <cell r="Q446" t="str">
            <v>Sin Rate</v>
          </cell>
          <cell r="R446"/>
        </row>
        <row r="447">
          <cell r="O447">
            <v>40025177</v>
          </cell>
          <cell r="P447" t="str">
            <v>BIP</v>
          </cell>
          <cell r="Q447" t="str">
            <v>Sin Rate</v>
          </cell>
          <cell r="R447"/>
        </row>
        <row r="448">
          <cell r="O448">
            <v>40041558</v>
          </cell>
          <cell r="P448" t="str">
            <v>BIP</v>
          </cell>
          <cell r="Q448" t="str">
            <v>FI</v>
          </cell>
          <cell r="R448"/>
        </row>
        <row r="449">
          <cell r="O449">
            <v>40081242</v>
          </cell>
          <cell r="P449" t="str">
            <v>BIP</v>
          </cell>
          <cell r="Q449" t="str">
            <v>Sin Rate</v>
          </cell>
          <cell r="R449"/>
        </row>
        <row r="450">
          <cell r="O450">
            <v>40081245</v>
          </cell>
          <cell r="P450" t="str">
            <v>BIP</v>
          </cell>
          <cell r="Q450" t="str">
            <v>Sin Rate</v>
          </cell>
          <cell r="R450"/>
        </row>
        <row r="451">
          <cell r="O451">
            <v>40077747</v>
          </cell>
          <cell r="P451" t="str">
            <v>BIP</v>
          </cell>
          <cell r="Q451" t="str">
            <v>Sin Rate</v>
          </cell>
          <cell r="R451"/>
        </row>
        <row r="452">
          <cell r="O452">
            <v>40081246</v>
          </cell>
          <cell r="P452" t="str">
            <v>BIP</v>
          </cell>
          <cell r="Q452" t="str">
            <v>Sin Rate</v>
          </cell>
          <cell r="R452"/>
        </row>
        <row r="453">
          <cell r="O453">
            <v>40081248</v>
          </cell>
          <cell r="P453" t="str">
            <v>BIP</v>
          </cell>
          <cell r="Q453" t="str">
            <v>Sin Rate</v>
          </cell>
          <cell r="R453"/>
        </row>
        <row r="454">
          <cell r="O454">
            <v>40081249</v>
          </cell>
          <cell r="P454" t="str">
            <v>BIP</v>
          </cell>
          <cell r="Q454" t="str">
            <v>Sin Rate</v>
          </cell>
          <cell r="R454"/>
        </row>
        <row r="455">
          <cell r="O455">
            <v>40081014</v>
          </cell>
          <cell r="P455" t="str">
            <v>BIP</v>
          </cell>
          <cell r="Q455" t="str">
            <v>Sin Rate</v>
          </cell>
          <cell r="R455"/>
        </row>
        <row r="456">
          <cell r="O456">
            <v>40073933</v>
          </cell>
          <cell r="P456" t="str">
            <v>BIP</v>
          </cell>
          <cell r="Q456" t="str">
            <v>FI</v>
          </cell>
          <cell r="R456"/>
        </row>
        <row r="457">
          <cell r="O457">
            <v>40081250</v>
          </cell>
          <cell r="P457" t="str">
            <v>BIP</v>
          </cell>
          <cell r="Q457" t="str">
            <v>Sin Rate</v>
          </cell>
          <cell r="R457"/>
        </row>
        <row r="458">
          <cell r="O458">
            <v>40081251</v>
          </cell>
          <cell r="P458" t="str">
            <v>BIP</v>
          </cell>
          <cell r="Q458" t="str">
            <v>Sin Rate</v>
          </cell>
          <cell r="R458"/>
        </row>
        <row r="459">
          <cell r="O459">
            <v>40081252</v>
          </cell>
          <cell r="P459" t="str">
            <v>BIP</v>
          </cell>
          <cell r="Q459" t="str">
            <v>Sin Rate</v>
          </cell>
          <cell r="R459"/>
        </row>
        <row r="460">
          <cell r="O460">
            <v>40077742</v>
          </cell>
          <cell r="P460" t="str">
            <v>BIP</v>
          </cell>
          <cell r="Q460" t="str">
            <v>Sin Rate</v>
          </cell>
          <cell r="R460"/>
        </row>
        <row r="461">
          <cell r="O461">
            <v>40081256</v>
          </cell>
          <cell r="P461" t="str">
            <v>BIP</v>
          </cell>
          <cell r="Q461" t="str">
            <v>Sin Rate</v>
          </cell>
          <cell r="R461"/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I 26 C33"/>
      <sheetName val="INSTRUCCIONES"/>
      <sheetName val="DATOS_PREINVERSION "/>
      <sheetName val="Terminan (Borrar)"/>
      <sheetName val="Dominio campos"/>
    </sheetNames>
    <sheetDataSet>
      <sheetData sheetId="0">
        <row r="1">
          <cell r="C1">
            <v>14</v>
          </cell>
          <cell r="D1">
            <v>15</v>
          </cell>
        </row>
        <row r="2">
          <cell r="C2" t="str">
            <v>Código</v>
          </cell>
          <cell r="D2" t="str">
            <v>Tipo de código</v>
          </cell>
        </row>
        <row r="3">
          <cell r="C3">
            <v>30070862</v>
          </cell>
          <cell r="D3" t="str">
            <v>BIP</v>
          </cell>
        </row>
        <row r="4">
          <cell r="C4">
            <v>40008282</v>
          </cell>
          <cell r="D4" t="str">
            <v>BIP</v>
          </cell>
        </row>
        <row r="5">
          <cell r="C5">
            <v>30257472</v>
          </cell>
          <cell r="D5" t="str">
            <v>BIP</v>
          </cell>
        </row>
        <row r="6">
          <cell r="C6">
            <v>40015398</v>
          </cell>
          <cell r="D6" t="str">
            <v>BIP</v>
          </cell>
        </row>
        <row r="7">
          <cell r="C7">
            <v>40015396</v>
          </cell>
          <cell r="D7" t="str">
            <v>BIP</v>
          </cell>
        </row>
        <row r="8">
          <cell r="C8">
            <v>40042947</v>
          </cell>
          <cell r="D8" t="str">
            <v>BIP</v>
          </cell>
        </row>
        <row r="9">
          <cell r="C9">
            <v>40039803</v>
          </cell>
          <cell r="D9" t="str">
            <v>BIP</v>
          </cell>
        </row>
        <row r="10">
          <cell r="C10">
            <v>40030820</v>
          </cell>
          <cell r="D10" t="str">
            <v>BIP</v>
          </cell>
        </row>
        <row r="11">
          <cell r="C11">
            <v>40041629</v>
          </cell>
          <cell r="D11" t="str">
            <v>BIP</v>
          </cell>
        </row>
        <row r="12">
          <cell r="C12">
            <v>40051437</v>
          </cell>
          <cell r="D12" t="str">
            <v>BIP</v>
          </cell>
        </row>
        <row r="13">
          <cell r="C13">
            <v>40032775</v>
          </cell>
          <cell r="D13" t="str">
            <v>BIP</v>
          </cell>
        </row>
        <row r="14">
          <cell r="C14">
            <v>30171924</v>
          </cell>
          <cell r="D14" t="str">
            <v>BIP</v>
          </cell>
        </row>
        <row r="15">
          <cell r="C15">
            <v>40047721</v>
          </cell>
          <cell r="D15" t="str">
            <v>BIP</v>
          </cell>
        </row>
        <row r="16">
          <cell r="C16">
            <v>40033259</v>
          </cell>
          <cell r="D16" t="str">
            <v>BIP</v>
          </cell>
        </row>
        <row r="17">
          <cell r="C17">
            <v>40004341</v>
          </cell>
          <cell r="D17" t="str">
            <v>BIP</v>
          </cell>
        </row>
        <row r="18">
          <cell r="C18">
            <v>40008370</v>
          </cell>
          <cell r="D18" t="str">
            <v>BIP</v>
          </cell>
        </row>
        <row r="19">
          <cell r="C19">
            <v>30280673</v>
          </cell>
          <cell r="D19" t="str">
            <v>BIP</v>
          </cell>
        </row>
        <row r="20">
          <cell r="C20">
            <v>40010103</v>
          </cell>
          <cell r="D20" t="str">
            <v>BIP</v>
          </cell>
        </row>
        <row r="21">
          <cell r="C21">
            <v>40013103</v>
          </cell>
          <cell r="D21" t="str">
            <v>BIP</v>
          </cell>
        </row>
        <row r="22">
          <cell r="C22">
            <v>40052927</v>
          </cell>
          <cell r="D22" t="str">
            <v>BIP</v>
          </cell>
        </row>
        <row r="23">
          <cell r="C23">
            <v>40032117</v>
          </cell>
          <cell r="D23" t="str">
            <v>BIP</v>
          </cell>
        </row>
        <row r="24">
          <cell r="C24">
            <v>30071878</v>
          </cell>
          <cell r="D24" t="str">
            <v>BIP</v>
          </cell>
        </row>
        <row r="25">
          <cell r="C25">
            <v>40019284</v>
          </cell>
          <cell r="D25" t="str">
            <v>BIP</v>
          </cell>
        </row>
        <row r="26">
          <cell r="C26">
            <v>40048761</v>
          </cell>
          <cell r="D26" t="str">
            <v>BIP</v>
          </cell>
        </row>
        <row r="27">
          <cell r="C27">
            <v>40043228</v>
          </cell>
          <cell r="D27" t="str">
            <v>BIP</v>
          </cell>
        </row>
        <row r="28">
          <cell r="C28">
            <v>30126943</v>
          </cell>
          <cell r="D28" t="str">
            <v>BIP</v>
          </cell>
        </row>
        <row r="29">
          <cell r="C29">
            <v>30123182</v>
          </cell>
          <cell r="D29" t="str">
            <v>BIP</v>
          </cell>
        </row>
        <row r="30">
          <cell r="C30">
            <v>40029293</v>
          </cell>
          <cell r="D30" t="str">
            <v>BIP</v>
          </cell>
        </row>
        <row r="31">
          <cell r="C31">
            <v>30072731</v>
          </cell>
          <cell r="D31" t="str">
            <v>BIP</v>
          </cell>
        </row>
        <row r="32">
          <cell r="C32">
            <v>40026872</v>
          </cell>
          <cell r="D32" t="str">
            <v>BIP</v>
          </cell>
        </row>
        <row r="33">
          <cell r="C33">
            <v>30270222</v>
          </cell>
          <cell r="D33" t="str">
            <v>BIP</v>
          </cell>
        </row>
        <row r="34">
          <cell r="C34">
            <v>30080922</v>
          </cell>
          <cell r="D34" t="str">
            <v>BIP</v>
          </cell>
        </row>
        <row r="35">
          <cell r="C35">
            <v>30115395</v>
          </cell>
          <cell r="D35" t="str">
            <v>BIP</v>
          </cell>
        </row>
        <row r="36">
          <cell r="C36">
            <v>20195455</v>
          </cell>
          <cell r="D36" t="str">
            <v>BIP</v>
          </cell>
        </row>
        <row r="37">
          <cell r="C37">
            <v>40009792</v>
          </cell>
          <cell r="D37" t="str">
            <v>BIP</v>
          </cell>
        </row>
        <row r="38">
          <cell r="C38">
            <v>30080921</v>
          </cell>
          <cell r="D38" t="str">
            <v>BIP</v>
          </cell>
        </row>
        <row r="39">
          <cell r="C39">
            <v>40035805</v>
          </cell>
          <cell r="D39" t="str">
            <v>BIP</v>
          </cell>
        </row>
        <row r="40">
          <cell r="C40">
            <v>40056949</v>
          </cell>
          <cell r="D40" t="str">
            <v>BIP</v>
          </cell>
        </row>
        <row r="41">
          <cell r="C41">
            <v>40058437</v>
          </cell>
          <cell r="D41" t="str">
            <v>BIP</v>
          </cell>
        </row>
        <row r="42">
          <cell r="C42">
            <v>30034826</v>
          </cell>
          <cell r="D42" t="str">
            <v>BIP</v>
          </cell>
        </row>
        <row r="43">
          <cell r="C43">
            <v>40005337</v>
          </cell>
          <cell r="D43" t="str">
            <v>BIP</v>
          </cell>
        </row>
        <row r="44">
          <cell r="C44">
            <v>20086686</v>
          </cell>
          <cell r="D44" t="str">
            <v>BIP</v>
          </cell>
        </row>
        <row r="45">
          <cell r="C45">
            <v>30135967</v>
          </cell>
          <cell r="D45" t="str">
            <v>BIP</v>
          </cell>
        </row>
        <row r="46">
          <cell r="C46">
            <v>30479286</v>
          </cell>
          <cell r="D46" t="str">
            <v>BIP</v>
          </cell>
        </row>
        <row r="47">
          <cell r="C47">
            <v>20181416</v>
          </cell>
          <cell r="D47" t="str">
            <v>BIP</v>
          </cell>
        </row>
        <row r="48">
          <cell r="C48">
            <v>40049581</v>
          </cell>
          <cell r="D48" t="str">
            <v>BIP</v>
          </cell>
        </row>
        <row r="49">
          <cell r="C49">
            <v>40055239</v>
          </cell>
          <cell r="D49" t="str">
            <v>BIP</v>
          </cell>
        </row>
        <row r="50">
          <cell r="C50">
            <v>40006863</v>
          </cell>
          <cell r="D50" t="str">
            <v>BIP</v>
          </cell>
        </row>
        <row r="51">
          <cell r="C51">
            <v>40015801</v>
          </cell>
          <cell r="D51" t="str">
            <v>BIP</v>
          </cell>
        </row>
        <row r="52">
          <cell r="C52">
            <v>40003812</v>
          </cell>
          <cell r="D52" t="str">
            <v>BIP</v>
          </cell>
        </row>
        <row r="53">
          <cell r="C53">
            <v>40019209</v>
          </cell>
          <cell r="D53" t="str">
            <v>BIP</v>
          </cell>
        </row>
        <row r="54">
          <cell r="C54">
            <v>40015528</v>
          </cell>
          <cell r="D54" t="str">
            <v>BIP</v>
          </cell>
        </row>
        <row r="55">
          <cell r="C55">
            <v>30085125</v>
          </cell>
          <cell r="D55" t="str">
            <v>BIP</v>
          </cell>
        </row>
        <row r="56">
          <cell r="C56">
            <v>30282773</v>
          </cell>
          <cell r="D56" t="str">
            <v>BIP</v>
          </cell>
        </row>
        <row r="57">
          <cell r="C57">
            <v>30212472</v>
          </cell>
          <cell r="D57" t="str">
            <v>BIP</v>
          </cell>
        </row>
        <row r="58">
          <cell r="C58">
            <v>30134714</v>
          </cell>
          <cell r="D58" t="str">
            <v>BIP</v>
          </cell>
        </row>
        <row r="59">
          <cell r="C59">
            <v>40042403</v>
          </cell>
          <cell r="D59" t="str">
            <v>BIP</v>
          </cell>
        </row>
        <row r="60">
          <cell r="C60">
            <v>30085259</v>
          </cell>
          <cell r="D60" t="str">
            <v>BIP</v>
          </cell>
        </row>
        <row r="61">
          <cell r="C61">
            <v>30485133</v>
          </cell>
          <cell r="D61" t="str">
            <v>BIP</v>
          </cell>
        </row>
        <row r="62">
          <cell r="C62">
            <v>40013412</v>
          </cell>
          <cell r="D62" t="str">
            <v>BIP</v>
          </cell>
        </row>
        <row r="63">
          <cell r="C63">
            <v>40025466</v>
          </cell>
          <cell r="D63" t="str">
            <v>BIP</v>
          </cell>
        </row>
        <row r="64">
          <cell r="C64">
            <v>40019376</v>
          </cell>
          <cell r="D64" t="str">
            <v>BIP</v>
          </cell>
        </row>
        <row r="65">
          <cell r="C65">
            <v>30125824</v>
          </cell>
          <cell r="D65" t="str">
            <v>BIP</v>
          </cell>
        </row>
        <row r="66">
          <cell r="C66">
            <v>40018868</v>
          </cell>
          <cell r="D66" t="str">
            <v>BIP</v>
          </cell>
        </row>
        <row r="67">
          <cell r="C67">
            <v>40004598</v>
          </cell>
          <cell r="D67" t="str">
            <v>BIP</v>
          </cell>
        </row>
        <row r="68">
          <cell r="C68">
            <v>40040251</v>
          </cell>
          <cell r="D68" t="str">
            <v>BIP</v>
          </cell>
        </row>
        <row r="69">
          <cell r="C69">
            <v>40024945</v>
          </cell>
          <cell r="D69" t="str">
            <v>BIP</v>
          </cell>
        </row>
        <row r="70">
          <cell r="C70">
            <v>40007573</v>
          </cell>
          <cell r="D70" t="str">
            <v>BIP</v>
          </cell>
        </row>
        <row r="71">
          <cell r="C71">
            <v>30399945</v>
          </cell>
          <cell r="D71" t="str">
            <v>BIP</v>
          </cell>
        </row>
        <row r="72">
          <cell r="C72">
            <v>30134234</v>
          </cell>
          <cell r="D72" t="str">
            <v>BIP</v>
          </cell>
        </row>
        <row r="73">
          <cell r="C73">
            <v>40038150</v>
          </cell>
          <cell r="D73" t="str">
            <v>BIP</v>
          </cell>
        </row>
        <row r="74">
          <cell r="C74">
            <v>40005800</v>
          </cell>
          <cell r="D74" t="str">
            <v>BIP</v>
          </cell>
        </row>
        <row r="75">
          <cell r="C75">
            <v>30134574</v>
          </cell>
          <cell r="D75" t="str">
            <v>BIP</v>
          </cell>
        </row>
        <row r="76">
          <cell r="C76">
            <v>30395422</v>
          </cell>
          <cell r="D76" t="str">
            <v>BIP</v>
          </cell>
        </row>
        <row r="77">
          <cell r="C77">
            <v>30064230</v>
          </cell>
          <cell r="D77" t="str">
            <v>BIP</v>
          </cell>
        </row>
        <row r="78">
          <cell r="C78">
            <v>30204522</v>
          </cell>
          <cell r="D78" t="str">
            <v>BIP</v>
          </cell>
        </row>
        <row r="79">
          <cell r="C79">
            <v>40023990</v>
          </cell>
          <cell r="D79" t="str">
            <v>BIP</v>
          </cell>
        </row>
        <row r="80">
          <cell r="C80">
            <v>30485331</v>
          </cell>
          <cell r="D80" t="str">
            <v>BIP</v>
          </cell>
        </row>
        <row r="81">
          <cell r="C81">
            <v>40019241</v>
          </cell>
          <cell r="D81" t="str">
            <v>BIP</v>
          </cell>
        </row>
        <row r="82">
          <cell r="C82">
            <v>40019874</v>
          </cell>
          <cell r="D82" t="str">
            <v>BIP</v>
          </cell>
        </row>
        <row r="83">
          <cell r="C83">
            <v>30087304</v>
          </cell>
          <cell r="D83" t="str">
            <v>BIP</v>
          </cell>
        </row>
        <row r="84">
          <cell r="C84">
            <v>40042377</v>
          </cell>
          <cell r="D84" t="str">
            <v>BIP</v>
          </cell>
        </row>
        <row r="85">
          <cell r="C85">
            <v>30364305</v>
          </cell>
          <cell r="D85" t="str">
            <v>BIP</v>
          </cell>
        </row>
        <row r="86">
          <cell r="C86">
            <v>30127010</v>
          </cell>
          <cell r="D86" t="str">
            <v>BIP</v>
          </cell>
        </row>
        <row r="87">
          <cell r="C87">
            <v>30077481</v>
          </cell>
          <cell r="D87" t="str">
            <v>BIP</v>
          </cell>
        </row>
        <row r="88">
          <cell r="C88">
            <v>30380331</v>
          </cell>
          <cell r="D88" t="str">
            <v>BIP</v>
          </cell>
        </row>
        <row r="89">
          <cell r="C89">
            <v>40019576</v>
          </cell>
          <cell r="D89" t="str">
            <v>BIP</v>
          </cell>
        </row>
        <row r="90">
          <cell r="C90">
            <v>40067969</v>
          </cell>
          <cell r="D90" t="str">
            <v>BIP</v>
          </cell>
        </row>
        <row r="91">
          <cell r="C91">
            <v>40025619</v>
          </cell>
          <cell r="D91" t="str">
            <v>BIP</v>
          </cell>
        </row>
        <row r="92">
          <cell r="C92">
            <v>40008322</v>
          </cell>
          <cell r="D92" t="str">
            <v>BIP</v>
          </cell>
        </row>
        <row r="93">
          <cell r="C93">
            <v>30214722</v>
          </cell>
          <cell r="D93" t="str">
            <v>BIP</v>
          </cell>
        </row>
        <row r="94">
          <cell r="C94">
            <v>30471852</v>
          </cell>
          <cell r="D94" t="str">
            <v>BIP</v>
          </cell>
        </row>
        <row r="95">
          <cell r="C95">
            <v>40014527</v>
          </cell>
          <cell r="D95" t="str">
            <v>BIP</v>
          </cell>
        </row>
        <row r="96">
          <cell r="C96">
            <v>30093353</v>
          </cell>
          <cell r="D96" t="str">
            <v>BIP</v>
          </cell>
        </row>
        <row r="97">
          <cell r="C97">
            <v>40057328</v>
          </cell>
          <cell r="D97" t="str">
            <v>BIP</v>
          </cell>
        </row>
        <row r="98">
          <cell r="C98">
            <v>20140221</v>
          </cell>
          <cell r="D98" t="str">
            <v>BIP</v>
          </cell>
        </row>
        <row r="99">
          <cell r="C99">
            <v>30076949</v>
          </cell>
          <cell r="D99" t="str">
            <v>BIP</v>
          </cell>
        </row>
        <row r="100">
          <cell r="C100">
            <v>40048286</v>
          </cell>
          <cell r="D100" t="str">
            <v>BIP</v>
          </cell>
        </row>
        <row r="101">
          <cell r="C101">
            <v>30126487</v>
          </cell>
          <cell r="D101" t="str">
            <v>BIP</v>
          </cell>
        </row>
        <row r="102">
          <cell r="C102">
            <v>20157700</v>
          </cell>
          <cell r="D102" t="str">
            <v>BIP</v>
          </cell>
        </row>
        <row r="103">
          <cell r="C103">
            <v>40022712</v>
          </cell>
          <cell r="D103" t="str">
            <v>BIP</v>
          </cell>
        </row>
        <row r="104">
          <cell r="C104">
            <v>30484959</v>
          </cell>
          <cell r="D104" t="str">
            <v>BIP</v>
          </cell>
        </row>
        <row r="105">
          <cell r="C105">
            <v>40031425</v>
          </cell>
          <cell r="D105" t="str">
            <v>BIP</v>
          </cell>
        </row>
        <row r="106">
          <cell r="C106">
            <v>40013031</v>
          </cell>
          <cell r="D106" t="str">
            <v>BIP</v>
          </cell>
        </row>
        <row r="107">
          <cell r="C107">
            <v>40052247</v>
          </cell>
          <cell r="D107" t="str">
            <v>BIP</v>
          </cell>
        </row>
        <row r="108">
          <cell r="C108">
            <v>40010316</v>
          </cell>
          <cell r="D108" t="str">
            <v>BIP</v>
          </cell>
        </row>
        <row r="109">
          <cell r="C109">
            <v>40040291</v>
          </cell>
          <cell r="D109" t="str">
            <v>BIP</v>
          </cell>
        </row>
        <row r="110">
          <cell r="C110">
            <v>30112096</v>
          </cell>
          <cell r="D110" t="str">
            <v>BIP</v>
          </cell>
        </row>
        <row r="111">
          <cell r="C111">
            <v>30072730</v>
          </cell>
          <cell r="D111" t="str">
            <v>BIP</v>
          </cell>
        </row>
        <row r="112">
          <cell r="C112">
            <v>40063532</v>
          </cell>
          <cell r="D112" t="str">
            <v>BIP</v>
          </cell>
        </row>
        <row r="113">
          <cell r="C113">
            <v>40051701</v>
          </cell>
          <cell r="D113" t="str">
            <v>BIP</v>
          </cell>
        </row>
        <row r="114">
          <cell r="C114">
            <v>40056255</v>
          </cell>
          <cell r="D114" t="str">
            <v>BIP</v>
          </cell>
        </row>
        <row r="115">
          <cell r="C115">
            <v>30129912</v>
          </cell>
          <cell r="D115" t="str">
            <v>BIP</v>
          </cell>
        </row>
        <row r="116">
          <cell r="C116">
            <v>40052180</v>
          </cell>
          <cell r="D116" t="str">
            <v>BIP</v>
          </cell>
        </row>
        <row r="117">
          <cell r="C117">
            <v>40053067</v>
          </cell>
          <cell r="D117" t="str">
            <v>BIP</v>
          </cell>
        </row>
        <row r="118">
          <cell r="C118">
            <v>40061640</v>
          </cell>
          <cell r="D118" t="str">
            <v>BIP</v>
          </cell>
        </row>
        <row r="119">
          <cell r="C119">
            <v>40054303</v>
          </cell>
          <cell r="D119" t="str">
            <v>BIP</v>
          </cell>
        </row>
        <row r="120">
          <cell r="C120">
            <v>30042613</v>
          </cell>
          <cell r="D120" t="str">
            <v>BIP</v>
          </cell>
        </row>
        <row r="121">
          <cell r="C121">
            <v>40028442</v>
          </cell>
          <cell r="D121" t="str">
            <v>BIP</v>
          </cell>
        </row>
        <row r="122">
          <cell r="C122">
            <v>40002386</v>
          </cell>
          <cell r="D122" t="str">
            <v>BIP</v>
          </cell>
        </row>
        <row r="123">
          <cell r="C123">
            <v>30488426</v>
          </cell>
          <cell r="D123" t="str">
            <v>BIP</v>
          </cell>
        </row>
        <row r="124">
          <cell r="C124">
            <v>30069919</v>
          </cell>
          <cell r="D124" t="str">
            <v>BIP</v>
          </cell>
        </row>
        <row r="125">
          <cell r="C125">
            <v>40007743</v>
          </cell>
          <cell r="D125" t="str">
            <v>BIP</v>
          </cell>
        </row>
        <row r="126">
          <cell r="C126">
            <v>30430173</v>
          </cell>
          <cell r="D126" t="str">
            <v>BIP</v>
          </cell>
        </row>
        <row r="127">
          <cell r="C127">
            <v>30396026</v>
          </cell>
          <cell r="D127" t="str">
            <v>BIP</v>
          </cell>
        </row>
        <row r="128">
          <cell r="C128">
            <v>30101055</v>
          </cell>
          <cell r="D128" t="str">
            <v>BIP</v>
          </cell>
        </row>
        <row r="129">
          <cell r="C129">
            <v>40049738</v>
          </cell>
          <cell r="D129" t="str">
            <v>BIP</v>
          </cell>
        </row>
        <row r="130">
          <cell r="C130">
            <v>40045829</v>
          </cell>
          <cell r="D130" t="str">
            <v>BIP</v>
          </cell>
        </row>
        <row r="131">
          <cell r="C131">
            <v>40063487</v>
          </cell>
          <cell r="D131" t="str">
            <v>BIP</v>
          </cell>
        </row>
        <row r="132">
          <cell r="C132">
            <v>40039350</v>
          </cell>
          <cell r="D132" t="str">
            <v>BIP</v>
          </cell>
        </row>
        <row r="133">
          <cell r="C133">
            <v>40027221</v>
          </cell>
          <cell r="D133" t="str">
            <v>BIP</v>
          </cell>
        </row>
        <row r="134">
          <cell r="C134">
            <v>40033589</v>
          </cell>
          <cell r="D134" t="str">
            <v>BIP</v>
          </cell>
        </row>
        <row r="135">
          <cell r="C135">
            <v>30381175</v>
          </cell>
          <cell r="D135" t="str">
            <v>BIP</v>
          </cell>
        </row>
        <row r="136">
          <cell r="C136">
            <v>30083335</v>
          </cell>
          <cell r="D136" t="str">
            <v>BIP</v>
          </cell>
        </row>
        <row r="137">
          <cell r="C137">
            <v>30083300</v>
          </cell>
          <cell r="D137" t="str">
            <v>BIP</v>
          </cell>
        </row>
        <row r="138">
          <cell r="C138">
            <v>40019999</v>
          </cell>
          <cell r="D138" t="str">
            <v>BIP</v>
          </cell>
        </row>
        <row r="139">
          <cell r="C139">
            <v>40062497</v>
          </cell>
          <cell r="D139" t="str">
            <v>BIP</v>
          </cell>
        </row>
        <row r="140">
          <cell r="C140">
            <v>30103541</v>
          </cell>
          <cell r="D140" t="str">
            <v>BIP</v>
          </cell>
        </row>
        <row r="141">
          <cell r="C141">
            <v>40041636</v>
          </cell>
          <cell r="D141" t="str">
            <v>BIP</v>
          </cell>
        </row>
        <row r="142">
          <cell r="C142">
            <v>40024235</v>
          </cell>
          <cell r="D142" t="str">
            <v>BIP</v>
          </cell>
        </row>
        <row r="143">
          <cell r="C143">
            <v>40056911</v>
          </cell>
          <cell r="D143" t="str">
            <v>BIP</v>
          </cell>
        </row>
        <row r="144">
          <cell r="C144">
            <v>30419694</v>
          </cell>
          <cell r="D144" t="str">
            <v>BIP</v>
          </cell>
        </row>
        <row r="145">
          <cell r="C145">
            <v>40047836</v>
          </cell>
          <cell r="D145" t="str">
            <v>BIP</v>
          </cell>
        </row>
        <row r="146">
          <cell r="C146">
            <v>40037396</v>
          </cell>
          <cell r="D146" t="str">
            <v>BIP</v>
          </cell>
        </row>
        <row r="147">
          <cell r="C147">
            <v>30386191</v>
          </cell>
          <cell r="D147" t="str">
            <v>BIP</v>
          </cell>
        </row>
        <row r="148">
          <cell r="C148">
            <v>30397627</v>
          </cell>
          <cell r="D148" t="str">
            <v>BIP</v>
          </cell>
        </row>
        <row r="149">
          <cell r="C149">
            <v>30342673</v>
          </cell>
          <cell r="D149" t="str">
            <v>BIP</v>
          </cell>
        </row>
        <row r="150">
          <cell r="C150">
            <v>30060589</v>
          </cell>
          <cell r="D150" t="str">
            <v>BIP</v>
          </cell>
        </row>
        <row r="151">
          <cell r="C151">
            <v>30384677</v>
          </cell>
          <cell r="D151" t="str">
            <v>BIP</v>
          </cell>
        </row>
        <row r="152">
          <cell r="C152">
            <v>40043670</v>
          </cell>
          <cell r="D152" t="str">
            <v>BIP</v>
          </cell>
        </row>
        <row r="153">
          <cell r="C153">
            <v>40032367</v>
          </cell>
          <cell r="D153" t="str">
            <v>BIP</v>
          </cell>
        </row>
        <row r="154">
          <cell r="C154">
            <v>40032097</v>
          </cell>
          <cell r="D154" t="str">
            <v>BIP</v>
          </cell>
        </row>
        <row r="155">
          <cell r="C155">
            <v>40046973</v>
          </cell>
          <cell r="D155" t="str">
            <v>BIP</v>
          </cell>
        </row>
        <row r="156">
          <cell r="C156">
            <v>40036420</v>
          </cell>
          <cell r="D156" t="str">
            <v>BIP</v>
          </cell>
        </row>
        <row r="157">
          <cell r="C157">
            <v>40056853</v>
          </cell>
          <cell r="D157" t="str">
            <v>BIP</v>
          </cell>
        </row>
        <row r="158">
          <cell r="C158">
            <v>30091074</v>
          </cell>
          <cell r="D158" t="str">
            <v>BIP</v>
          </cell>
        </row>
        <row r="159">
          <cell r="C159">
            <v>30129873</v>
          </cell>
          <cell r="D159" t="str">
            <v>BIP</v>
          </cell>
        </row>
        <row r="160">
          <cell r="C160">
            <v>30129886</v>
          </cell>
          <cell r="D160" t="str">
            <v>BIP</v>
          </cell>
        </row>
        <row r="161">
          <cell r="C161">
            <v>40049317</v>
          </cell>
          <cell r="D161" t="str">
            <v>BIP</v>
          </cell>
        </row>
        <row r="162">
          <cell r="C162">
            <v>40041382</v>
          </cell>
          <cell r="D162" t="str">
            <v>BIP</v>
          </cell>
        </row>
        <row r="163">
          <cell r="C163">
            <v>40055163</v>
          </cell>
          <cell r="D163" t="str">
            <v>BIP</v>
          </cell>
        </row>
        <row r="164">
          <cell r="C164">
            <v>40067325</v>
          </cell>
          <cell r="D164" t="str">
            <v>BIP</v>
          </cell>
        </row>
        <row r="165">
          <cell r="C165">
            <v>40026493</v>
          </cell>
          <cell r="D165" t="str">
            <v>BIP</v>
          </cell>
        </row>
        <row r="166">
          <cell r="C166">
            <v>40005745</v>
          </cell>
          <cell r="D166" t="str">
            <v>BIP</v>
          </cell>
        </row>
        <row r="167">
          <cell r="C167">
            <v>30326322</v>
          </cell>
          <cell r="D167" t="str">
            <v>BIP</v>
          </cell>
        </row>
        <row r="168">
          <cell r="C168">
            <v>40001662</v>
          </cell>
          <cell r="D168" t="str">
            <v>BIP</v>
          </cell>
        </row>
        <row r="169">
          <cell r="C169">
            <v>40049194</v>
          </cell>
          <cell r="D169" t="str">
            <v>BIP</v>
          </cell>
        </row>
        <row r="170">
          <cell r="C170">
            <v>40009791</v>
          </cell>
          <cell r="D170" t="str">
            <v>BIP</v>
          </cell>
        </row>
        <row r="171">
          <cell r="C171">
            <v>40054690</v>
          </cell>
          <cell r="D171" t="str">
            <v>BIP</v>
          </cell>
        </row>
        <row r="172">
          <cell r="C172">
            <v>40059784</v>
          </cell>
          <cell r="D172" t="str">
            <v>BIP</v>
          </cell>
        </row>
        <row r="173">
          <cell r="C173">
            <v>40054227</v>
          </cell>
          <cell r="D173" t="str">
            <v>BIP</v>
          </cell>
        </row>
        <row r="174">
          <cell r="C174">
            <v>40027764</v>
          </cell>
          <cell r="D174" t="str">
            <v>BIP</v>
          </cell>
        </row>
        <row r="175">
          <cell r="C175">
            <v>40060652</v>
          </cell>
          <cell r="D175" t="str">
            <v>BIP</v>
          </cell>
        </row>
        <row r="176">
          <cell r="C176">
            <v>40059227</v>
          </cell>
          <cell r="D176" t="str">
            <v>BIP</v>
          </cell>
        </row>
        <row r="177">
          <cell r="C177">
            <v>40059081</v>
          </cell>
          <cell r="D177" t="str">
            <v>BIP</v>
          </cell>
        </row>
        <row r="178">
          <cell r="C178">
            <v>30462595</v>
          </cell>
          <cell r="D178" t="str">
            <v>BIP</v>
          </cell>
        </row>
        <row r="179">
          <cell r="C179">
            <v>40062270</v>
          </cell>
          <cell r="D179" t="str">
            <v>BIP</v>
          </cell>
        </row>
        <row r="180">
          <cell r="C180">
            <v>30340925</v>
          </cell>
          <cell r="D180" t="str">
            <v>BIP</v>
          </cell>
        </row>
        <row r="181">
          <cell r="C181">
            <v>40007939</v>
          </cell>
          <cell r="D181" t="str">
            <v>BIP</v>
          </cell>
        </row>
        <row r="182">
          <cell r="C182">
            <v>40013818</v>
          </cell>
          <cell r="D182" t="str">
            <v>BIP</v>
          </cell>
        </row>
        <row r="183">
          <cell r="C183">
            <v>40020478</v>
          </cell>
          <cell r="D183" t="str">
            <v>BIP</v>
          </cell>
        </row>
        <row r="184">
          <cell r="C184">
            <v>40038820</v>
          </cell>
          <cell r="D184" t="str">
            <v>BIP</v>
          </cell>
        </row>
        <row r="185">
          <cell r="C185">
            <v>40042999</v>
          </cell>
          <cell r="D185" t="str">
            <v>BIP</v>
          </cell>
        </row>
        <row r="186">
          <cell r="C186">
            <v>40046863</v>
          </cell>
          <cell r="D186" t="str">
            <v>BIP</v>
          </cell>
        </row>
        <row r="187">
          <cell r="C187">
            <v>40054960</v>
          </cell>
          <cell r="D187" t="str">
            <v>BIP</v>
          </cell>
        </row>
        <row r="188">
          <cell r="C188">
            <v>40059680</v>
          </cell>
          <cell r="D188" t="str">
            <v>BIP</v>
          </cell>
        </row>
        <row r="189">
          <cell r="C189">
            <v>40063798</v>
          </cell>
          <cell r="D189" t="str">
            <v>BIP</v>
          </cell>
        </row>
        <row r="190">
          <cell r="C190">
            <v>30341678</v>
          </cell>
          <cell r="D190" t="str">
            <v>BIP</v>
          </cell>
        </row>
        <row r="191">
          <cell r="C191">
            <v>30474713</v>
          </cell>
          <cell r="D191" t="str">
            <v>BIP</v>
          </cell>
        </row>
        <row r="192">
          <cell r="C192">
            <v>30430874</v>
          </cell>
          <cell r="D192" t="str">
            <v>BIP</v>
          </cell>
        </row>
        <row r="193">
          <cell r="C193">
            <v>40055194</v>
          </cell>
          <cell r="D193" t="str">
            <v>BIP</v>
          </cell>
        </row>
        <row r="194">
          <cell r="C194">
            <v>40058442</v>
          </cell>
          <cell r="D194" t="str">
            <v>BIP</v>
          </cell>
        </row>
        <row r="195">
          <cell r="C195">
            <v>40055362</v>
          </cell>
          <cell r="D195" t="str">
            <v>BIP</v>
          </cell>
        </row>
        <row r="196">
          <cell r="C196" t="str">
            <v>SUBT 24</v>
          </cell>
          <cell r="D196" t="str">
            <v>BIP</v>
          </cell>
        </row>
        <row r="197">
          <cell r="C197" t="str">
            <v>SUBT 24</v>
          </cell>
          <cell r="D197" t="str">
            <v>BIP</v>
          </cell>
        </row>
        <row r="198">
          <cell r="C198" t="str">
            <v>SUBT 24</v>
          </cell>
          <cell r="D198" t="str">
            <v>BIP</v>
          </cell>
        </row>
        <row r="199">
          <cell r="C199" t="str">
            <v>SUBT 24</v>
          </cell>
          <cell r="D199" t="str">
            <v>BIP</v>
          </cell>
        </row>
        <row r="200">
          <cell r="C200" t="str">
            <v>SUBT 24</v>
          </cell>
          <cell r="D200" t="str">
            <v>BIP</v>
          </cell>
        </row>
        <row r="201">
          <cell r="C201" t="str">
            <v>SUBT 24</v>
          </cell>
          <cell r="D201" t="str">
            <v>BIP</v>
          </cell>
        </row>
        <row r="202">
          <cell r="C202" t="str">
            <v>SUBT 24</v>
          </cell>
          <cell r="D202" t="str">
            <v>BIP</v>
          </cell>
        </row>
        <row r="203">
          <cell r="C203" t="str">
            <v>SUBT 24</v>
          </cell>
          <cell r="D203" t="str">
            <v>BIP</v>
          </cell>
        </row>
        <row r="204">
          <cell r="C204" t="str">
            <v>SUBT 24</v>
          </cell>
          <cell r="D204" t="str">
            <v>BIP</v>
          </cell>
        </row>
        <row r="205">
          <cell r="C205" t="str">
            <v>SUBT 24</v>
          </cell>
          <cell r="D205" t="str">
            <v>BIP</v>
          </cell>
        </row>
        <row r="206">
          <cell r="C206">
            <v>40054777</v>
          </cell>
          <cell r="D206" t="str">
            <v>BIP</v>
          </cell>
        </row>
        <row r="207">
          <cell r="C207">
            <v>40054841</v>
          </cell>
          <cell r="D207" t="str">
            <v>BIP</v>
          </cell>
        </row>
        <row r="208">
          <cell r="C208">
            <v>40073575</v>
          </cell>
          <cell r="D208" t="str">
            <v>BIP</v>
          </cell>
        </row>
        <row r="209">
          <cell r="C209">
            <v>40073955</v>
          </cell>
          <cell r="D209" t="str">
            <v>BIP</v>
          </cell>
        </row>
        <row r="210">
          <cell r="C210">
            <v>40055361</v>
          </cell>
          <cell r="D210" t="str">
            <v>BIP</v>
          </cell>
        </row>
        <row r="211">
          <cell r="C211">
            <v>40074255</v>
          </cell>
          <cell r="D211" t="str">
            <v>BIP</v>
          </cell>
        </row>
        <row r="212">
          <cell r="C212">
            <v>40065461</v>
          </cell>
          <cell r="D212" t="str">
            <v>BIP</v>
          </cell>
        </row>
        <row r="213">
          <cell r="C213">
            <v>40065221</v>
          </cell>
          <cell r="D213" t="str">
            <v>BIP</v>
          </cell>
        </row>
        <row r="214">
          <cell r="C214">
            <v>40072688</v>
          </cell>
          <cell r="D214" t="str">
            <v>BIP</v>
          </cell>
        </row>
        <row r="215">
          <cell r="C215">
            <v>40074239</v>
          </cell>
          <cell r="D215" t="str">
            <v>BIP</v>
          </cell>
        </row>
        <row r="216">
          <cell r="C216">
            <v>40074245</v>
          </cell>
          <cell r="D216" t="str">
            <v>BIP</v>
          </cell>
        </row>
        <row r="217">
          <cell r="C217">
            <v>40074241</v>
          </cell>
          <cell r="D217" t="str">
            <v>BIP</v>
          </cell>
        </row>
        <row r="218">
          <cell r="C218">
            <v>40074242</v>
          </cell>
          <cell r="D218" t="str">
            <v>BIP</v>
          </cell>
        </row>
        <row r="219">
          <cell r="C219">
            <v>40074243</v>
          </cell>
          <cell r="D219" t="str">
            <v>BIP</v>
          </cell>
        </row>
        <row r="220">
          <cell r="C220">
            <v>40032330</v>
          </cell>
          <cell r="D220"/>
        </row>
        <row r="221">
          <cell r="C221">
            <v>40064791</v>
          </cell>
          <cell r="D221" t="str">
            <v>BIP</v>
          </cell>
        </row>
        <row r="222">
          <cell r="C222">
            <v>40074257</v>
          </cell>
          <cell r="D222" t="str">
            <v>BIP</v>
          </cell>
        </row>
        <row r="223">
          <cell r="C223" t="str">
            <v>SUBT 33</v>
          </cell>
          <cell r="D223" t="str">
            <v>BIP</v>
          </cell>
        </row>
        <row r="224">
          <cell r="C224" t="str">
            <v>SUBT 33</v>
          </cell>
          <cell r="D224" t="str">
            <v>BIP</v>
          </cell>
        </row>
        <row r="225">
          <cell r="C225" t="str">
            <v>SUBT 33</v>
          </cell>
          <cell r="D225" t="str">
            <v>BIP</v>
          </cell>
        </row>
        <row r="226">
          <cell r="C226">
            <v>40063557</v>
          </cell>
          <cell r="D226" t="str">
            <v>BIP</v>
          </cell>
        </row>
        <row r="227">
          <cell r="C227">
            <v>40064817</v>
          </cell>
          <cell r="D227" t="str">
            <v>BIP</v>
          </cell>
        </row>
        <row r="228">
          <cell r="C228">
            <v>40057681</v>
          </cell>
          <cell r="D228" t="str">
            <v>BIP</v>
          </cell>
        </row>
        <row r="229">
          <cell r="C229">
            <v>40024244</v>
          </cell>
          <cell r="D229" t="str">
            <v>BIP</v>
          </cell>
        </row>
        <row r="230">
          <cell r="C230">
            <v>40029246</v>
          </cell>
          <cell r="D230" t="str">
            <v>BIP</v>
          </cell>
        </row>
        <row r="231">
          <cell r="C231">
            <v>40014466</v>
          </cell>
          <cell r="D231" t="str">
            <v>BIP</v>
          </cell>
        </row>
        <row r="232">
          <cell r="C232">
            <v>40033084</v>
          </cell>
          <cell r="D232" t="str">
            <v>BIP</v>
          </cell>
        </row>
        <row r="233">
          <cell r="C233">
            <v>40057162</v>
          </cell>
          <cell r="D233" t="str">
            <v>BIP</v>
          </cell>
        </row>
        <row r="234">
          <cell r="C234">
            <v>40057135</v>
          </cell>
          <cell r="D234" t="str">
            <v>BIP</v>
          </cell>
        </row>
        <row r="235">
          <cell r="C235">
            <v>40057256</v>
          </cell>
          <cell r="D235" t="str">
            <v>BIP</v>
          </cell>
        </row>
        <row r="236">
          <cell r="C236">
            <v>40057165</v>
          </cell>
          <cell r="D236" t="str">
            <v>BIP</v>
          </cell>
        </row>
        <row r="237">
          <cell r="C237">
            <v>40057182</v>
          </cell>
          <cell r="D237" t="str">
            <v>BIP</v>
          </cell>
        </row>
        <row r="238">
          <cell r="C238">
            <v>40017797</v>
          </cell>
          <cell r="D238" t="str">
            <v>BIP</v>
          </cell>
        </row>
        <row r="239">
          <cell r="C239" t="str">
            <v>33.03.999</v>
          </cell>
          <cell r="D239" t="str">
            <v>BIP</v>
          </cell>
        </row>
        <row r="240">
          <cell r="C240">
            <v>40064335</v>
          </cell>
          <cell r="D240" t="str">
            <v>BIP</v>
          </cell>
        </row>
        <row r="241">
          <cell r="C241">
            <v>40067127</v>
          </cell>
          <cell r="D241" t="str">
            <v>BIP</v>
          </cell>
        </row>
        <row r="242">
          <cell r="C242">
            <v>40013816</v>
          </cell>
          <cell r="D242" t="str">
            <v>BIP</v>
          </cell>
        </row>
        <row r="243">
          <cell r="C243">
            <v>30114946</v>
          </cell>
          <cell r="D243" t="str">
            <v>BIP</v>
          </cell>
        </row>
        <row r="244">
          <cell r="C244">
            <v>40065547</v>
          </cell>
          <cell r="D244" t="str">
            <v>BIP</v>
          </cell>
        </row>
        <row r="245">
          <cell r="C245">
            <v>40073450</v>
          </cell>
          <cell r="D245" t="str">
            <v>BIP</v>
          </cell>
        </row>
        <row r="246">
          <cell r="C246">
            <v>40072288</v>
          </cell>
          <cell r="D246" t="str">
            <v>BIP</v>
          </cell>
        </row>
        <row r="247">
          <cell r="C247">
            <v>40048803</v>
          </cell>
          <cell r="D247" t="str">
            <v>BIP</v>
          </cell>
        </row>
        <row r="248">
          <cell r="C248">
            <v>40043207</v>
          </cell>
          <cell r="D248" t="str">
            <v>BIP</v>
          </cell>
        </row>
        <row r="249">
          <cell r="C249">
            <v>40032409</v>
          </cell>
          <cell r="D249" t="str">
            <v>BIP</v>
          </cell>
        </row>
        <row r="250">
          <cell r="C250">
            <v>40065003</v>
          </cell>
          <cell r="D250" t="str">
            <v>BIP</v>
          </cell>
        </row>
        <row r="251">
          <cell r="C251">
            <v>40021925</v>
          </cell>
          <cell r="D251" t="str">
            <v>BIP</v>
          </cell>
        </row>
        <row r="252">
          <cell r="C252">
            <v>40059805</v>
          </cell>
          <cell r="D252" t="str">
            <v>BIP</v>
          </cell>
        </row>
        <row r="253">
          <cell r="C253">
            <v>40058484</v>
          </cell>
          <cell r="D253" t="str">
            <v>BIP</v>
          </cell>
        </row>
        <row r="254">
          <cell r="C254">
            <v>40060318</v>
          </cell>
          <cell r="D254" t="str">
            <v>BIP</v>
          </cell>
        </row>
        <row r="255">
          <cell r="C255">
            <v>40040220</v>
          </cell>
          <cell r="D255" t="str">
            <v>BIP</v>
          </cell>
        </row>
        <row r="256">
          <cell r="C256">
            <v>40072431</v>
          </cell>
          <cell r="D256" t="str">
            <v>BIP</v>
          </cell>
        </row>
        <row r="257">
          <cell r="C257">
            <v>40042390</v>
          </cell>
          <cell r="D257" t="str">
            <v>BIP</v>
          </cell>
        </row>
        <row r="258">
          <cell r="C258">
            <v>40072503</v>
          </cell>
          <cell r="D258" t="str">
            <v>BIP</v>
          </cell>
        </row>
        <row r="259">
          <cell r="C259">
            <v>40072882</v>
          </cell>
          <cell r="D259" t="str">
            <v>BIP</v>
          </cell>
        </row>
        <row r="260">
          <cell r="C260">
            <v>40064856</v>
          </cell>
          <cell r="D260" t="str">
            <v>BIP</v>
          </cell>
        </row>
        <row r="261">
          <cell r="C261">
            <v>40031582</v>
          </cell>
          <cell r="D261" t="str">
            <v>BIP</v>
          </cell>
        </row>
        <row r="262">
          <cell r="C262">
            <v>40072891</v>
          </cell>
          <cell r="D262" t="str">
            <v>BIP</v>
          </cell>
        </row>
        <row r="263">
          <cell r="C263">
            <v>40072880</v>
          </cell>
          <cell r="D263" t="str">
            <v>BIP</v>
          </cell>
        </row>
        <row r="264">
          <cell r="C264">
            <v>40072896</v>
          </cell>
          <cell r="D264" t="str">
            <v>BIP</v>
          </cell>
        </row>
        <row r="265">
          <cell r="C265">
            <v>40072914</v>
          </cell>
          <cell r="D265" t="str">
            <v>BIP</v>
          </cell>
        </row>
        <row r="266">
          <cell r="C266">
            <v>40072916</v>
          </cell>
          <cell r="D266" t="str">
            <v>BIP</v>
          </cell>
        </row>
        <row r="267">
          <cell r="C267">
            <v>40070836</v>
          </cell>
          <cell r="D267" t="str">
            <v>BIP</v>
          </cell>
        </row>
        <row r="268">
          <cell r="C268">
            <v>40069983</v>
          </cell>
          <cell r="D268" t="str">
            <v>BIP</v>
          </cell>
        </row>
        <row r="269">
          <cell r="C269">
            <v>40071250</v>
          </cell>
          <cell r="D269" t="str">
            <v>BIP</v>
          </cell>
        </row>
        <row r="270">
          <cell r="C270">
            <v>40071265</v>
          </cell>
          <cell r="D270" t="str">
            <v>BIP</v>
          </cell>
        </row>
        <row r="271">
          <cell r="C271">
            <v>40071279</v>
          </cell>
          <cell r="D271" t="str">
            <v>BIP</v>
          </cell>
        </row>
        <row r="272">
          <cell r="C272">
            <v>40068201</v>
          </cell>
          <cell r="D272" t="str">
            <v>BIP</v>
          </cell>
        </row>
        <row r="273">
          <cell r="C273">
            <v>40071280</v>
          </cell>
          <cell r="D273" t="str">
            <v>BIP</v>
          </cell>
        </row>
        <row r="274">
          <cell r="C274">
            <v>40071282</v>
          </cell>
          <cell r="D274" t="str">
            <v>BIP</v>
          </cell>
        </row>
        <row r="275">
          <cell r="C275">
            <v>40050856</v>
          </cell>
          <cell r="D275" t="str">
            <v>BIP</v>
          </cell>
        </row>
        <row r="276">
          <cell r="C276">
            <v>40073242</v>
          </cell>
          <cell r="D276" t="str">
            <v>BIP</v>
          </cell>
        </row>
        <row r="277">
          <cell r="C277">
            <v>40071284</v>
          </cell>
          <cell r="D277" t="str">
            <v>BIP</v>
          </cell>
        </row>
        <row r="278">
          <cell r="C278">
            <v>40070936</v>
          </cell>
          <cell r="D278" t="str">
            <v>BIP</v>
          </cell>
        </row>
        <row r="279">
          <cell r="C279">
            <v>40052037</v>
          </cell>
          <cell r="D279" t="str">
            <v>BIP</v>
          </cell>
        </row>
        <row r="280">
          <cell r="C280">
            <v>40071481</v>
          </cell>
          <cell r="D280" t="str">
            <v>BIP</v>
          </cell>
        </row>
        <row r="281">
          <cell r="C281">
            <v>40066148</v>
          </cell>
          <cell r="D281" t="str">
            <v>BIP</v>
          </cell>
        </row>
        <row r="282">
          <cell r="C282">
            <v>40071482</v>
          </cell>
          <cell r="D282" t="str">
            <v>BIP</v>
          </cell>
        </row>
        <row r="283">
          <cell r="C283">
            <v>40039346</v>
          </cell>
          <cell r="D283" t="str">
            <v>BIP</v>
          </cell>
        </row>
        <row r="284">
          <cell r="C284">
            <v>40071114</v>
          </cell>
          <cell r="D284" t="str">
            <v>BIP</v>
          </cell>
        </row>
        <row r="285">
          <cell r="C285">
            <v>40064061</v>
          </cell>
          <cell r="D285" t="str">
            <v>BIP</v>
          </cell>
        </row>
        <row r="286">
          <cell r="C286">
            <v>40071483</v>
          </cell>
          <cell r="D286" t="str">
            <v>BIP</v>
          </cell>
        </row>
        <row r="287">
          <cell r="C287">
            <v>40071472</v>
          </cell>
          <cell r="D287" t="str">
            <v>BIP</v>
          </cell>
        </row>
        <row r="288">
          <cell r="C288">
            <v>30118777</v>
          </cell>
          <cell r="D288" t="str">
            <v>BIP</v>
          </cell>
        </row>
        <row r="289">
          <cell r="C289">
            <v>40071765</v>
          </cell>
          <cell r="D289" t="str">
            <v>BIP</v>
          </cell>
        </row>
        <row r="290">
          <cell r="C290">
            <v>40071677</v>
          </cell>
          <cell r="D290" t="str">
            <v>BIP</v>
          </cell>
        </row>
        <row r="291">
          <cell r="C291">
            <v>30126516</v>
          </cell>
          <cell r="D291" t="str">
            <v>BIP</v>
          </cell>
        </row>
        <row r="292">
          <cell r="C292">
            <v>40072884</v>
          </cell>
          <cell r="D292" t="str">
            <v>BIP</v>
          </cell>
        </row>
        <row r="293">
          <cell r="C293">
            <v>40057688</v>
          </cell>
          <cell r="D293" t="str">
            <v>BIP</v>
          </cell>
        </row>
        <row r="294">
          <cell r="C294">
            <v>40065407</v>
          </cell>
          <cell r="D294" t="str">
            <v>BIP</v>
          </cell>
        </row>
        <row r="295">
          <cell r="C295">
            <v>40039992</v>
          </cell>
          <cell r="D295" t="str">
            <v>BIP</v>
          </cell>
        </row>
        <row r="296">
          <cell r="C296">
            <v>40072973</v>
          </cell>
          <cell r="D296" t="str">
            <v>BIP</v>
          </cell>
        </row>
        <row r="297">
          <cell r="C297">
            <v>40073000</v>
          </cell>
          <cell r="D297" t="str">
            <v>BIP</v>
          </cell>
        </row>
        <row r="298">
          <cell r="C298">
            <v>40072821</v>
          </cell>
          <cell r="D298" t="str">
            <v>BIP</v>
          </cell>
        </row>
        <row r="299">
          <cell r="C299">
            <v>40072715</v>
          </cell>
          <cell r="D299" t="str">
            <v>BIP</v>
          </cell>
        </row>
        <row r="300">
          <cell r="C300">
            <v>40071715</v>
          </cell>
          <cell r="D300" t="str">
            <v>BIP</v>
          </cell>
        </row>
        <row r="301">
          <cell r="C301">
            <v>40070102</v>
          </cell>
          <cell r="D301" t="str">
            <v>BIP</v>
          </cell>
        </row>
        <row r="302">
          <cell r="C302">
            <v>40072719</v>
          </cell>
          <cell r="D302" t="str">
            <v>BIP</v>
          </cell>
        </row>
        <row r="303">
          <cell r="C303">
            <v>40072721</v>
          </cell>
          <cell r="D303" t="str">
            <v>BIP</v>
          </cell>
        </row>
        <row r="304">
          <cell r="C304">
            <v>40064760</v>
          </cell>
          <cell r="D304" t="str">
            <v>BIP</v>
          </cell>
        </row>
        <row r="305">
          <cell r="C305">
            <v>40072266</v>
          </cell>
          <cell r="D305" t="str">
            <v>BIP</v>
          </cell>
        </row>
        <row r="306">
          <cell r="C306">
            <v>40067945</v>
          </cell>
          <cell r="D306" t="str">
            <v>BIP</v>
          </cell>
        </row>
        <row r="307">
          <cell r="C307">
            <v>40071848</v>
          </cell>
          <cell r="D307" t="str">
            <v>BIP</v>
          </cell>
        </row>
        <row r="308">
          <cell r="C308">
            <v>40072616</v>
          </cell>
          <cell r="D308" t="str">
            <v>BIP</v>
          </cell>
        </row>
        <row r="309">
          <cell r="C309">
            <v>40070609</v>
          </cell>
          <cell r="D309" t="str">
            <v>BIP</v>
          </cell>
        </row>
        <row r="310">
          <cell r="C310">
            <v>40059380</v>
          </cell>
          <cell r="D310" t="str">
            <v>BIP</v>
          </cell>
        </row>
        <row r="311">
          <cell r="C311">
            <v>30487236</v>
          </cell>
          <cell r="D311" t="str">
            <v>BIP</v>
          </cell>
        </row>
        <row r="312">
          <cell r="C312">
            <v>40012435</v>
          </cell>
          <cell r="D312" t="str">
            <v>BIP</v>
          </cell>
        </row>
        <row r="313">
          <cell r="C313">
            <v>40072645</v>
          </cell>
          <cell r="D313" t="str">
            <v>BIP</v>
          </cell>
        </row>
        <row r="314">
          <cell r="C314">
            <v>40072687</v>
          </cell>
          <cell r="D314" t="str">
            <v>BIP</v>
          </cell>
        </row>
        <row r="315">
          <cell r="C315">
            <v>40073648</v>
          </cell>
          <cell r="D315" t="str">
            <v>BIP</v>
          </cell>
        </row>
        <row r="316">
          <cell r="C316">
            <v>30485216</v>
          </cell>
          <cell r="D316" t="str">
            <v>BIP</v>
          </cell>
        </row>
        <row r="317">
          <cell r="C317">
            <v>40058976</v>
          </cell>
          <cell r="D317" t="str">
            <v>BIP</v>
          </cell>
        </row>
        <row r="318">
          <cell r="C318">
            <v>40069510</v>
          </cell>
          <cell r="D318" t="str">
            <v>BIP</v>
          </cell>
        </row>
        <row r="319">
          <cell r="C319">
            <v>40063207</v>
          </cell>
          <cell r="D319" t="str">
            <v>BIP</v>
          </cell>
        </row>
        <row r="320">
          <cell r="C320">
            <v>40070438</v>
          </cell>
          <cell r="D320" t="str">
            <v>BIP</v>
          </cell>
        </row>
        <row r="321">
          <cell r="C321">
            <v>40073919</v>
          </cell>
          <cell r="D321" t="str">
            <v>BIP</v>
          </cell>
        </row>
        <row r="322">
          <cell r="C322">
            <v>40045283</v>
          </cell>
          <cell r="D322" t="str">
            <v>BIP</v>
          </cell>
        </row>
        <row r="323">
          <cell r="C323">
            <v>40071623</v>
          </cell>
          <cell r="D323" t="str">
            <v>BIP</v>
          </cell>
        </row>
        <row r="324">
          <cell r="C324">
            <v>40071625</v>
          </cell>
          <cell r="D324" t="str">
            <v>BIP</v>
          </cell>
        </row>
        <row r="325">
          <cell r="C325">
            <v>40071624</v>
          </cell>
          <cell r="D325" t="str">
            <v>BIP</v>
          </cell>
        </row>
        <row r="326">
          <cell r="C326">
            <v>40013025</v>
          </cell>
          <cell r="D326" t="str">
            <v>BIP</v>
          </cell>
        </row>
        <row r="327">
          <cell r="C327">
            <v>40073923</v>
          </cell>
          <cell r="D327" t="str">
            <v>BIP</v>
          </cell>
        </row>
        <row r="328">
          <cell r="C328">
            <v>40050518</v>
          </cell>
          <cell r="D328" t="str">
            <v>BIP</v>
          </cell>
        </row>
        <row r="329">
          <cell r="C329">
            <v>40072947</v>
          </cell>
          <cell r="D329" t="str">
            <v>BIP</v>
          </cell>
        </row>
        <row r="330">
          <cell r="C330">
            <v>40072903</v>
          </cell>
          <cell r="D330" t="str">
            <v>BIP</v>
          </cell>
        </row>
        <row r="331">
          <cell r="C331">
            <v>40007928</v>
          </cell>
          <cell r="D331" t="str">
            <v>BIP</v>
          </cell>
        </row>
        <row r="332">
          <cell r="C332">
            <v>30116040</v>
          </cell>
          <cell r="D332" t="str">
            <v>BIP</v>
          </cell>
        </row>
        <row r="333">
          <cell r="C333">
            <v>40072992</v>
          </cell>
          <cell r="D333" t="str">
            <v>BIP</v>
          </cell>
        </row>
        <row r="334">
          <cell r="C334">
            <v>40016735</v>
          </cell>
          <cell r="D334" t="str">
            <v>BIP</v>
          </cell>
        </row>
        <row r="335">
          <cell r="C335">
            <v>40025366</v>
          </cell>
          <cell r="D335" t="str">
            <v>BIP</v>
          </cell>
        </row>
        <row r="336">
          <cell r="C336">
            <v>40061659</v>
          </cell>
          <cell r="D336" t="str">
            <v>BIP</v>
          </cell>
        </row>
        <row r="337">
          <cell r="C337">
            <v>40062712</v>
          </cell>
          <cell r="D337" t="str">
            <v>BIP</v>
          </cell>
        </row>
        <row r="338">
          <cell r="C338">
            <v>40062857</v>
          </cell>
          <cell r="D338" t="str">
            <v>BIP</v>
          </cell>
        </row>
        <row r="339">
          <cell r="C339">
            <v>40066566</v>
          </cell>
          <cell r="D339" t="str">
            <v>BIP</v>
          </cell>
        </row>
        <row r="340">
          <cell r="C340">
            <v>40066122</v>
          </cell>
          <cell r="D340" t="str">
            <v>BIP</v>
          </cell>
        </row>
        <row r="341">
          <cell r="C341">
            <v>40025369</v>
          </cell>
          <cell r="D341" t="str">
            <v>BIP</v>
          </cell>
        </row>
        <row r="342">
          <cell r="C342">
            <v>40072519</v>
          </cell>
          <cell r="D342" t="str">
            <v>BIP</v>
          </cell>
        </row>
        <row r="343">
          <cell r="C343">
            <v>40025363</v>
          </cell>
          <cell r="D343" t="str">
            <v>BIP</v>
          </cell>
        </row>
        <row r="344">
          <cell r="C344">
            <v>40072547</v>
          </cell>
          <cell r="D344" t="str">
            <v>BIP</v>
          </cell>
        </row>
        <row r="345">
          <cell r="C345">
            <v>40072552</v>
          </cell>
          <cell r="D345" t="str">
            <v>BIP</v>
          </cell>
        </row>
        <row r="346">
          <cell r="C346">
            <v>40072600</v>
          </cell>
          <cell r="D346" t="str">
            <v>BIP</v>
          </cell>
        </row>
        <row r="347">
          <cell r="C347">
            <v>40039789</v>
          </cell>
          <cell r="D347" t="str">
            <v>BIP</v>
          </cell>
        </row>
        <row r="348">
          <cell r="C348">
            <v>40072664</v>
          </cell>
          <cell r="D348" t="str">
            <v>BIP</v>
          </cell>
        </row>
        <row r="349">
          <cell r="C349">
            <v>30043755</v>
          </cell>
          <cell r="D349" t="str">
            <v>BIP</v>
          </cell>
        </row>
        <row r="350">
          <cell r="C350">
            <v>40072667</v>
          </cell>
          <cell r="D350" t="str">
            <v>BIP</v>
          </cell>
        </row>
        <row r="351">
          <cell r="C351">
            <v>40025471</v>
          </cell>
          <cell r="D351" t="str">
            <v>BIP</v>
          </cell>
        </row>
        <row r="352">
          <cell r="C352">
            <v>40069812</v>
          </cell>
          <cell r="D352" t="str">
            <v>BIP</v>
          </cell>
        </row>
        <row r="353">
          <cell r="C353">
            <v>40008106</v>
          </cell>
          <cell r="D353" t="str">
            <v>BIP</v>
          </cell>
        </row>
        <row r="354">
          <cell r="C354">
            <v>40059908</v>
          </cell>
          <cell r="D354" t="str">
            <v>BIP</v>
          </cell>
        </row>
        <row r="355">
          <cell r="C355">
            <v>30071843</v>
          </cell>
          <cell r="D355" t="str">
            <v>BIP</v>
          </cell>
        </row>
        <row r="356">
          <cell r="C356">
            <v>40072023</v>
          </cell>
          <cell r="D356" t="str">
            <v>BIP</v>
          </cell>
        </row>
        <row r="357">
          <cell r="C357">
            <v>40070081</v>
          </cell>
          <cell r="D357" t="str">
            <v>BIP</v>
          </cell>
        </row>
        <row r="358">
          <cell r="C358">
            <v>40055335</v>
          </cell>
          <cell r="D358" t="str">
            <v>BIP</v>
          </cell>
        </row>
        <row r="359">
          <cell r="C359">
            <v>40070410</v>
          </cell>
          <cell r="D359" t="str">
            <v>BIP</v>
          </cell>
        </row>
        <row r="360">
          <cell r="C360">
            <v>40069991</v>
          </cell>
          <cell r="D360" t="str">
            <v>BIP</v>
          </cell>
        </row>
        <row r="361">
          <cell r="C361">
            <v>40066152</v>
          </cell>
          <cell r="D361" t="str">
            <v>BIP</v>
          </cell>
        </row>
        <row r="362">
          <cell r="C362">
            <v>40042493</v>
          </cell>
          <cell r="D362" t="str">
            <v>BIP</v>
          </cell>
        </row>
        <row r="363">
          <cell r="C363">
            <v>40063086</v>
          </cell>
          <cell r="D363" t="str">
            <v>BIP</v>
          </cell>
        </row>
        <row r="364">
          <cell r="C364">
            <v>30036035</v>
          </cell>
          <cell r="D364" t="str">
            <v>BIP</v>
          </cell>
        </row>
        <row r="365">
          <cell r="C365">
            <v>30326923</v>
          </cell>
          <cell r="D365" t="str">
            <v>BIP</v>
          </cell>
        </row>
        <row r="366">
          <cell r="C366">
            <v>40073170</v>
          </cell>
          <cell r="D366" t="str">
            <v>BIP</v>
          </cell>
        </row>
        <row r="367">
          <cell r="C367">
            <v>30313322</v>
          </cell>
          <cell r="D367" t="str">
            <v>BIP</v>
          </cell>
        </row>
        <row r="368">
          <cell r="C368">
            <v>40073174</v>
          </cell>
          <cell r="D368" t="str">
            <v>BIP</v>
          </cell>
        </row>
        <row r="369">
          <cell r="C369">
            <v>40019378</v>
          </cell>
          <cell r="D369" t="str">
            <v>BIP</v>
          </cell>
        </row>
        <row r="370">
          <cell r="C370">
            <v>40013406</v>
          </cell>
          <cell r="D370" t="str">
            <v>BIP</v>
          </cell>
        </row>
        <row r="371">
          <cell r="C371">
            <v>40066643</v>
          </cell>
          <cell r="D371" t="str">
            <v>BIP</v>
          </cell>
        </row>
        <row r="372">
          <cell r="C372">
            <v>40032936</v>
          </cell>
          <cell r="D372" t="str">
            <v>BIP</v>
          </cell>
        </row>
        <row r="373">
          <cell r="C373">
            <v>40073134</v>
          </cell>
          <cell r="D373" t="str">
            <v>BIP</v>
          </cell>
        </row>
        <row r="374">
          <cell r="C374">
            <v>40073136</v>
          </cell>
          <cell r="D374" t="str">
            <v>BIP</v>
          </cell>
        </row>
        <row r="375">
          <cell r="C375">
            <v>40073223</v>
          </cell>
          <cell r="D375" t="str">
            <v>BIP</v>
          </cell>
        </row>
        <row r="376">
          <cell r="C376">
            <v>30435722</v>
          </cell>
          <cell r="D376" t="str">
            <v>BIP</v>
          </cell>
        </row>
        <row r="377">
          <cell r="C377">
            <v>40053481</v>
          </cell>
          <cell r="D377" t="str">
            <v>BIP</v>
          </cell>
        </row>
        <row r="378">
          <cell r="C378">
            <v>40067829</v>
          </cell>
          <cell r="D378" t="str">
            <v>BIP</v>
          </cell>
        </row>
        <row r="379">
          <cell r="C379">
            <v>40064827</v>
          </cell>
          <cell r="D379" t="str">
            <v>BIP</v>
          </cell>
        </row>
        <row r="380">
          <cell r="C380">
            <v>40073512</v>
          </cell>
          <cell r="D380" t="str">
            <v>BIP</v>
          </cell>
        </row>
        <row r="381">
          <cell r="C381">
            <v>40073514</v>
          </cell>
          <cell r="D381" t="str">
            <v>BIP</v>
          </cell>
        </row>
        <row r="382">
          <cell r="C382">
            <v>40073515</v>
          </cell>
          <cell r="D382" t="str">
            <v>BIP</v>
          </cell>
        </row>
        <row r="383">
          <cell r="C383">
            <v>40073518</v>
          </cell>
          <cell r="D383" t="str">
            <v>BIP</v>
          </cell>
        </row>
        <row r="384">
          <cell r="C384">
            <v>40073519</v>
          </cell>
          <cell r="D384" t="str">
            <v>BIP</v>
          </cell>
        </row>
        <row r="385">
          <cell r="C385">
            <v>40073550</v>
          </cell>
          <cell r="D385" t="str">
            <v>BIP</v>
          </cell>
        </row>
        <row r="386">
          <cell r="C386">
            <v>40055334</v>
          </cell>
          <cell r="D386" t="str">
            <v>BIP</v>
          </cell>
        </row>
        <row r="387">
          <cell r="C387">
            <v>40072781</v>
          </cell>
          <cell r="D387" t="str">
            <v>BIP</v>
          </cell>
        </row>
        <row r="388">
          <cell r="C388">
            <v>40057148</v>
          </cell>
          <cell r="D388" t="str">
            <v>BIP</v>
          </cell>
        </row>
        <row r="389">
          <cell r="C389">
            <v>40043232</v>
          </cell>
          <cell r="D389" t="str">
            <v>BIP</v>
          </cell>
        </row>
        <row r="390">
          <cell r="C390">
            <v>40055207</v>
          </cell>
          <cell r="D390" t="str">
            <v>BIP</v>
          </cell>
        </row>
        <row r="391">
          <cell r="C391">
            <v>40072782</v>
          </cell>
          <cell r="D391" t="str">
            <v>BIP</v>
          </cell>
        </row>
        <row r="392">
          <cell r="C392">
            <v>30427273</v>
          </cell>
          <cell r="D392" t="str">
            <v>BIP</v>
          </cell>
        </row>
        <row r="393">
          <cell r="C393">
            <v>40054408</v>
          </cell>
          <cell r="D393" t="str">
            <v>BIP</v>
          </cell>
        </row>
        <row r="394">
          <cell r="C394">
            <v>40054428</v>
          </cell>
          <cell r="D394" t="str">
            <v>BIP</v>
          </cell>
        </row>
        <row r="395">
          <cell r="C395">
            <v>40019232</v>
          </cell>
          <cell r="D395" t="str">
            <v>BIP</v>
          </cell>
        </row>
        <row r="396">
          <cell r="C396">
            <v>40038210</v>
          </cell>
          <cell r="D396" t="str">
            <v>BIP</v>
          </cell>
        </row>
        <row r="397">
          <cell r="C397">
            <v>40054481</v>
          </cell>
          <cell r="D397" t="str">
            <v>BIP</v>
          </cell>
        </row>
        <row r="398">
          <cell r="C398">
            <v>40054435</v>
          </cell>
          <cell r="D398" t="str">
            <v>BIP</v>
          </cell>
        </row>
        <row r="399">
          <cell r="C399">
            <v>40063885</v>
          </cell>
          <cell r="D399" t="str">
            <v>BIP</v>
          </cell>
        </row>
        <row r="400">
          <cell r="C400">
            <v>40073102</v>
          </cell>
          <cell r="D400" t="str">
            <v>BIP</v>
          </cell>
        </row>
        <row r="401">
          <cell r="C401">
            <v>40073466</v>
          </cell>
          <cell r="D401" t="str">
            <v>BIP</v>
          </cell>
        </row>
        <row r="402">
          <cell r="C402">
            <v>40072412</v>
          </cell>
          <cell r="D402" t="str">
            <v>BIP</v>
          </cell>
        </row>
        <row r="403">
          <cell r="C403">
            <v>40073451</v>
          </cell>
          <cell r="D403" t="str">
            <v>BIP</v>
          </cell>
        </row>
        <row r="404">
          <cell r="C404">
            <v>40073441</v>
          </cell>
          <cell r="D404" t="str">
            <v>BIP</v>
          </cell>
        </row>
        <row r="405">
          <cell r="C405">
            <v>40073115</v>
          </cell>
          <cell r="D405" t="str">
            <v>BIP</v>
          </cell>
        </row>
        <row r="406">
          <cell r="C406">
            <v>40073116</v>
          </cell>
          <cell r="D406" t="str">
            <v>BIP</v>
          </cell>
        </row>
        <row r="407">
          <cell r="C407">
            <v>40073117</v>
          </cell>
          <cell r="D407" t="str">
            <v>BIP</v>
          </cell>
        </row>
        <row r="408">
          <cell r="C408">
            <v>40053066</v>
          </cell>
          <cell r="D408" t="str">
            <v>BIP</v>
          </cell>
        </row>
        <row r="409">
          <cell r="C409">
            <v>40073040</v>
          </cell>
          <cell r="D409" t="str">
            <v>BIP</v>
          </cell>
        </row>
        <row r="410">
          <cell r="C410">
            <v>40031970</v>
          </cell>
          <cell r="D410" t="str">
            <v>BIP</v>
          </cell>
        </row>
        <row r="411">
          <cell r="C411">
            <v>40073422</v>
          </cell>
          <cell r="D411" t="str">
            <v>BIP</v>
          </cell>
        </row>
        <row r="412">
          <cell r="C412">
            <v>40073419</v>
          </cell>
          <cell r="D412" t="str">
            <v>BIP</v>
          </cell>
        </row>
        <row r="413">
          <cell r="C413">
            <v>40073420</v>
          </cell>
          <cell r="D413" t="str">
            <v>BIP</v>
          </cell>
        </row>
        <row r="414">
          <cell r="C414">
            <v>30033809</v>
          </cell>
          <cell r="D414" t="str">
            <v>BIP</v>
          </cell>
        </row>
        <row r="415">
          <cell r="C415">
            <v>40071785</v>
          </cell>
          <cell r="D415" t="str">
            <v>BIP</v>
          </cell>
        </row>
        <row r="416">
          <cell r="C416">
            <v>40024992</v>
          </cell>
          <cell r="D416" t="str">
            <v>BIP</v>
          </cell>
        </row>
        <row r="417">
          <cell r="C417">
            <v>40054224</v>
          </cell>
          <cell r="D417" t="str">
            <v>BIP</v>
          </cell>
        </row>
        <row r="418">
          <cell r="C418">
            <v>40072958</v>
          </cell>
          <cell r="D418" t="str">
            <v>BIP</v>
          </cell>
        </row>
        <row r="419">
          <cell r="C419">
            <v>40031485</v>
          </cell>
          <cell r="D419" t="str">
            <v>BIP</v>
          </cell>
        </row>
        <row r="420">
          <cell r="C420">
            <v>30135057</v>
          </cell>
          <cell r="D420" t="str">
            <v>BIP</v>
          </cell>
        </row>
        <row r="421">
          <cell r="C421">
            <v>40041153</v>
          </cell>
          <cell r="D421" t="str">
            <v>BIP</v>
          </cell>
        </row>
        <row r="422">
          <cell r="C422">
            <v>40034996</v>
          </cell>
          <cell r="D422" t="str">
            <v>BIP</v>
          </cell>
        </row>
        <row r="423">
          <cell r="C423">
            <v>40072950</v>
          </cell>
          <cell r="D423" t="str">
            <v>BIP</v>
          </cell>
        </row>
        <row r="424">
          <cell r="C424">
            <v>40061816</v>
          </cell>
          <cell r="D424" t="str">
            <v>BIP</v>
          </cell>
        </row>
        <row r="425">
          <cell r="C425">
            <v>40062882</v>
          </cell>
          <cell r="D425" t="str">
            <v>BIP</v>
          </cell>
        </row>
        <row r="426">
          <cell r="C426">
            <v>40045547</v>
          </cell>
          <cell r="D426" t="str">
            <v>BIP</v>
          </cell>
        </row>
        <row r="427">
          <cell r="C427">
            <v>40041558</v>
          </cell>
          <cell r="D427" t="str">
            <v>BIP</v>
          </cell>
        </row>
        <row r="428">
          <cell r="C428">
            <v>40073933</v>
          </cell>
          <cell r="D428" t="str">
            <v>BIP</v>
          </cell>
        </row>
        <row r="429">
          <cell r="C429">
            <v>40071987</v>
          </cell>
          <cell r="D429" t="str">
            <v>BIP</v>
          </cell>
        </row>
        <row r="430">
          <cell r="C430">
            <v>40025177</v>
          </cell>
          <cell r="D430" t="str">
            <v>BIP</v>
          </cell>
        </row>
        <row r="431">
          <cell r="C431">
            <v>40072596</v>
          </cell>
          <cell r="D431" t="str">
            <v>BIP</v>
          </cell>
        </row>
        <row r="432">
          <cell r="C432">
            <v>40072617</v>
          </cell>
          <cell r="D432" t="str">
            <v>BIP</v>
          </cell>
        </row>
        <row r="433">
          <cell r="C433">
            <v>40014492</v>
          </cell>
          <cell r="D433" t="str">
            <v>BIP</v>
          </cell>
        </row>
        <row r="434">
          <cell r="C434">
            <v>40072639</v>
          </cell>
          <cell r="D434" t="str">
            <v>BIP</v>
          </cell>
        </row>
        <row r="435">
          <cell r="C435">
            <v>40072620</v>
          </cell>
          <cell r="D435" t="str">
            <v>BIP</v>
          </cell>
        </row>
        <row r="436">
          <cell r="C436">
            <v>40072621</v>
          </cell>
          <cell r="D436" t="str">
            <v>BIP</v>
          </cell>
        </row>
        <row r="437">
          <cell r="C437">
            <v>40043567</v>
          </cell>
          <cell r="D437" t="str">
            <v>BIP</v>
          </cell>
        </row>
        <row r="438">
          <cell r="C438">
            <v>40005528</v>
          </cell>
          <cell r="D438" t="str">
            <v>BIP</v>
          </cell>
        </row>
        <row r="439">
          <cell r="C439">
            <v>40072354</v>
          </cell>
          <cell r="D439" t="str">
            <v>BIP</v>
          </cell>
        </row>
        <row r="440">
          <cell r="C440">
            <v>40072350</v>
          </cell>
          <cell r="D440" t="str">
            <v>BIP</v>
          </cell>
        </row>
        <row r="441">
          <cell r="C441">
            <v>40072359</v>
          </cell>
          <cell r="D441" t="str">
            <v>BIP</v>
          </cell>
        </row>
        <row r="442">
          <cell r="C442">
            <v>40043226</v>
          </cell>
          <cell r="D442" t="str">
            <v>BIP</v>
          </cell>
        </row>
        <row r="443">
          <cell r="C443">
            <v>40054892</v>
          </cell>
          <cell r="D443" t="str">
            <v>BIP</v>
          </cell>
        </row>
        <row r="444">
          <cell r="C444">
            <v>40065069</v>
          </cell>
          <cell r="D444" t="str">
            <v>BIP</v>
          </cell>
        </row>
        <row r="445">
          <cell r="C445">
            <v>40015899</v>
          </cell>
          <cell r="D445" t="str">
            <v>BIP</v>
          </cell>
        </row>
        <row r="446">
          <cell r="C446">
            <v>40070257</v>
          </cell>
          <cell r="D446" t="str">
            <v>BIP</v>
          </cell>
        </row>
        <row r="447">
          <cell r="C447">
            <v>40070963</v>
          </cell>
          <cell r="D447" t="str">
            <v>BIP</v>
          </cell>
        </row>
        <row r="448">
          <cell r="C448">
            <v>40073566</v>
          </cell>
          <cell r="D448" t="str">
            <v>BIP</v>
          </cell>
        </row>
        <row r="449">
          <cell r="C449">
            <v>40066169</v>
          </cell>
          <cell r="D449" t="str">
            <v>BIP</v>
          </cell>
        </row>
        <row r="450">
          <cell r="C450">
            <v>40053062</v>
          </cell>
          <cell r="D450" t="str">
            <v>BIP</v>
          </cell>
        </row>
        <row r="451">
          <cell r="C451">
            <v>30097977</v>
          </cell>
          <cell r="D451" t="str">
            <v>BIP</v>
          </cell>
        </row>
        <row r="452">
          <cell r="C452">
            <v>40053312</v>
          </cell>
          <cell r="D452" t="str">
            <v>BIP</v>
          </cell>
        </row>
        <row r="453">
          <cell r="C453">
            <v>40063290</v>
          </cell>
          <cell r="D453" t="str">
            <v>BIP</v>
          </cell>
        </row>
        <row r="454">
          <cell r="C454">
            <v>40062743</v>
          </cell>
          <cell r="D454" t="str">
            <v>BIP</v>
          </cell>
        </row>
        <row r="455">
          <cell r="C455">
            <v>40039548</v>
          </cell>
          <cell r="D455" t="str">
            <v>BIP</v>
          </cell>
        </row>
        <row r="456">
          <cell r="C456">
            <v>40062796</v>
          </cell>
          <cell r="D456" t="str">
            <v>BIP</v>
          </cell>
        </row>
        <row r="457">
          <cell r="C457">
            <v>40073026</v>
          </cell>
          <cell r="D457" t="str">
            <v>BIP</v>
          </cell>
        </row>
        <row r="458">
          <cell r="C458">
            <v>40073029</v>
          </cell>
          <cell r="D458" t="str">
            <v>BIP</v>
          </cell>
        </row>
        <row r="459">
          <cell r="C459">
            <v>40039582</v>
          </cell>
          <cell r="D459" t="str">
            <v>BIP</v>
          </cell>
        </row>
        <row r="460">
          <cell r="C460">
            <v>40039329</v>
          </cell>
          <cell r="D460" t="str">
            <v>BIP</v>
          </cell>
        </row>
        <row r="461">
          <cell r="C461">
            <v>40013036</v>
          </cell>
          <cell r="D461" t="str">
            <v>BIP</v>
          </cell>
        </row>
        <row r="462">
          <cell r="C462">
            <v>40039692</v>
          </cell>
          <cell r="D462" t="str">
            <v>BIP</v>
          </cell>
        </row>
        <row r="463">
          <cell r="C463">
            <v>40071248</v>
          </cell>
          <cell r="D463" t="str">
            <v>BIP</v>
          </cell>
        </row>
        <row r="464">
          <cell r="C464">
            <v>40071267</v>
          </cell>
          <cell r="D464" t="str">
            <v>BIP</v>
          </cell>
        </row>
        <row r="465">
          <cell r="C465">
            <v>40071308</v>
          </cell>
          <cell r="D465" t="str">
            <v>BIP</v>
          </cell>
        </row>
        <row r="466">
          <cell r="C466">
            <v>40071303</v>
          </cell>
          <cell r="D466" t="str">
            <v>BIP</v>
          </cell>
        </row>
        <row r="467">
          <cell r="C467">
            <v>40026214</v>
          </cell>
          <cell r="D467" t="str">
            <v>BIP</v>
          </cell>
        </row>
        <row r="468">
          <cell r="C468">
            <v>40062700</v>
          </cell>
          <cell r="D468" t="str">
            <v>BIP</v>
          </cell>
        </row>
        <row r="469">
          <cell r="C469">
            <v>40066529</v>
          </cell>
          <cell r="D469" t="str">
            <v>BIP</v>
          </cell>
        </row>
        <row r="470">
          <cell r="C470">
            <v>40071297</v>
          </cell>
          <cell r="D470" t="str">
            <v>BIP</v>
          </cell>
        </row>
        <row r="471">
          <cell r="C471">
            <v>40071304</v>
          </cell>
          <cell r="D471" t="str">
            <v>BIP</v>
          </cell>
        </row>
        <row r="472">
          <cell r="C472">
            <v>40071828</v>
          </cell>
          <cell r="D472" t="str">
            <v>BIP</v>
          </cell>
        </row>
        <row r="473">
          <cell r="C473">
            <v>40072522</v>
          </cell>
          <cell r="D473" t="str">
            <v>BIP</v>
          </cell>
        </row>
        <row r="474">
          <cell r="C474">
            <v>40043234</v>
          </cell>
          <cell r="D474" t="str">
            <v>BIP</v>
          </cell>
        </row>
        <row r="475">
          <cell r="C475">
            <v>30068433</v>
          </cell>
          <cell r="D475" t="str">
            <v>BIP</v>
          </cell>
        </row>
        <row r="476">
          <cell r="C476">
            <v>40072885</v>
          </cell>
          <cell r="D476" t="str">
            <v>BIP</v>
          </cell>
        </row>
        <row r="477">
          <cell r="C477">
            <v>30171875</v>
          </cell>
          <cell r="D477" t="str">
            <v>BIP</v>
          </cell>
        </row>
        <row r="478">
          <cell r="C478">
            <v>30171923</v>
          </cell>
          <cell r="D478" t="str">
            <v>BIP</v>
          </cell>
        </row>
        <row r="479">
          <cell r="C479">
            <v>40055184</v>
          </cell>
          <cell r="D479" t="str">
            <v>BIP</v>
          </cell>
        </row>
        <row r="480">
          <cell r="C480">
            <v>40072886</v>
          </cell>
          <cell r="D480" t="str">
            <v>BIP</v>
          </cell>
        </row>
        <row r="481">
          <cell r="C481">
            <v>40072890</v>
          </cell>
          <cell r="D481" t="str">
            <v>BIP</v>
          </cell>
        </row>
        <row r="482">
          <cell r="C482">
            <v>40054849</v>
          </cell>
          <cell r="D482" t="str">
            <v>BIP</v>
          </cell>
        </row>
        <row r="483">
          <cell r="C483">
            <v>40072892</v>
          </cell>
          <cell r="D483" t="str">
            <v>BIP</v>
          </cell>
        </row>
        <row r="484">
          <cell r="C484">
            <v>30070314</v>
          </cell>
          <cell r="D484" t="str">
            <v>BIP</v>
          </cell>
        </row>
        <row r="485">
          <cell r="C485">
            <v>40059318</v>
          </cell>
          <cell r="D485" t="str">
            <v>BIP</v>
          </cell>
        </row>
        <row r="486">
          <cell r="C486">
            <v>40062741</v>
          </cell>
          <cell r="D486" t="str">
            <v>BIP</v>
          </cell>
        </row>
        <row r="487">
          <cell r="C487">
            <v>40062765</v>
          </cell>
          <cell r="D487" t="str">
            <v>BIP</v>
          </cell>
        </row>
        <row r="488">
          <cell r="C488">
            <v>40061037</v>
          </cell>
          <cell r="D488" t="str">
            <v>BIP</v>
          </cell>
        </row>
        <row r="489">
          <cell r="C489">
            <v>40074173</v>
          </cell>
          <cell r="D489" t="str">
            <v>BIP</v>
          </cell>
        </row>
        <row r="490">
          <cell r="C490">
            <v>40064446</v>
          </cell>
          <cell r="D490" t="str">
            <v>BIP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240"/>
  <sheetViews>
    <sheetView tabSelected="1" zoomScale="85" zoomScaleNormal="85" zoomScaleSheetLayoutView="80" workbookViewId="0">
      <pane ySplit="1" topLeftCell="A2" activePane="bottomLeft" state="frozen"/>
      <selection pane="bottomLeft" activeCell="J111" sqref="J111"/>
    </sheetView>
  </sheetViews>
  <sheetFormatPr baseColWidth="10" defaultColWidth="11.42578125" defaultRowHeight="14.25" x14ac:dyDescent="0.2"/>
  <cols>
    <col min="1" max="1" width="4.5703125" style="19" customWidth="1"/>
    <col min="2" max="2" width="5.28515625" style="19" customWidth="1"/>
    <col min="3" max="3" width="6.7109375" style="39" customWidth="1"/>
    <col min="4" max="5" width="6.7109375" style="19" customWidth="1"/>
    <col min="6" max="6" width="12.85546875" style="19" bestFit="1" customWidth="1"/>
    <col min="7" max="7" width="12.85546875" style="19" customWidth="1"/>
    <col min="8" max="8" width="12.42578125" style="19" customWidth="1"/>
    <col min="9" max="9" width="11.28515625" style="19" customWidth="1"/>
    <col min="10" max="10" width="35.28515625" style="19" customWidth="1"/>
    <col min="11" max="11" width="14" style="19" customWidth="1"/>
    <col min="12" max="12" width="9.140625" style="19" hidden="1" customWidth="1"/>
    <col min="13" max="13" width="15.7109375" style="19" bestFit="1" customWidth="1"/>
    <col min="14" max="14" width="11.5703125" style="19" customWidth="1"/>
    <col min="15" max="15" width="10.85546875" style="19" customWidth="1"/>
    <col min="16" max="16" width="7.28515625" style="19" customWidth="1"/>
    <col min="17" max="17" width="11.140625" style="19" customWidth="1"/>
    <col min="18" max="18" width="11.28515625" style="19" customWidth="1"/>
    <col min="19" max="19" width="13.5703125" style="19" customWidth="1"/>
    <col min="20" max="20" width="7.85546875" style="19" customWidth="1"/>
    <col min="21" max="21" width="13" style="19" customWidth="1"/>
    <col min="22" max="22" width="8.85546875" style="19" bestFit="1" customWidth="1"/>
    <col min="23" max="23" width="7.85546875" style="19" customWidth="1"/>
    <col min="24" max="24" width="8.85546875" style="19" customWidth="1"/>
    <col min="25" max="26" width="13.42578125" style="19" customWidth="1"/>
    <col min="27" max="27" width="11.42578125" style="19" customWidth="1"/>
    <col min="28" max="28" width="12" style="39" customWidth="1"/>
    <col min="29" max="29" width="12.28515625" style="8" bestFit="1" customWidth="1"/>
    <col min="30" max="16384" width="11.42578125" style="19"/>
  </cols>
  <sheetData>
    <row r="1" spans="1:29" s="1" customFormat="1" ht="57" x14ac:dyDescent="0.2">
      <c r="A1" s="94" t="s">
        <v>82</v>
      </c>
      <c r="B1" s="95" t="s">
        <v>33</v>
      </c>
      <c r="C1" s="96" t="s">
        <v>254</v>
      </c>
      <c r="D1" s="96" t="s">
        <v>683</v>
      </c>
      <c r="E1" s="97" t="s">
        <v>940</v>
      </c>
      <c r="F1" s="95" t="s">
        <v>35</v>
      </c>
      <c r="G1" s="95" t="s">
        <v>36</v>
      </c>
      <c r="H1" s="95" t="s">
        <v>75</v>
      </c>
      <c r="I1" s="95" t="s">
        <v>37</v>
      </c>
      <c r="J1" s="95" t="s">
        <v>342</v>
      </c>
      <c r="K1" s="95" t="s">
        <v>39</v>
      </c>
      <c r="L1" s="95" t="s">
        <v>40</v>
      </c>
      <c r="M1" s="95" t="s">
        <v>34</v>
      </c>
      <c r="N1" s="95" t="s">
        <v>93</v>
      </c>
      <c r="O1" s="95" t="s">
        <v>94</v>
      </c>
      <c r="P1" s="98" t="s">
        <v>99</v>
      </c>
      <c r="Q1" s="95" t="s">
        <v>83</v>
      </c>
      <c r="R1" s="95" t="s">
        <v>98</v>
      </c>
      <c r="S1" s="99" t="s">
        <v>41</v>
      </c>
      <c r="T1" s="100" t="s">
        <v>80</v>
      </c>
      <c r="U1" s="100" t="s">
        <v>95</v>
      </c>
      <c r="V1" s="95" t="s">
        <v>81</v>
      </c>
      <c r="W1" s="95" t="s">
        <v>97</v>
      </c>
      <c r="X1" s="101" t="s">
        <v>85</v>
      </c>
      <c r="Y1" s="95" t="s">
        <v>90</v>
      </c>
      <c r="Z1" s="95" t="s">
        <v>150</v>
      </c>
      <c r="AA1" s="102" t="s">
        <v>229</v>
      </c>
      <c r="AB1" s="103" t="s">
        <v>343</v>
      </c>
      <c r="AC1" s="104" t="s">
        <v>688</v>
      </c>
    </row>
    <row r="2" spans="1:29" ht="28.5" hidden="1" x14ac:dyDescent="0.2">
      <c r="A2" s="105">
        <v>1</v>
      </c>
      <c r="B2" s="2">
        <v>29</v>
      </c>
      <c r="C2" s="36" t="str">
        <f>IF(ISERROR(VLOOKUP(I2,[1]DEP!$B$3:$E$583,1,FALSE)),"NO","SI")</f>
        <v>NO</v>
      </c>
      <c r="D2" s="2" t="str">
        <f>IF(ISERROR(VLOOKUP(I2,[2]FRG!$S$19:$U$288,1,FALSE)),"NO","SI")</f>
        <v>SI</v>
      </c>
      <c r="E2" s="2" t="str">
        <f>IF(ISERROR(VLOOKUP(I2,[3]DATOS_PREINVERSION!$O$3:$R$475,1,FALSE)),"NO","SI")</f>
        <v>NO</v>
      </c>
      <c r="F2" s="2" t="s">
        <v>42</v>
      </c>
      <c r="G2" s="2" t="s">
        <v>44</v>
      </c>
      <c r="H2" s="2" t="s">
        <v>84</v>
      </c>
      <c r="I2" s="7">
        <v>40044996</v>
      </c>
      <c r="J2" s="3" t="s">
        <v>388</v>
      </c>
      <c r="K2" s="3">
        <v>1392180000</v>
      </c>
      <c r="L2" s="2" t="s">
        <v>49</v>
      </c>
      <c r="M2" s="17" t="s">
        <v>62</v>
      </c>
      <c r="N2" s="10"/>
      <c r="O2" s="10"/>
      <c r="P2" s="37" t="str">
        <f>IF(NETWORKDAYS(N2,O2,Feriados!$J$2:$J$22)-1&gt;=0,NETWORKDAYS(N2,O2,Feriados!$J$2:$J$22)-1,"NO APLICA")</f>
        <v>NO APLICA</v>
      </c>
      <c r="Q2" s="10">
        <v>46028</v>
      </c>
      <c r="R2" s="9">
        <f t="shared" ref="R2:R49" si="0">+Q2+T2</f>
        <v>46038</v>
      </c>
      <c r="S2" s="43">
        <v>46038</v>
      </c>
      <c r="T2" s="2">
        <v>10</v>
      </c>
      <c r="U2" s="9">
        <f>WORKDAY(Q2,T2,Feriados!$J$2:$J$22)</f>
        <v>46042</v>
      </c>
      <c r="V2" s="2">
        <f t="shared" ref="V2:V33" si="1">+S2-Q2</f>
        <v>10</v>
      </c>
      <c r="W2" s="38">
        <f>IF(NETWORKDAYS(Q2,S2,Feriados!$J$2:$J$22)-1&gt;=0,NETWORKDAYS(Q2,S2,Feriados!$J$2:$J$22)-1,"NO APLICA")</f>
        <v>8</v>
      </c>
      <c r="X2" s="13">
        <f t="shared" ref="X2:X65" ca="1" si="2">SUM(U2-TODAY())</f>
        <v>-254</v>
      </c>
      <c r="Y2" s="2" t="s">
        <v>380</v>
      </c>
      <c r="Z2" s="2" t="s">
        <v>157</v>
      </c>
      <c r="AA2" s="3">
        <v>234122</v>
      </c>
      <c r="AB2" s="87" t="s">
        <v>32</v>
      </c>
      <c r="AC2" s="3" t="s">
        <v>366</v>
      </c>
    </row>
    <row r="3" spans="1:29" ht="28.5" hidden="1" x14ac:dyDescent="0.2">
      <c r="A3" s="105">
        <v>2</v>
      </c>
      <c r="B3" s="2">
        <v>31</v>
      </c>
      <c r="C3" s="36" t="str">
        <f>IF(ISERROR(VLOOKUP(I3,[1]DEP!$B$3:$E$583,1,FALSE)),"NO","SI")</f>
        <v>NO</v>
      </c>
      <c r="D3" s="2" t="str">
        <f>IF(ISERROR(VLOOKUP(I3,[2]FRG!$S$19:$U$288,1,FALSE)),"NO","SI")</f>
        <v>NO</v>
      </c>
      <c r="E3" s="2" t="str">
        <f>IF(ISERROR(VLOOKUP(I3,[3]DATOS_PREINVERSION!$O$3:$R$475,1,FALSE)),"NO","SI")</f>
        <v>NO</v>
      </c>
      <c r="F3" s="2" t="s">
        <v>45</v>
      </c>
      <c r="G3" s="2" t="s">
        <v>46</v>
      </c>
      <c r="H3" s="2" t="s">
        <v>836</v>
      </c>
      <c r="I3" s="7">
        <v>40055335</v>
      </c>
      <c r="J3" s="3" t="s">
        <v>834</v>
      </c>
      <c r="K3" s="131">
        <v>277023000</v>
      </c>
      <c r="L3" s="2" t="s">
        <v>49</v>
      </c>
      <c r="M3" s="15" t="s">
        <v>74</v>
      </c>
      <c r="N3" s="10">
        <v>46031</v>
      </c>
      <c r="O3" s="10">
        <v>46056</v>
      </c>
      <c r="P3" s="37">
        <f>IF(NETWORKDAYS(N3,O3,Feriados!$J$2:$J$22)-1&gt;=0,NETWORKDAYS(N3,O3,Feriados!$J$2:$J$22)-1,"NO APLICA")</f>
        <v>17</v>
      </c>
      <c r="Q3" s="10">
        <v>46031</v>
      </c>
      <c r="R3" s="9">
        <f t="shared" si="0"/>
        <v>46046</v>
      </c>
      <c r="S3" s="43">
        <v>46056</v>
      </c>
      <c r="T3" s="2">
        <v>15</v>
      </c>
      <c r="U3" s="9">
        <f>WORKDAY(Q3,T3,Feriados!$J$2:$J$22)</f>
        <v>46052</v>
      </c>
      <c r="V3" s="2">
        <f t="shared" si="1"/>
        <v>25</v>
      </c>
      <c r="W3" s="38">
        <f>IF(NETWORKDAYS(Q3,S3,Feriados!$J$2:$J$22)-1&gt;=0,NETWORKDAYS(Q3,S3,Feriados!$J$2:$J$22)-1,"NO APLICA")</f>
        <v>17</v>
      </c>
      <c r="X3" s="13">
        <f t="shared" ca="1" si="2"/>
        <v>-244</v>
      </c>
      <c r="Y3" s="2"/>
      <c r="Z3" s="2" t="s">
        <v>154</v>
      </c>
      <c r="AA3" s="57"/>
      <c r="AB3" s="88" t="s">
        <v>31</v>
      </c>
      <c r="AC3" s="107" t="s">
        <v>366</v>
      </c>
    </row>
    <row r="4" spans="1:29" ht="28.5" hidden="1" x14ac:dyDescent="0.2">
      <c r="A4" s="105">
        <v>3</v>
      </c>
      <c r="B4" s="2">
        <v>29</v>
      </c>
      <c r="C4" s="36" t="str">
        <f>IF(ISERROR(VLOOKUP(I4,[1]DEP!$B$3:$E$583,1,FALSE)),"NO","SI")</f>
        <v>NO</v>
      </c>
      <c r="D4" s="2" t="str">
        <f>IF(ISERROR(VLOOKUP(I4,[2]FRG!$S$19:$U$288,1,FALSE)),"NO","SI")</f>
        <v>NO</v>
      </c>
      <c r="E4" s="2" t="str">
        <f>IF(ISERROR(VLOOKUP(I4,[3]DATOS_PREINVERSION!$O$3:$R$475,1,FALSE)),"NO","SI")</f>
        <v>NO</v>
      </c>
      <c r="F4" s="2" t="s">
        <v>568</v>
      </c>
      <c r="G4" s="2" t="s">
        <v>1</v>
      </c>
      <c r="H4" s="2" t="s">
        <v>842</v>
      </c>
      <c r="I4" s="7">
        <v>50000224</v>
      </c>
      <c r="J4" s="3" t="s">
        <v>843</v>
      </c>
      <c r="K4" s="131">
        <v>291785000</v>
      </c>
      <c r="L4" s="2" t="s">
        <v>49</v>
      </c>
      <c r="M4" s="15" t="s">
        <v>74</v>
      </c>
      <c r="N4" s="10">
        <v>46028</v>
      </c>
      <c r="O4" s="10">
        <v>46045</v>
      </c>
      <c r="P4" s="37">
        <f>IF(NETWORKDAYS(N4,O4,Feriados!$J$2:$J$22)-1&gt;=0,NETWORKDAYS(N4,O4,Feriados!$J$2:$J$22)-1,"NO APLICA")</f>
        <v>13</v>
      </c>
      <c r="Q4" s="10">
        <v>46028</v>
      </c>
      <c r="R4" s="9">
        <f t="shared" si="0"/>
        <v>46043</v>
      </c>
      <c r="S4" s="43">
        <v>46045</v>
      </c>
      <c r="T4" s="2">
        <v>15</v>
      </c>
      <c r="U4" s="9">
        <f>WORKDAY(Q4,T4,Feriados!$J$2:$J$22)</f>
        <v>46049</v>
      </c>
      <c r="V4" s="2">
        <f t="shared" si="1"/>
        <v>17</v>
      </c>
      <c r="W4" s="38">
        <f>IF(NETWORKDAYS(Q4,S4,Feriados!$J$2:$J$22)-1&gt;=0,NETWORKDAYS(Q4,S4,Feriados!$J$2:$J$22)-1,"NO APLICA")</f>
        <v>13</v>
      </c>
      <c r="X4" s="13">
        <f t="shared" ca="1" si="2"/>
        <v>-247</v>
      </c>
      <c r="Y4" s="2"/>
      <c r="Z4" s="2" t="s">
        <v>844</v>
      </c>
      <c r="AA4" s="12"/>
      <c r="AB4" s="88" t="s">
        <v>31</v>
      </c>
      <c r="AC4" s="107" t="s">
        <v>845</v>
      </c>
    </row>
    <row r="5" spans="1:29" ht="28.5" hidden="1" x14ac:dyDescent="0.2">
      <c r="A5" s="105">
        <v>4</v>
      </c>
      <c r="B5" s="2">
        <v>31</v>
      </c>
      <c r="C5" s="36" t="str">
        <f>IF(ISERROR(VLOOKUP(I5,[1]DEP!$B$3:$E$583,1,FALSE)),"NO","SI")</f>
        <v>NO</v>
      </c>
      <c r="D5" s="2" t="str">
        <f>IF(ISERROR(VLOOKUP(I5,[2]FRG!$S$19:$U$288,1,FALSE)),"NO","SI")</f>
        <v>NO</v>
      </c>
      <c r="E5" s="2" t="str">
        <f>IF(ISERROR(VLOOKUP(I5,[3]DATOS_PREINVERSION!$O$3:$R$475,1,FALSE)),"NO","SI")</f>
        <v>SI</v>
      </c>
      <c r="F5" s="2" t="s">
        <v>42</v>
      </c>
      <c r="G5" s="2" t="s">
        <v>3</v>
      </c>
      <c r="H5" s="2" t="s">
        <v>16</v>
      </c>
      <c r="I5" s="7">
        <v>40064446</v>
      </c>
      <c r="J5" s="3" t="s">
        <v>676</v>
      </c>
      <c r="K5" s="131">
        <v>611628000</v>
      </c>
      <c r="L5" s="2" t="s">
        <v>49</v>
      </c>
      <c r="M5" s="15" t="s">
        <v>74</v>
      </c>
      <c r="N5" s="10">
        <v>46034</v>
      </c>
      <c r="O5" s="10">
        <v>46049</v>
      </c>
      <c r="P5" s="37">
        <f>IF(NETWORKDAYS(N5,O5,Feriados!$J$2:$J$22)-1&gt;=0,NETWORKDAYS(N5,O5,Feriados!$J$2:$J$22)-1,"NO APLICA")</f>
        <v>11</v>
      </c>
      <c r="Q5" s="10">
        <v>46034</v>
      </c>
      <c r="R5" s="9">
        <f t="shared" si="0"/>
        <v>46049</v>
      </c>
      <c r="S5" s="43">
        <v>46049</v>
      </c>
      <c r="T5" s="2">
        <v>15</v>
      </c>
      <c r="U5" s="9">
        <f>WORKDAY(Q5,T5,Feriados!$J$2:$J$22)</f>
        <v>46055</v>
      </c>
      <c r="V5" s="2">
        <f t="shared" si="1"/>
        <v>15</v>
      </c>
      <c r="W5" s="38">
        <f>IF(NETWORKDAYS(Q5,S5,Feriados!$J$2:$J$22)-1&gt;=0,NETWORKDAYS(Q5,S5,Feriados!$J$2:$J$22)-1,"NO APLICA")</f>
        <v>11</v>
      </c>
      <c r="X5" s="13">
        <f t="shared" ca="1" si="2"/>
        <v>-241</v>
      </c>
      <c r="Y5" s="3"/>
      <c r="Z5" s="2" t="s">
        <v>154</v>
      </c>
      <c r="AA5" s="65"/>
      <c r="AB5" s="88" t="s">
        <v>31</v>
      </c>
      <c r="AC5" s="107" t="s">
        <v>366</v>
      </c>
    </row>
    <row r="6" spans="1:29" ht="28.5" hidden="1" x14ac:dyDescent="0.2">
      <c r="A6" s="105">
        <v>5</v>
      </c>
      <c r="B6" s="2">
        <v>31</v>
      </c>
      <c r="C6" s="36" t="str">
        <f>IF(ISERROR(VLOOKUP(I6,[1]DEP!$B$3:$E$583,1,FALSE)),"NO","SI")</f>
        <v>NO</v>
      </c>
      <c r="D6" s="2" t="str">
        <f>IF(ISERROR(VLOOKUP(I6,[2]FRG!$S$19:$U$288,1,FALSE)),"NO","SI")</f>
        <v>NO</v>
      </c>
      <c r="E6" s="2" t="str">
        <f>IF(ISERROR(VLOOKUP(I6,[3]DATOS_PREINVERSION!$O$3:$R$475,1,FALSE)),"NO","SI")</f>
        <v>SI</v>
      </c>
      <c r="F6" s="2" t="s">
        <v>42</v>
      </c>
      <c r="G6" s="2" t="s">
        <v>42</v>
      </c>
      <c r="H6" s="2" t="s">
        <v>837</v>
      </c>
      <c r="I6" s="7">
        <v>40077644</v>
      </c>
      <c r="J6" s="3" t="s">
        <v>839</v>
      </c>
      <c r="K6" s="131">
        <v>1434719000</v>
      </c>
      <c r="L6" s="2" t="s">
        <v>49</v>
      </c>
      <c r="M6" s="15" t="s">
        <v>74</v>
      </c>
      <c r="N6" s="10">
        <v>46031</v>
      </c>
      <c r="O6" s="10"/>
      <c r="P6" s="37" t="str">
        <f>IF(NETWORKDAYS(N6,O6,Feriados!$J$2:$J$22)-1&gt;=0,NETWORKDAYS(N6,O6,Feriados!$J$2:$J$22)-1,"NO APLICA")</f>
        <v>NO APLICA</v>
      </c>
      <c r="Q6" s="10">
        <v>46031</v>
      </c>
      <c r="R6" s="9">
        <f t="shared" si="0"/>
        <v>46046</v>
      </c>
      <c r="S6" s="43"/>
      <c r="T6" s="2">
        <v>15</v>
      </c>
      <c r="U6" s="9">
        <f>WORKDAY(Q6,T6,Feriados!$J$2:$J$22)</f>
        <v>46052</v>
      </c>
      <c r="V6" s="2">
        <f t="shared" si="1"/>
        <v>-46031</v>
      </c>
      <c r="W6" s="38" t="str">
        <f>IF(NETWORKDAYS(Q6,S6,Feriados!$J$2:$J$22)-1&gt;=0,NETWORKDAYS(Q6,S6,Feriados!$J$2:$J$22)-1,"NO APLICA")</f>
        <v>NO APLICA</v>
      </c>
      <c r="X6" s="13">
        <f t="shared" ca="1" si="2"/>
        <v>-244</v>
      </c>
      <c r="Y6" s="3"/>
      <c r="Z6" s="2" t="s">
        <v>155</v>
      </c>
      <c r="AA6" s="65"/>
      <c r="AB6" s="88" t="s">
        <v>31</v>
      </c>
      <c r="AC6" s="107" t="s">
        <v>366</v>
      </c>
    </row>
    <row r="7" spans="1:29" ht="28.5" hidden="1" x14ac:dyDescent="0.2">
      <c r="A7" s="105">
        <v>6</v>
      </c>
      <c r="B7" s="2">
        <v>31</v>
      </c>
      <c r="C7" s="36" t="str">
        <f>IF(ISERROR(VLOOKUP(I7,[1]DEP!$B$3:$E$583,1,FALSE)),"NO","SI")</f>
        <v>NO</v>
      </c>
      <c r="D7" s="2" t="str">
        <f>IF(ISERROR(VLOOKUP(I7,[2]FRG!$S$19:$U$288,1,FALSE)),"NO","SI")</f>
        <v>NO</v>
      </c>
      <c r="E7" s="2" t="str">
        <f>IF(ISERROR(VLOOKUP(I7,[3]DATOS_PREINVERSION!$O$3:$R$475,1,FALSE)),"NO","SI")</f>
        <v>SI</v>
      </c>
      <c r="F7" s="2" t="s">
        <v>42</v>
      </c>
      <c r="G7" s="2" t="s">
        <v>42</v>
      </c>
      <c r="H7" s="2" t="s">
        <v>837</v>
      </c>
      <c r="I7" s="7">
        <v>40077647</v>
      </c>
      <c r="J7" s="3" t="s">
        <v>840</v>
      </c>
      <c r="K7" s="131">
        <v>1062940000</v>
      </c>
      <c r="L7" s="2" t="s">
        <v>49</v>
      </c>
      <c r="M7" s="15" t="s">
        <v>74</v>
      </c>
      <c r="N7" s="10">
        <v>46031</v>
      </c>
      <c r="O7" s="10"/>
      <c r="P7" s="37" t="str">
        <f>IF(NETWORKDAYS(N7,O7,Feriados!$J$2:$J$22)-1&gt;=0,NETWORKDAYS(N7,O7,Feriados!$J$2:$J$22)-1,"NO APLICA")</f>
        <v>NO APLICA</v>
      </c>
      <c r="Q7" s="10">
        <v>46031</v>
      </c>
      <c r="R7" s="9">
        <f t="shared" si="0"/>
        <v>46046</v>
      </c>
      <c r="S7" s="43"/>
      <c r="T7" s="2">
        <v>15</v>
      </c>
      <c r="U7" s="9">
        <f>WORKDAY(Q7,T7,Feriados!$J$2:$J$22)</f>
        <v>46052</v>
      </c>
      <c r="V7" s="2">
        <f t="shared" si="1"/>
        <v>-46031</v>
      </c>
      <c r="W7" s="38" t="str">
        <f>IF(NETWORKDAYS(Q7,S7,Feriados!$J$2:$J$22)-1&gt;=0,NETWORKDAYS(Q7,S7,Feriados!$J$2:$J$22)-1,"NO APLICA")</f>
        <v>NO APLICA</v>
      </c>
      <c r="X7" s="13">
        <f t="shared" ca="1" si="2"/>
        <v>-244</v>
      </c>
      <c r="Y7" s="3"/>
      <c r="Z7" s="2" t="s">
        <v>155</v>
      </c>
      <c r="AA7" s="65"/>
      <c r="AB7" s="88" t="s">
        <v>31</v>
      </c>
      <c r="AC7" s="107" t="s">
        <v>366</v>
      </c>
    </row>
    <row r="8" spans="1:29" ht="28.5" hidden="1" x14ac:dyDescent="0.2">
      <c r="A8" s="105">
        <v>7</v>
      </c>
      <c r="B8" s="2">
        <v>31</v>
      </c>
      <c r="C8" s="36" t="str">
        <f>IF(ISERROR(VLOOKUP(I8,[1]DEP!$B$3:$E$583,1,FALSE)),"NO","SI")</f>
        <v>NO</v>
      </c>
      <c r="D8" s="2" t="str">
        <f>IF(ISERROR(VLOOKUP(I8,[2]FRG!$S$19:$U$288,1,FALSE)),"NO","SI")</f>
        <v>NO</v>
      </c>
      <c r="E8" s="2" t="str">
        <f>IF(ISERROR(VLOOKUP(I8,[3]DATOS_PREINVERSION!$O$3:$R$475,1,FALSE)),"NO","SI")</f>
        <v>SI</v>
      </c>
      <c r="F8" s="2" t="s">
        <v>42</v>
      </c>
      <c r="G8" s="2" t="s">
        <v>42</v>
      </c>
      <c r="H8" s="2" t="s">
        <v>837</v>
      </c>
      <c r="I8" s="7">
        <v>40077645</v>
      </c>
      <c r="J8" s="3" t="s">
        <v>841</v>
      </c>
      <c r="K8" s="131">
        <v>916023000</v>
      </c>
      <c r="L8" s="2" t="s">
        <v>49</v>
      </c>
      <c r="M8" s="15" t="s">
        <v>74</v>
      </c>
      <c r="N8" s="10">
        <v>46031</v>
      </c>
      <c r="O8" s="10"/>
      <c r="P8" s="37" t="str">
        <f>IF(NETWORKDAYS(N8,O8,Feriados!$J$2:$J$22)-1&gt;=0,NETWORKDAYS(N8,O8,Feriados!$J$2:$J$22)-1,"NO APLICA")</f>
        <v>NO APLICA</v>
      </c>
      <c r="Q8" s="10">
        <v>46031</v>
      </c>
      <c r="R8" s="9">
        <f t="shared" si="0"/>
        <v>46046</v>
      </c>
      <c r="S8" s="43"/>
      <c r="T8" s="2">
        <v>15</v>
      </c>
      <c r="U8" s="9">
        <f>WORKDAY(Q8,T8,Feriados!$J$2:$J$22)</f>
        <v>46052</v>
      </c>
      <c r="V8" s="2">
        <f t="shared" si="1"/>
        <v>-46031</v>
      </c>
      <c r="W8" s="38" t="str">
        <f>IF(NETWORKDAYS(Q8,S8,Feriados!$J$2:$J$22)-1&gt;=0,NETWORKDAYS(Q8,S8,Feriados!$J$2:$J$22)-1,"NO APLICA")</f>
        <v>NO APLICA</v>
      </c>
      <c r="X8" s="13">
        <f t="shared" ca="1" si="2"/>
        <v>-244</v>
      </c>
      <c r="Y8" s="3"/>
      <c r="Z8" s="2" t="s">
        <v>155</v>
      </c>
      <c r="AA8" s="65"/>
      <c r="AB8" s="88" t="s">
        <v>31</v>
      </c>
      <c r="AC8" s="107" t="s">
        <v>366</v>
      </c>
    </row>
    <row r="9" spans="1:29" ht="28.5" hidden="1" x14ac:dyDescent="0.2">
      <c r="A9" s="105">
        <v>8</v>
      </c>
      <c r="B9" s="2">
        <v>31</v>
      </c>
      <c r="C9" s="36" t="str">
        <f>IF(ISERROR(VLOOKUP(I9,[1]DEP!$B$3:$E$583,1,FALSE)),"NO","SI")</f>
        <v>NO</v>
      </c>
      <c r="D9" s="2" t="str">
        <f>IF(ISERROR(VLOOKUP(I9,[2]FRG!$S$19:$U$288,1,FALSE)),"NO","SI")</f>
        <v>NO</v>
      </c>
      <c r="E9" s="2" t="str">
        <f>IF(ISERROR(VLOOKUP(I9,[3]DATOS_PREINVERSION!$O$3:$R$475,1,FALSE)),"NO","SI")</f>
        <v>SI</v>
      </c>
      <c r="F9" s="2" t="s">
        <v>42</v>
      </c>
      <c r="G9" s="2" t="s">
        <v>42</v>
      </c>
      <c r="H9" s="2" t="s">
        <v>837</v>
      </c>
      <c r="I9" s="7">
        <v>40077646</v>
      </c>
      <c r="J9" s="3" t="s">
        <v>835</v>
      </c>
      <c r="K9" s="131">
        <v>2071223000</v>
      </c>
      <c r="L9" s="2" t="s">
        <v>49</v>
      </c>
      <c r="M9" s="15" t="s">
        <v>74</v>
      </c>
      <c r="N9" s="10">
        <v>46029</v>
      </c>
      <c r="O9" s="10">
        <v>46044</v>
      </c>
      <c r="P9" s="37">
        <f>IF(NETWORKDAYS(N9,O9,Feriados!$J$2:$J$22)-1&gt;=0,NETWORKDAYS(N9,O9,Feriados!$J$2:$J$22)-1,"NO APLICA")</f>
        <v>11</v>
      </c>
      <c r="Q9" s="10">
        <v>46029</v>
      </c>
      <c r="R9" s="9">
        <f t="shared" si="0"/>
        <v>46044</v>
      </c>
      <c r="S9" s="43">
        <v>46044</v>
      </c>
      <c r="T9" s="2">
        <v>15</v>
      </c>
      <c r="U9" s="9">
        <f>WORKDAY(Q9,T9,Feriados!$J$2:$J$22)</f>
        <v>46050</v>
      </c>
      <c r="V9" s="2">
        <f t="shared" si="1"/>
        <v>15</v>
      </c>
      <c r="W9" s="38">
        <f>IF(NETWORKDAYS(Q9,S9,Feriados!$J$2:$J$22)-1&gt;=0,NETWORKDAYS(Q9,S9,Feriados!$J$2:$J$22)-1,"NO APLICA")</f>
        <v>11</v>
      </c>
      <c r="X9" s="13">
        <f t="shared" ca="1" si="2"/>
        <v>-246</v>
      </c>
      <c r="Y9" s="2"/>
      <c r="Z9" s="2" t="s">
        <v>155</v>
      </c>
      <c r="AA9" s="12"/>
      <c r="AB9" s="88" t="s">
        <v>31</v>
      </c>
      <c r="AC9" s="107" t="s">
        <v>366</v>
      </c>
    </row>
    <row r="10" spans="1:29" ht="28.5" hidden="1" x14ac:dyDescent="0.2">
      <c r="A10" s="105">
        <v>9</v>
      </c>
      <c r="B10" s="2">
        <v>29</v>
      </c>
      <c r="C10" s="36" t="str">
        <f>IF(ISERROR(VLOOKUP(I10,[1]DEP!$B$3:$E$583,1,FALSE)),"NO","SI")</f>
        <v>NO</v>
      </c>
      <c r="D10" s="2" t="str">
        <f>IF(ISERROR(VLOOKUP(I10,[2]FRG!$S$19:$U$288,1,FALSE)),"NO","SI")</f>
        <v>NO</v>
      </c>
      <c r="E10" s="2" t="str">
        <f>IF(ISERROR(VLOOKUP(I10,[3]DATOS_PREINVERSION!$O$3:$R$475,1,FALSE)),"NO","SI")</f>
        <v>NO</v>
      </c>
      <c r="F10" s="2" t="s">
        <v>48</v>
      </c>
      <c r="G10" s="2" t="s">
        <v>48</v>
      </c>
      <c r="H10" s="2" t="s">
        <v>5</v>
      </c>
      <c r="I10" s="7">
        <v>40076387</v>
      </c>
      <c r="J10" s="3" t="s">
        <v>815</v>
      </c>
      <c r="K10" s="3">
        <v>187635000</v>
      </c>
      <c r="L10" s="2" t="s">
        <v>49</v>
      </c>
      <c r="M10" s="15" t="s">
        <v>62</v>
      </c>
      <c r="N10" s="10">
        <v>46045</v>
      </c>
      <c r="O10" s="10">
        <v>46048</v>
      </c>
      <c r="P10" s="37">
        <f>IF(NETWORKDAYS(N10,O10,Feriados!$J$2:$J$22)-1&gt;=0,NETWORKDAYS(N10,O10,Feriados!$J$2:$J$22)-1,"NO APLICA")</f>
        <v>1</v>
      </c>
      <c r="Q10" s="10">
        <v>46045</v>
      </c>
      <c r="R10" s="9">
        <f t="shared" si="0"/>
        <v>46060</v>
      </c>
      <c r="S10" s="43">
        <v>46048</v>
      </c>
      <c r="T10" s="2">
        <v>15</v>
      </c>
      <c r="U10" s="9">
        <f>WORKDAY(Q10,T10,Feriados!$J$2:$J$22)</f>
        <v>46066</v>
      </c>
      <c r="V10" s="2">
        <f t="shared" si="1"/>
        <v>3</v>
      </c>
      <c r="W10" s="38">
        <f>IF(NETWORKDAYS(Q10,S10,Feriados!$J$2:$J$22)-1&gt;=0,NETWORKDAYS(Q10,S10,Feriados!$J$2:$J$22)-1,"NO APLICA")</f>
        <v>1</v>
      </c>
      <c r="X10" s="13">
        <f t="shared" ca="1" si="2"/>
        <v>-230</v>
      </c>
      <c r="Y10" s="3" t="s">
        <v>848</v>
      </c>
      <c r="Z10" s="12" t="s">
        <v>151</v>
      </c>
      <c r="AA10" s="64"/>
      <c r="AB10" s="88" t="s">
        <v>31</v>
      </c>
      <c r="AC10" s="2" t="s">
        <v>820</v>
      </c>
    </row>
    <row r="11" spans="1:29" ht="28.5" hidden="1" x14ac:dyDescent="0.2">
      <c r="A11" s="105">
        <v>10</v>
      </c>
      <c r="B11" s="2">
        <v>29</v>
      </c>
      <c r="C11" s="36" t="str">
        <f>IF(ISERROR(VLOOKUP(I11,[1]DEP!$B$3:$E$583,1,FALSE)),"NO","SI")</f>
        <v>NO</v>
      </c>
      <c r="D11" s="2" t="str">
        <f>IF(ISERROR(VLOOKUP(I11,[2]FRG!$S$19:$U$288,1,FALSE)),"NO","SI")</f>
        <v>NO</v>
      </c>
      <c r="E11" s="2" t="str">
        <f>IF(ISERROR(VLOOKUP(I11,[3]DATOS_PREINVERSION!$O$3:$R$475,1,FALSE)),"NO","SI")</f>
        <v>NO</v>
      </c>
      <c r="F11" s="2" t="s">
        <v>175</v>
      </c>
      <c r="G11" s="2" t="s">
        <v>175</v>
      </c>
      <c r="H11" s="2" t="s">
        <v>102</v>
      </c>
      <c r="I11" s="7">
        <v>40076624</v>
      </c>
      <c r="J11" s="3" t="s">
        <v>846</v>
      </c>
      <c r="K11" s="3">
        <v>259301000</v>
      </c>
      <c r="L11" s="2" t="s">
        <v>49</v>
      </c>
      <c r="M11" s="15" t="s">
        <v>62</v>
      </c>
      <c r="N11" s="10">
        <v>46037</v>
      </c>
      <c r="O11" s="10">
        <v>46057</v>
      </c>
      <c r="P11" s="37">
        <f>IF(NETWORKDAYS(N11,O11,Feriados!$J$2:$J$22)-1&gt;=0,NETWORKDAYS(N11,O11,Feriados!$J$2:$J$22)-1,"NO APLICA")</f>
        <v>14</v>
      </c>
      <c r="Q11" s="10">
        <v>46157</v>
      </c>
      <c r="R11" s="9">
        <f t="shared" si="0"/>
        <v>46172</v>
      </c>
      <c r="S11" s="43">
        <v>46174</v>
      </c>
      <c r="T11" s="2">
        <v>15</v>
      </c>
      <c r="U11" s="9">
        <f>WORKDAY(Q11,T11,Feriados!$J$2:$J$22)</f>
        <v>46181</v>
      </c>
      <c r="V11" s="2">
        <f t="shared" si="1"/>
        <v>17</v>
      </c>
      <c r="W11" s="38">
        <f>IF(NETWORKDAYS(Q11,S11,Feriados!$J$2:$J$22)-1&gt;=0,NETWORKDAYS(Q11,S11,Feriados!$J$2:$J$22)-1,"NO APLICA")</f>
        <v>10</v>
      </c>
      <c r="X11" s="13">
        <f t="shared" ca="1" si="2"/>
        <v>-115</v>
      </c>
      <c r="Y11" s="3" t="s">
        <v>889</v>
      </c>
      <c r="Z11" s="12" t="s">
        <v>151</v>
      </c>
      <c r="AA11" s="57"/>
      <c r="AB11" s="88" t="s">
        <v>31</v>
      </c>
      <c r="AC11" s="2" t="s">
        <v>786</v>
      </c>
    </row>
    <row r="12" spans="1:29" ht="28.5" hidden="1" x14ac:dyDescent="0.2">
      <c r="A12" s="105">
        <v>11</v>
      </c>
      <c r="B12" s="2">
        <v>29</v>
      </c>
      <c r="C12" s="36" t="str">
        <f>IF(ISERROR(VLOOKUP(I12,[1]DEP!$B$3:$E$583,1,FALSE)),"NO","SI")</f>
        <v>NO</v>
      </c>
      <c r="D12" s="2" t="str">
        <f>IF(ISERROR(VLOOKUP(I12,[2]FRG!$S$19:$U$288,1,FALSE)),"NO","SI")</f>
        <v>NO</v>
      </c>
      <c r="E12" s="2" t="str">
        <f>IF(ISERROR(VLOOKUP(I12,[3]DATOS_PREINVERSION!$O$3:$R$475,1,FALSE)),"NO","SI")</f>
        <v>SI</v>
      </c>
      <c r="F12" s="2" t="s">
        <v>175</v>
      </c>
      <c r="G12" s="2" t="s">
        <v>175</v>
      </c>
      <c r="H12" s="2" t="s">
        <v>78</v>
      </c>
      <c r="I12" s="7">
        <v>40075933</v>
      </c>
      <c r="J12" s="3" t="s">
        <v>792</v>
      </c>
      <c r="K12" s="3">
        <v>532674000</v>
      </c>
      <c r="L12" s="2" t="s">
        <v>49</v>
      </c>
      <c r="M12" s="15" t="s">
        <v>62</v>
      </c>
      <c r="N12" s="10">
        <v>46049</v>
      </c>
      <c r="O12" s="10">
        <v>46059</v>
      </c>
      <c r="P12" s="37">
        <f>IF(NETWORKDAYS(N12,O12,Feriados!$J$2:$J$22)-1&gt;=0,NETWORKDAYS(N12,O12,Feriados!$J$2:$J$22)-1,"NO APLICA")</f>
        <v>8</v>
      </c>
      <c r="Q12" s="10">
        <v>46122</v>
      </c>
      <c r="R12" s="9">
        <f t="shared" si="0"/>
        <v>46137</v>
      </c>
      <c r="S12" s="43">
        <v>46135</v>
      </c>
      <c r="T12" s="2">
        <v>15</v>
      </c>
      <c r="U12" s="9">
        <f>WORKDAY(Q12,T12,Feriados!$J$2:$J$22)</f>
        <v>46146</v>
      </c>
      <c r="V12" s="2">
        <f t="shared" si="1"/>
        <v>13</v>
      </c>
      <c r="W12" s="38">
        <f>IF(NETWORKDAYS(Q12,S12,Feriados!$J$2:$J$22)-1&gt;=0,NETWORKDAYS(Q12,S12,Feriados!$J$2:$J$22)-1,"NO APLICA")</f>
        <v>9</v>
      </c>
      <c r="X12" s="13">
        <f t="shared" ca="1" si="2"/>
        <v>-150</v>
      </c>
      <c r="Y12" s="2" t="s">
        <v>874</v>
      </c>
      <c r="Z12" s="2" t="s">
        <v>172</v>
      </c>
      <c r="AA12" s="57"/>
      <c r="AB12" s="88" t="s">
        <v>31</v>
      </c>
      <c r="AC12" s="2" t="s">
        <v>757</v>
      </c>
    </row>
    <row r="13" spans="1:29" ht="28.5" hidden="1" x14ac:dyDescent="0.2">
      <c r="A13" s="105">
        <v>12</v>
      </c>
      <c r="B13" s="2">
        <v>29</v>
      </c>
      <c r="C13" s="36" t="str">
        <f>IF(ISERROR(VLOOKUP(I13,[1]DEP!$B$3:$E$583,1,FALSE)),"NO","SI")</f>
        <v>NO</v>
      </c>
      <c r="D13" s="2" t="str">
        <f>IF(ISERROR(VLOOKUP(I13,[2]FRG!$S$19:$U$288,1,FALSE)),"NO","SI")</f>
        <v>NO</v>
      </c>
      <c r="E13" s="2" t="str">
        <f>IF(ISERROR(VLOOKUP(I13,[3]DATOS_PREINVERSION!$O$3:$R$475,1,FALSE)),"NO","SI")</f>
        <v>NO</v>
      </c>
      <c r="F13" s="2" t="str">
        <f>+IFERROR(VLOOKUP(G13,Feriados!$M$1:$N$36,2,FALSE),"")</f>
        <v>REGIONAL</v>
      </c>
      <c r="G13" s="2" t="s">
        <v>179</v>
      </c>
      <c r="H13" s="2" t="s">
        <v>185</v>
      </c>
      <c r="I13" s="7">
        <v>40062961</v>
      </c>
      <c r="J13" s="3" t="s">
        <v>553</v>
      </c>
      <c r="K13" s="131">
        <v>825923000</v>
      </c>
      <c r="L13" s="2" t="s">
        <v>49</v>
      </c>
      <c r="M13" s="15" t="s">
        <v>74</v>
      </c>
      <c r="N13" s="10">
        <v>46024</v>
      </c>
      <c r="O13" s="10">
        <v>46049</v>
      </c>
      <c r="P13" s="37">
        <f>IF(NETWORKDAYS(N13,O13,Feriados!$J$2:$J$22)-1&gt;=0,NETWORKDAYS(N13,O13,Feriados!$J$2:$J$22)-1,"NO APLICA")</f>
        <v>17</v>
      </c>
      <c r="Q13" s="10">
        <v>46024</v>
      </c>
      <c r="R13" s="9">
        <f t="shared" si="0"/>
        <v>46039</v>
      </c>
      <c r="S13" s="43">
        <v>46049</v>
      </c>
      <c r="T13" s="2">
        <v>15</v>
      </c>
      <c r="U13" s="9">
        <f>WORKDAY(Q13,T13,Feriados!$J$2:$J$22)</f>
        <v>46045</v>
      </c>
      <c r="V13" s="2">
        <f t="shared" si="1"/>
        <v>25</v>
      </c>
      <c r="W13" s="38">
        <f>IF(NETWORKDAYS(Q13,S13,Feriados!$J$2:$J$22)-1&gt;=0,NETWORKDAYS(Q13,S13,Feriados!$J$2:$J$22)-1,"NO APLICA")</f>
        <v>17</v>
      </c>
      <c r="X13" s="13">
        <f t="shared" ca="1" si="2"/>
        <v>-251</v>
      </c>
      <c r="Y13" s="3"/>
      <c r="Z13" s="48" t="s">
        <v>476</v>
      </c>
      <c r="AA13" s="65"/>
      <c r="AB13" s="88" t="s">
        <v>31</v>
      </c>
      <c r="AC13" s="107" t="s">
        <v>476</v>
      </c>
    </row>
    <row r="14" spans="1:29" ht="28.5" hidden="1" x14ac:dyDescent="0.2">
      <c r="A14" s="105">
        <v>13</v>
      </c>
      <c r="B14" s="2">
        <v>31</v>
      </c>
      <c r="C14" s="36" t="str">
        <f>IF(ISERROR(VLOOKUP(I14,[1]DEP!$B$3:$E$583,1,FALSE)),"NO","SI")</f>
        <v>NO</v>
      </c>
      <c r="D14" s="2" t="str">
        <f>IF(ISERROR(VLOOKUP(I14,[2]FRG!$S$19:$U$288,1,FALSE)),"NO","SI")</f>
        <v>NO</v>
      </c>
      <c r="E14" s="2" t="str">
        <f>IF(ISERROR(VLOOKUP(I14,[3]DATOS_PREINVERSION!$O$3:$R$475,1,FALSE)),"NO","SI")</f>
        <v>NO</v>
      </c>
      <c r="F14" s="2" t="s">
        <v>42</v>
      </c>
      <c r="G14" s="2" t="s">
        <v>42</v>
      </c>
      <c r="H14" s="2" t="s">
        <v>837</v>
      </c>
      <c r="I14" s="7">
        <v>40077488</v>
      </c>
      <c r="J14" s="3" t="s">
        <v>847</v>
      </c>
      <c r="K14" s="131">
        <v>1454613000</v>
      </c>
      <c r="L14" s="2" t="s">
        <v>49</v>
      </c>
      <c r="M14" s="15" t="s">
        <v>74</v>
      </c>
      <c r="N14" s="10">
        <v>46045</v>
      </c>
      <c r="O14" s="10">
        <v>46058</v>
      </c>
      <c r="P14" s="37">
        <f>IF(NETWORKDAYS(N14,O14,Feriados!$J$2:$J$22)-1&gt;=0,NETWORKDAYS(N14,O14,Feriados!$J$2:$J$22)-1,"NO APLICA")</f>
        <v>9</v>
      </c>
      <c r="Q14" s="10">
        <v>46045</v>
      </c>
      <c r="R14" s="9">
        <f t="shared" si="0"/>
        <v>46060</v>
      </c>
      <c r="S14" s="43">
        <v>46058</v>
      </c>
      <c r="T14" s="2">
        <v>15</v>
      </c>
      <c r="U14" s="9">
        <f>WORKDAY(Q14,T14,Feriados!$J$2:$J$22)</f>
        <v>46066</v>
      </c>
      <c r="V14" s="2">
        <f t="shared" si="1"/>
        <v>13</v>
      </c>
      <c r="W14" s="38">
        <f>IF(NETWORKDAYS(Q14,S14,Feriados!$J$2:$J$22)-1&gt;=0,NETWORKDAYS(Q14,S14,Feriados!$J$2:$J$22)-1,"NO APLICA")</f>
        <v>9</v>
      </c>
      <c r="X14" s="13">
        <f t="shared" ca="1" si="2"/>
        <v>-230</v>
      </c>
      <c r="Y14" s="3"/>
      <c r="Z14" s="48" t="s">
        <v>154</v>
      </c>
      <c r="AA14" s="65"/>
      <c r="AB14" s="88" t="s">
        <v>31</v>
      </c>
      <c r="AC14" s="107" t="s">
        <v>366</v>
      </c>
    </row>
    <row r="15" spans="1:29" ht="28.5" hidden="1" x14ac:dyDescent="0.2">
      <c r="A15" s="105">
        <v>14</v>
      </c>
      <c r="B15" s="2">
        <v>29</v>
      </c>
      <c r="C15" s="36" t="str">
        <f>IF(ISERROR(VLOOKUP(I15,[1]DEP!$B$3:$E$583,1,FALSE)),"NO","SI")</f>
        <v>NO</v>
      </c>
      <c r="D15" s="2" t="str">
        <f>IF(ISERROR(VLOOKUP(I15,[2]FRG!$S$19:$U$288,1,FALSE)),"NO","SI")</f>
        <v>SI</v>
      </c>
      <c r="E15" s="2" t="str">
        <f>IF(ISERROR(VLOOKUP(I15,[3]DATOS_PREINVERSION!$O$3:$R$475,1,FALSE)),"NO","SI")</f>
        <v>NO</v>
      </c>
      <c r="F15" s="2" t="s">
        <v>568</v>
      </c>
      <c r="G15" s="2" t="s">
        <v>69</v>
      </c>
      <c r="H15" s="2" t="s">
        <v>84</v>
      </c>
      <c r="I15" s="2">
        <v>40057047</v>
      </c>
      <c r="J15" s="3" t="s">
        <v>736</v>
      </c>
      <c r="K15" s="3">
        <v>1397278000</v>
      </c>
      <c r="L15" s="2" t="s">
        <v>49</v>
      </c>
      <c r="M15" s="17" t="s">
        <v>62</v>
      </c>
      <c r="N15" s="10"/>
      <c r="O15" s="10"/>
      <c r="P15" s="37" t="str">
        <f>IF(NETWORKDAYS(N15,O15,Feriados!$J$2:$J$22)-1&gt;=0,NETWORKDAYS(N15,O15,Feriados!$J$2:$J$22)-1,"NO APLICA")</f>
        <v>NO APLICA</v>
      </c>
      <c r="Q15" s="10">
        <v>46050</v>
      </c>
      <c r="R15" s="9">
        <f t="shared" si="0"/>
        <v>46060</v>
      </c>
      <c r="S15" s="43">
        <v>46055</v>
      </c>
      <c r="T15" s="2">
        <v>10</v>
      </c>
      <c r="U15" s="9">
        <f>WORKDAY(Q15,T15,Feriados!$J$2:$J$22)</f>
        <v>46064</v>
      </c>
      <c r="V15" s="2">
        <f t="shared" si="1"/>
        <v>5</v>
      </c>
      <c r="W15" s="38">
        <f>IF(NETWORKDAYS(Q15,S15,Feriados!$J$2:$J$22)-1&gt;=0,NETWORKDAYS(Q15,S15,Feriados!$J$2:$J$22)-1,"NO APLICA")</f>
        <v>3</v>
      </c>
      <c r="X15" s="13">
        <f t="shared" ca="1" si="2"/>
        <v>-232</v>
      </c>
      <c r="Y15" s="2" t="s">
        <v>477</v>
      </c>
      <c r="Z15" s="2" t="s">
        <v>157</v>
      </c>
      <c r="AA15" s="64">
        <v>168185</v>
      </c>
      <c r="AB15" s="88" t="s">
        <v>32</v>
      </c>
      <c r="AC15" s="107" t="s">
        <v>366</v>
      </c>
    </row>
    <row r="16" spans="1:29" ht="28.5" hidden="1" x14ac:dyDescent="0.2">
      <c r="A16" s="105">
        <v>15</v>
      </c>
      <c r="B16" s="2">
        <v>29</v>
      </c>
      <c r="C16" s="36" t="str">
        <f>IF(ISERROR(VLOOKUP(I16,[1]DEP!$B$3:$E$583,1,FALSE)),"NO","SI")</f>
        <v>SI</v>
      </c>
      <c r="D16" s="2" t="str">
        <f>IF(ISERROR(VLOOKUP(I16,[2]FRG!$S$19:$U$288,1,FALSE)),"NO","SI")</f>
        <v>SI</v>
      </c>
      <c r="E16" s="2" t="str">
        <f>IF(ISERROR(VLOOKUP(I16,[3]DATOS_PREINVERSION!$O$3:$R$475,1,FALSE)),"NO","SI")</f>
        <v>NO</v>
      </c>
      <c r="F16" s="2" t="s">
        <v>568</v>
      </c>
      <c r="G16" s="2" t="s">
        <v>54</v>
      </c>
      <c r="H16" s="2" t="s">
        <v>407</v>
      </c>
      <c r="I16" s="7">
        <v>40013818</v>
      </c>
      <c r="J16" s="3" t="s">
        <v>735</v>
      </c>
      <c r="K16" s="3">
        <v>1023216000</v>
      </c>
      <c r="L16" s="2" t="s">
        <v>49</v>
      </c>
      <c r="M16" s="17" t="s">
        <v>62</v>
      </c>
      <c r="N16" s="10"/>
      <c r="O16" s="10"/>
      <c r="P16" s="37" t="str">
        <f>IF(NETWORKDAYS(N16,O16,Feriados!$J$2:$J$22)-1&gt;=0,NETWORKDAYS(N16,O16,Feriados!$J$2:$J$22)-1,"NO APLICA")</f>
        <v>NO APLICA</v>
      </c>
      <c r="Q16" s="10">
        <v>46055</v>
      </c>
      <c r="R16" s="9">
        <f t="shared" si="0"/>
        <v>46065</v>
      </c>
      <c r="S16" s="43">
        <v>46059</v>
      </c>
      <c r="T16" s="2">
        <v>10</v>
      </c>
      <c r="U16" s="9">
        <f>WORKDAY(Q16,T16,Feriados!$J$2:$J$22)</f>
        <v>46069</v>
      </c>
      <c r="V16" s="2">
        <f t="shared" si="1"/>
        <v>4</v>
      </c>
      <c r="W16" s="38">
        <f>IF(NETWORKDAYS(Q16,S16,Feriados!$J$2:$J$22)-1&gt;=0,NETWORKDAYS(Q16,S16,Feriados!$J$2:$J$22)-1,"NO APLICA")</f>
        <v>4</v>
      </c>
      <c r="X16" s="13">
        <f t="shared" ca="1" si="2"/>
        <v>-227</v>
      </c>
      <c r="Y16" s="2" t="s">
        <v>507</v>
      </c>
      <c r="Z16" s="48" t="s">
        <v>157</v>
      </c>
      <c r="AA16" s="3">
        <v>1190</v>
      </c>
      <c r="AB16" s="88" t="s">
        <v>32</v>
      </c>
      <c r="AC16" s="107" t="s">
        <v>366</v>
      </c>
    </row>
    <row r="17" spans="1:29" ht="28.5" hidden="1" x14ac:dyDescent="0.2">
      <c r="A17" s="105">
        <v>16</v>
      </c>
      <c r="B17" s="2">
        <v>29</v>
      </c>
      <c r="C17" s="36" t="str">
        <f>IF(ISERROR(VLOOKUP(I17,[1]DEP!$B$3:$E$583,1,FALSE)),"NO","SI")</f>
        <v>NO</v>
      </c>
      <c r="D17" s="2" t="str">
        <f>IF(ISERROR(VLOOKUP(I17,[2]FRG!$S$19:$U$288,1,FALSE)),"NO","SI")</f>
        <v>NO</v>
      </c>
      <c r="E17" s="2" t="str">
        <f>IF(ISERROR(VLOOKUP(I17,[3]DATOS_PREINVERSION!$O$3:$R$475,1,FALSE)),"NO","SI")</f>
        <v>SI</v>
      </c>
      <c r="F17" s="2" t="s">
        <v>42</v>
      </c>
      <c r="G17" s="2" t="s">
        <v>42</v>
      </c>
      <c r="H17" s="2" t="s">
        <v>837</v>
      </c>
      <c r="I17" s="7">
        <v>40068124</v>
      </c>
      <c r="J17" s="3" t="s">
        <v>851</v>
      </c>
      <c r="K17" s="131">
        <v>354658000</v>
      </c>
      <c r="L17" s="2" t="s">
        <v>49</v>
      </c>
      <c r="M17" s="15" t="s">
        <v>74</v>
      </c>
      <c r="N17" s="10">
        <v>46056</v>
      </c>
      <c r="O17" s="10">
        <v>46078</v>
      </c>
      <c r="P17" s="37">
        <f>IF(NETWORKDAYS(N17,O17,Feriados!$J$2:$J$22)-1&gt;=0,NETWORKDAYS(N17,O17,Feriados!$J$2:$J$22)-1,"NO APLICA")</f>
        <v>16</v>
      </c>
      <c r="Q17" s="10">
        <v>46056</v>
      </c>
      <c r="R17" s="9">
        <f t="shared" si="0"/>
        <v>46071</v>
      </c>
      <c r="S17" s="43">
        <v>46078</v>
      </c>
      <c r="T17" s="2">
        <v>15</v>
      </c>
      <c r="U17" s="9">
        <f>WORKDAY(Q17,T17,Feriados!$J$2:$J$22)</f>
        <v>46077</v>
      </c>
      <c r="V17" s="2">
        <f t="shared" si="1"/>
        <v>22</v>
      </c>
      <c r="W17" s="38">
        <f>IF(NETWORKDAYS(Q17,S17,Feriados!$J$2:$J$22)-1&gt;=0,NETWORKDAYS(Q17,S17,Feriados!$J$2:$J$22)-1,"NO APLICA")</f>
        <v>16</v>
      </c>
      <c r="X17" s="13">
        <f t="shared" ca="1" si="2"/>
        <v>-219</v>
      </c>
      <c r="Y17" s="3"/>
      <c r="Z17" s="2" t="s">
        <v>172</v>
      </c>
      <c r="AA17" s="57"/>
      <c r="AB17" s="88" t="s">
        <v>31</v>
      </c>
      <c r="AC17" s="3" t="s">
        <v>757</v>
      </c>
    </row>
    <row r="18" spans="1:29" ht="28.5" x14ac:dyDescent="0.2">
      <c r="A18" s="105">
        <v>17</v>
      </c>
      <c r="B18" s="2">
        <v>29</v>
      </c>
      <c r="C18" s="36" t="str">
        <f>IF(ISERROR(VLOOKUP(I18,[1]DEP!$B$3:$E$583,1,FALSE)),"NO","SI")</f>
        <v>NO</v>
      </c>
      <c r="D18" s="2" t="str">
        <f>IF(ISERROR(VLOOKUP(I18,[2]FRG!$S$19:$U$288,1,FALSE)),"NO","SI")</f>
        <v>NO</v>
      </c>
      <c r="E18" s="2" t="str">
        <f>IF(ISERROR(VLOOKUP(I18,[3]DATOS_PREINVERSION!$O$3:$R$475,1,FALSE)),"NO","SI")</f>
        <v>NO</v>
      </c>
      <c r="F18" s="2" t="s">
        <v>175</v>
      </c>
      <c r="G18" s="2" t="s">
        <v>175</v>
      </c>
      <c r="H18" s="2" t="s">
        <v>78</v>
      </c>
      <c r="I18" s="7">
        <v>40077628</v>
      </c>
      <c r="J18" s="3" t="s">
        <v>852</v>
      </c>
      <c r="K18" s="131">
        <v>1252475000</v>
      </c>
      <c r="L18" s="2" t="s">
        <v>49</v>
      </c>
      <c r="M18" s="15" t="s">
        <v>63</v>
      </c>
      <c r="N18" s="10">
        <v>46059</v>
      </c>
      <c r="O18" s="10">
        <v>46059</v>
      </c>
      <c r="P18" s="37">
        <f>IF(NETWORKDAYS(N18,O18,Feriados!$J$2:$J$22)-1&gt;=0,NETWORKDAYS(N18,O18,Feriados!$J$2:$J$22)-1,"NO APLICA")</f>
        <v>0</v>
      </c>
      <c r="Q18" s="10">
        <v>46265</v>
      </c>
      <c r="R18" s="9">
        <f t="shared" si="0"/>
        <v>46280</v>
      </c>
      <c r="S18" s="43">
        <v>46059</v>
      </c>
      <c r="T18" s="2">
        <v>15</v>
      </c>
      <c r="U18" s="9">
        <f>WORKDAY(Q18,T18,Feriados!$J$2:$J$22)</f>
        <v>46287</v>
      </c>
      <c r="V18" s="2">
        <f t="shared" si="1"/>
        <v>-206</v>
      </c>
      <c r="W18" s="38" t="str">
        <f>IF(NETWORKDAYS(Q18,S18,Feriados!$J$2:$J$22)-1&gt;=0,NETWORKDAYS(Q18,S18,Feriados!$J$2:$J$22)-1,"NO APLICA")</f>
        <v>NO APLICA</v>
      </c>
      <c r="X18" s="13">
        <f t="shared" ca="1" si="2"/>
        <v>-9</v>
      </c>
      <c r="Y18" s="3"/>
      <c r="Z18" s="2" t="s">
        <v>844</v>
      </c>
      <c r="AA18" s="57"/>
      <c r="AB18" s="88" t="s">
        <v>31</v>
      </c>
      <c r="AC18" s="3" t="s">
        <v>757</v>
      </c>
    </row>
    <row r="19" spans="1:29" ht="28.5" hidden="1" x14ac:dyDescent="0.2">
      <c r="A19" s="105">
        <v>18</v>
      </c>
      <c r="B19" s="2">
        <v>31</v>
      </c>
      <c r="C19" s="36" t="str">
        <f>IF(ISERROR(VLOOKUP(I19,[1]DEP!$B$3:$E$583,1,FALSE)),"NO","SI")</f>
        <v>NO</v>
      </c>
      <c r="D19" s="2" t="str">
        <f>IF(ISERROR(VLOOKUP(I19,[2]FRG!$S$19:$U$288,1,FALSE)),"NO","SI")</f>
        <v>NO</v>
      </c>
      <c r="E19" s="2" t="str">
        <f>IF(ISERROR(VLOOKUP(I19,[3]DATOS_PREINVERSION!$O$3:$R$475,1,FALSE)),"NO","SI")</f>
        <v>SI</v>
      </c>
      <c r="F19" s="2" t="s">
        <v>45</v>
      </c>
      <c r="G19" s="2" t="s">
        <v>60</v>
      </c>
      <c r="H19" s="2" t="s">
        <v>797</v>
      </c>
      <c r="I19" s="7">
        <v>40064827</v>
      </c>
      <c r="J19" s="3" t="s">
        <v>796</v>
      </c>
      <c r="K19" s="131">
        <v>656020000</v>
      </c>
      <c r="L19" s="2" t="s">
        <v>49</v>
      </c>
      <c r="M19" s="15" t="s">
        <v>74</v>
      </c>
      <c r="N19" s="10">
        <v>46059</v>
      </c>
      <c r="O19" s="10">
        <v>46080</v>
      </c>
      <c r="P19" s="37">
        <f>IF(NETWORKDAYS(N19,O19,Feriados!$J$2:$J$22)-1&gt;=0,NETWORKDAYS(N19,O19,Feriados!$J$2:$J$22)-1,"NO APLICA")</f>
        <v>15</v>
      </c>
      <c r="Q19" s="10">
        <v>46059</v>
      </c>
      <c r="R19" s="9">
        <f t="shared" si="0"/>
        <v>46074</v>
      </c>
      <c r="S19" s="43">
        <v>46080</v>
      </c>
      <c r="T19" s="2">
        <v>15</v>
      </c>
      <c r="U19" s="9">
        <f>WORKDAY(Q19,T19,Feriados!$J$2:$J$22)</f>
        <v>46080</v>
      </c>
      <c r="V19" s="2">
        <f t="shared" si="1"/>
        <v>21</v>
      </c>
      <c r="W19" s="38">
        <f>IF(NETWORKDAYS(Q19,S19,Feriados!$J$2:$J$22)-1&gt;=0,NETWORKDAYS(Q19,S19,Feriados!$J$2:$J$22)-1,"NO APLICA")</f>
        <v>15</v>
      </c>
      <c r="X19" s="13">
        <f t="shared" ca="1" si="2"/>
        <v>-216</v>
      </c>
      <c r="Y19" s="2"/>
      <c r="Z19" s="2" t="s">
        <v>154</v>
      </c>
      <c r="AA19" s="57"/>
      <c r="AB19" s="88" t="s">
        <v>31</v>
      </c>
      <c r="AC19" s="2" t="s">
        <v>366</v>
      </c>
    </row>
    <row r="20" spans="1:29" ht="28.5" hidden="1" x14ac:dyDescent="0.2">
      <c r="A20" s="105">
        <v>19</v>
      </c>
      <c r="B20" s="2">
        <v>31</v>
      </c>
      <c r="C20" s="36" t="str">
        <f>IF(ISERROR(VLOOKUP(I20,[1]DEP!$B$3:$E$583,1,FALSE)),"NO","SI")</f>
        <v>NO</v>
      </c>
      <c r="D20" s="2" t="str">
        <f>IF(ISERROR(VLOOKUP(I20,[2]FRG!$S$19:$U$288,1,FALSE)),"NO","SI")</f>
        <v>NO</v>
      </c>
      <c r="E20" s="2" t="str">
        <f>IF(ISERROR(VLOOKUP(I20,[3]DATOS_PREINVERSION!$O$3:$R$475,1,FALSE)),"NO","SI")</f>
        <v>SI</v>
      </c>
      <c r="F20" s="2" t="s">
        <v>568</v>
      </c>
      <c r="G20" s="2" t="s">
        <v>56</v>
      </c>
      <c r="H20" s="2" t="s">
        <v>802</v>
      </c>
      <c r="I20" s="7">
        <v>40074153</v>
      </c>
      <c r="J20" s="3" t="s">
        <v>853</v>
      </c>
      <c r="K20" s="131">
        <v>662550000</v>
      </c>
      <c r="L20" s="2" t="s">
        <v>49</v>
      </c>
      <c r="M20" s="15" t="s">
        <v>74</v>
      </c>
      <c r="N20" s="10">
        <v>46062</v>
      </c>
      <c r="O20" s="10">
        <v>46080</v>
      </c>
      <c r="P20" s="37">
        <f>IF(NETWORKDAYS(N20,O20,Feriados!$J$2:$J$22)-1&gt;=0,NETWORKDAYS(N20,O20,Feriados!$J$2:$J$22)-1,"NO APLICA")</f>
        <v>14</v>
      </c>
      <c r="Q20" s="10">
        <v>46062</v>
      </c>
      <c r="R20" s="9">
        <f t="shared" si="0"/>
        <v>46077</v>
      </c>
      <c r="S20" s="43">
        <v>46080</v>
      </c>
      <c r="T20" s="2">
        <v>15</v>
      </c>
      <c r="U20" s="9">
        <f>WORKDAY(Q20,T20,Feriados!$J$2:$J$22)</f>
        <v>46083</v>
      </c>
      <c r="V20" s="2">
        <f t="shared" si="1"/>
        <v>18</v>
      </c>
      <c r="W20" s="38">
        <f>IF(NETWORKDAYS(Q20,S20,Feriados!$J$2:$J$22)-1&gt;=0,NETWORKDAYS(Q20,S20,Feriados!$J$2:$J$22)-1,"NO APLICA")</f>
        <v>14</v>
      </c>
      <c r="X20" s="13">
        <f t="shared" ca="1" si="2"/>
        <v>-213</v>
      </c>
      <c r="Y20" s="2"/>
      <c r="Z20" s="2" t="s">
        <v>155</v>
      </c>
      <c r="AA20" s="57"/>
      <c r="AB20" s="88" t="s">
        <v>31</v>
      </c>
      <c r="AC20" s="2" t="s">
        <v>366</v>
      </c>
    </row>
    <row r="21" spans="1:29" ht="28.5" hidden="1" x14ac:dyDescent="0.2">
      <c r="A21" s="105">
        <v>20</v>
      </c>
      <c r="B21" s="2">
        <v>29</v>
      </c>
      <c r="C21" s="36" t="str">
        <f>IF(ISERROR(VLOOKUP(I21,[1]DEP!$B$3:$E$583,1,FALSE)),"NO","SI")</f>
        <v>NO</v>
      </c>
      <c r="D21" s="2" t="str">
        <f>IF(ISERROR(VLOOKUP(I21,[2]FRG!$S$19:$U$288,1,FALSE)),"NO","SI")</f>
        <v>NO</v>
      </c>
      <c r="E21" s="2" t="str">
        <f>IF(ISERROR(VLOOKUP(I21,[3]DATOS_PREINVERSION!$O$3:$R$475,1,FALSE)),"NO","SI")</f>
        <v>SI</v>
      </c>
      <c r="F21" s="2" t="s">
        <v>175</v>
      </c>
      <c r="G21" s="2" t="s">
        <v>175</v>
      </c>
      <c r="H21" s="2" t="s">
        <v>696</v>
      </c>
      <c r="I21" s="7">
        <v>40072933</v>
      </c>
      <c r="J21" s="3" t="s">
        <v>886</v>
      </c>
      <c r="K21" s="3">
        <v>740660000</v>
      </c>
      <c r="L21" s="2" t="s">
        <v>49</v>
      </c>
      <c r="M21" s="17" t="s">
        <v>62</v>
      </c>
      <c r="N21" s="10">
        <v>46070</v>
      </c>
      <c r="O21" s="10">
        <v>46093</v>
      </c>
      <c r="P21" s="37">
        <f>IF(NETWORKDAYS(N21,O21,Feriados!$J$2:$J$22)-1&gt;=0,NETWORKDAYS(N21,O21,Feriados!$J$2:$J$22)-1,"NO APLICA")</f>
        <v>17</v>
      </c>
      <c r="Q21" s="10">
        <v>46168</v>
      </c>
      <c r="R21" s="9">
        <f t="shared" si="0"/>
        <v>46178</v>
      </c>
      <c r="S21" s="43">
        <v>46093</v>
      </c>
      <c r="T21" s="2">
        <v>10</v>
      </c>
      <c r="U21" s="9">
        <f>WORKDAY(Q21,T21,Feriados!$J$2:$J$22)</f>
        <v>46182</v>
      </c>
      <c r="V21" s="2">
        <f t="shared" si="1"/>
        <v>-75</v>
      </c>
      <c r="W21" s="38" t="str">
        <f>IF(NETWORKDAYS(Q21,S21,Feriados!$J$2:$J$22)-1&gt;=0,NETWORKDAYS(Q21,S21,Feriados!$J$2:$J$22)-1,"NO APLICA")</f>
        <v>NO APLICA</v>
      </c>
      <c r="X21" s="13">
        <f t="shared" ca="1" si="2"/>
        <v>-114</v>
      </c>
      <c r="Y21" s="2" t="s">
        <v>868</v>
      </c>
      <c r="Z21" s="2" t="s">
        <v>697</v>
      </c>
      <c r="AA21" s="64"/>
      <c r="AB21" s="88" t="s">
        <v>32</v>
      </c>
      <c r="AC21" s="2" t="s">
        <v>786</v>
      </c>
    </row>
    <row r="22" spans="1:29" ht="57" hidden="1" x14ac:dyDescent="0.2">
      <c r="A22" s="105">
        <v>21</v>
      </c>
      <c r="B22" s="2">
        <v>29</v>
      </c>
      <c r="C22" s="36" t="str">
        <f>IF(ISERROR(VLOOKUP(I22,[1]DEP!$B$3:$E$583,1,FALSE)),"NO","SI")</f>
        <v>NO</v>
      </c>
      <c r="D22" s="2" t="str">
        <f>IF(ISERROR(VLOOKUP(I22,[2]FRG!$S$19:$U$288,1,FALSE)),"NO","SI")</f>
        <v>NO</v>
      </c>
      <c r="E22" s="2" t="str">
        <f>IF(ISERROR(VLOOKUP(I22,[3]DATOS_PREINVERSION!$O$3:$R$475,1,FALSE)),"NO","SI")</f>
        <v>SI</v>
      </c>
      <c r="F22" s="3" t="s">
        <v>45</v>
      </c>
      <c r="G22" s="2" t="s">
        <v>854</v>
      </c>
      <c r="H22" s="2" t="s">
        <v>855</v>
      </c>
      <c r="I22" s="7">
        <v>40059805</v>
      </c>
      <c r="J22" s="3" t="s">
        <v>599</v>
      </c>
      <c r="K22" s="133">
        <v>213852000</v>
      </c>
      <c r="L22" s="2" t="s">
        <v>49</v>
      </c>
      <c r="M22" s="15" t="s">
        <v>705</v>
      </c>
      <c r="N22" s="10">
        <v>46065</v>
      </c>
      <c r="O22" s="10">
        <v>46084</v>
      </c>
      <c r="P22" s="37">
        <f>IF(NETWORKDAYS(N22,O22,Feriados!$J$2:$J$22)-1&gt;=0,NETWORKDAYS(N22,O22,Feriados!$J$2:$J$22)-1,"NO APLICA")</f>
        <v>13</v>
      </c>
      <c r="Q22" s="10">
        <v>46251</v>
      </c>
      <c r="R22" s="9">
        <f t="shared" si="0"/>
        <v>46266</v>
      </c>
      <c r="S22" s="43">
        <v>46275</v>
      </c>
      <c r="T22" s="2">
        <v>15</v>
      </c>
      <c r="U22" s="9">
        <f>WORKDAY(Q22,T22,Feriados!$J$2:$J$22)</f>
        <v>46272</v>
      </c>
      <c r="V22" s="2">
        <f t="shared" si="1"/>
        <v>24</v>
      </c>
      <c r="W22" s="38">
        <f>IF(NETWORKDAYS(Q22,S22,Feriados!$J$2:$J$22)-1&gt;=0,NETWORKDAYS(Q22,S22,Feriados!$J$2:$J$22)-1,"NO APLICA")</f>
        <v>18</v>
      </c>
      <c r="X22" s="13">
        <f t="shared" ca="1" si="2"/>
        <v>-24</v>
      </c>
      <c r="Y22" s="2"/>
      <c r="Z22" s="2" t="s">
        <v>223</v>
      </c>
      <c r="AA22" s="64"/>
      <c r="AB22" s="88" t="s">
        <v>31</v>
      </c>
      <c r="AC22" s="2" t="s">
        <v>542</v>
      </c>
    </row>
    <row r="23" spans="1:29" ht="28.5" hidden="1" x14ac:dyDescent="0.2">
      <c r="A23" s="105">
        <v>22</v>
      </c>
      <c r="B23" s="2">
        <v>29</v>
      </c>
      <c r="C23" s="36" t="str">
        <f>IF(ISERROR(VLOOKUP(I23,[1]DEP!$B$3:$E$583,1,FALSE)),"NO","SI")</f>
        <v>NO</v>
      </c>
      <c r="D23" s="2" t="str">
        <f>IF(ISERROR(VLOOKUP(I23,[2]FRG!$S$19:$U$288,1,FALSE)),"NO","SI")</f>
        <v>NO</v>
      </c>
      <c r="E23" s="2" t="str">
        <f>IF(ISERROR(VLOOKUP(I23,[3]DATOS_PREINVERSION!$O$3:$R$475,1,FALSE)),"NO","SI")</f>
        <v>NO</v>
      </c>
      <c r="F23" s="2" t="s">
        <v>175</v>
      </c>
      <c r="G23" s="2" t="s">
        <v>175</v>
      </c>
      <c r="H23" s="2" t="s">
        <v>102</v>
      </c>
      <c r="I23" s="7">
        <v>40077203</v>
      </c>
      <c r="J23" s="3" t="s">
        <v>808</v>
      </c>
      <c r="K23" s="3">
        <v>1033592000</v>
      </c>
      <c r="L23" s="2" t="s">
        <v>49</v>
      </c>
      <c r="M23" s="15" t="s">
        <v>705</v>
      </c>
      <c r="N23" s="10">
        <v>46076</v>
      </c>
      <c r="O23" s="10">
        <v>46092</v>
      </c>
      <c r="P23" s="37">
        <f>IF(NETWORKDAYS(N23,O23,Feriados!$J$2:$J$22)-1&gt;=0,NETWORKDAYS(N23,O23,Feriados!$J$2:$J$22)-1,"NO APLICA")</f>
        <v>12</v>
      </c>
      <c r="Q23" s="10">
        <v>46216</v>
      </c>
      <c r="R23" s="9">
        <f t="shared" si="0"/>
        <v>46231</v>
      </c>
      <c r="S23" s="43">
        <v>46244</v>
      </c>
      <c r="T23" s="2">
        <v>15</v>
      </c>
      <c r="U23" s="9">
        <f>WORKDAY(Q23,T23,Feriados!$J$2:$J$22)</f>
        <v>46238</v>
      </c>
      <c r="V23" s="2">
        <f t="shared" si="1"/>
        <v>28</v>
      </c>
      <c r="W23" s="38">
        <f>IF(NETWORKDAYS(Q23,S23,Feriados!$J$2:$J$22)-1&gt;=0,NETWORKDAYS(Q23,S23,Feriados!$J$2:$J$22)-1,"NO APLICA")</f>
        <v>19</v>
      </c>
      <c r="X23" s="13">
        <f t="shared" ca="1" si="2"/>
        <v>-58</v>
      </c>
      <c r="Y23" s="2"/>
      <c r="Z23" s="2" t="s">
        <v>863</v>
      </c>
      <c r="AA23" s="57"/>
      <c r="AB23" s="88" t="s">
        <v>31</v>
      </c>
      <c r="AC23" s="2" t="s">
        <v>786</v>
      </c>
    </row>
    <row r="24" spans="1:29" ht="57" hidden="1" x14ac:dyDescent="0.2">
      <c r="A24" s="105">
        <v>23</v>
      </c>
      <c r="B24" s="2">
        <v>29</v>
      </c>
      <c r="C24" s="36" t="str">
        <f>IF(ISERROR(VLOOKUP(I24,[1]DEP!$B$3:$E$583,1,FALSE)),"NO","SI")</f>
        <v>NO</v>
      </c>
      <c r="D24" s="2" t="str">
        <f>IF(ISERROR(VLOOKUP(I24,[2]FRG!$S$19:$U$288,1,FALSE)),"NO","SI")</f>
        <v>NO</v>
      </c>
      <c r="E24" s="2" t="str">
        <f>IF(ISERROR(VLOOKUP(I24,[3]DATOS_PREINVERSION!$O$3:$R$475,1,FALSE)),"NO","SI")</f>
        <v>SI</v>
      </c>
      <c r="F24" s="2" t="s">
        <v>568</v>
      </c>
      <c r="G24" s="2" t="s">
        <v>857</v>
      </c>
      <c r="H24" s="2" t="s">
        <v>858</v>
      </c>
      <c r="I24" s="44">
        <v>40078361</v>
      </c>
      <c r="J24" s="3" t="s">
        <v>856</v>
      </c>
      <c r="K24" s="131">
        <v>1497000000</v>
      </c>
      <c r="L24" s="2" t="s">
        <v>49</v>
      </c>
      <c r="M24" s="15" t="s">
        <v>698</v>
      </c>
      <c r="N24" s="10">
        <v>46064</v>
      </c>
      <c r="O24" s="10">
        <v>46085</v>
      </c>
      <c r="P24" s="37">
        <f>IF(NETWORKDAYS(N24,O24,Feriados!$J$2:$J$22)-1&gt;=0,NETWORKDAYS(N24,O24,Feriados!$J$2:$J$22)-1,"NO APLICA")</f>
        <v>15</v>
      </c>
      <c r="Q24" s="10">
        <v>46188</v>
      </c>
      <c r="R24" s="9">
        <f t="shared" si="0"/>
        <v>46203</v>
      </c>
      <c r="S24" s="43">
        <v>46223</v>
      </c>
      <c r="T24" s="2">
        <v>15</v>
      </c>
      <c r="U24" s="9">
        <f>WORKDAY(Q24,T24,Feriados!$J$2:$J$22)</f>
        <v>46210</v>
      </c>
      <c r="V24" s="2">
        <f t="shared" si="1"/>
        <v>35</v>
      </c>
      <c r="W24" s="38">
        <f>IF(NETWORKDAYS(Q24,S24,Feriados!$J$2:$J$22)-1&gt;=0,NETWORKDAYS(Q24,S24,Feriados!$J$2:$J$22)-1,"NO APLICA")</f>
        <v>23</v>
      </c>
      <c r="X24" s="13">
        <f t="shared" ca="1" si="2"/>
        <v>-86</v>
      </c>
      <c r="Y24" s="2"/>
      <c r="Z24" s="2" t="s">
        <v>152</v>
      </c>
      <c r="AA24" s="57"/>
      <c r="AB24" s="88" t="s">
        <v>31</v>
      </c>
      <c r="AC24" s="107" t="s">
        <v>542</v>
      </c>
    </row>
    <row r="25" spans="1:29" ht="28.5" hidden="1" x14ac:dyDescent="0.2">
      <c r="A25" s="105">
        <v>24</v>
      </c>
      <c r="B25" s="2">
        <v>22</v>
      </c>
      <c r="C25" s="36" t="str">
        <f>IF(ISERROR(VLOOKUP(I25,[1]DEP!$B$3:$E$583,1,FALSE)),"NO","SI")</f>
        <v>NO</v>
      </c>
      <c r="D25" s="2" t="str">
        <f>IF(ISERROR(VLOOKUP(I25,[2]FRG!$S$19:$U$288,1,FALSE)),"NO","SI")</f>
        <v>NO</v>
      </c>
      <c r="E25" s="2" t="str">
        <f>IF(ISERROR(VLOOKUP(I25,[3]DATOS_PREINVERSION!$O$3:$R$475,1,FALSE)),"NO","SI")</f>
        <v>NO</v>
      </c>
      <c r="F25" s="2" t="s">
        <v>175</v>
      </c>
      <c r="G25" s="2" t="s">
        <v>175</v>
      </c>
      <c r="H25" s="2" t="s">
        <v>269</v>
      </c>
      <c r="I25" s="7">
        <v>40078276</v>
      </c>
      <c r="J25" s="3" t="s">
        <v>859</v>
      </c>
      <c r="K25" s="3">
        <v>220000000</v>
      </c>
      <c r="L25" s="2" t="s">
        <v>49</v>
      </c>
      <c r="M25" s="15" t="s">
        <v>860</v>
      </c>
      <c r="N25" s="10">
        <v>46059</v>
      </c>
      <c r="O25" s="10">
        <v>46059</v>
      </c>
      <c r="P25" s="37">
        <f>IF(NETWORKDAYS(N25,O25,Feriados!$J$2:$J$22)-1&gt;=0,NETWORKDAYS(N25,O25,Feriados!$J$2:$J$22)-1,"NO APLICA")</f>
        <v>0</v>
      </c>
      <c r="Q25" s="10">
        <v>46059</v>
      </c>
      <c r="R25" s="9">
        <f t="shared" si="0"/>
        <v>46074</v>
      </c>
      <c r="S25" s="43">
        <v>46059</v>
      </c>
      <c r="T25" s="2">
        <v>15</v>
      </c>
      <c r="U25" s="9">
        <f>WORKDAY(Q25,T25,Feriados!$J$2:$J$22)</f>
        <v>46080</v>
      </c>
      <c r="V25" s="2">
        <f t="shared" si="1"/>
        <v>0</v>
      </c>
      <c r="W25" s="38">
        <f>IF(NETWORKDAYS(Q25,S25,Feriados!$J$2:$J$22)-1&gt;=0,NETWORKDAYS(Q25,S25,Feriados!$J$2:$J$22)-1,"NO APLICA")</f>
        <v>0</v>
      </c>
      <c r="X25" s="13">
        <f t="shared" ca="1" si="2"/>
        <v>-216</v>
      </c>
      <c r="Y25" s="2"/>
      <c r="Z25" s="2" t="s">
        <v>824</v>
      </c>
      <c r="AA25" s="57"/>
      <c r="AB25" s="88" t="s">
        <v>31</v>
      </c>
      <c r="AC25" s="2" t="s">
        <v>786</v>
      </c>
    </row>
    <row r="26" spans="1:29" hidden="1" x14ac:dyDescent="0.2">
      <c r="A26" s="105">
        <v>25</v>
      </c>
      <c r="B26" s="2">
        <v>22</v>
      </c>
      <c r="C26" s="36" t="str">
        <f>IF(ISERROR(VLOOKUP(I26,[1]DEP!$B$3:$E$583,1,FALSE)),"NO","SI")</f>
        <v>NO</v>
      </c>
      <c r="D26" s="2" t="str">
        <f>IF(ISERROR(VLOOKUP(I26,[2]FRG!$S$19:$U$288,1,FALSE)),"NO","SI")</f>
        <v>NO</v>
      </c>
      <c r="E26" s="2" t="str">
        <f>IF(ISERROR(VLOOKUP(I26,[3]DATOS_PREINVERSION!$O$3:$R$475,1,FALSE)),"NO","SI")</f>
        <v>NO</v>
      </c>
      <c r="F26" s="2" t="s">
        <v>175</v>
      </c>
      <c r="G26" s="2" t="s">
        <v>175</v>
      </c>
      <c r="H26" s="2" t="s">
        <v>269</v>
      </c>
      <c r="I26" s="7">
        <v>40076970</v>
      </c>
      <c r="J26" s="3" t="s">
        <v>861</v>
      </c>
      <c r="K26" s="131">
        <v>146000000</v>
      </c>
      <c r="L26" s="2" t="s">
        <v>49</v>
      </c>
      <c r="M26" s="15" t="s">
        <v>860</v>
      </c>
      <c r="N26" s="10">
        <v>46077</v>
      </c>
      <c r="O26" s="10">
        <v>46084</v>
      </c>
      <c r="P26" s="37">
        <f>IF(NETWORKDAYS(N26,O26,Feriados!$J$2:$J$22)-1&gt;=0,NETWORKDAYS(N26,O26,Feriados!$J$2:$J$22)-1,"NO APLICA")</f>
        <v>5</v>
      </c>
      <c r="Q26" s="10">
        <v>46077</v>
      </c>
      <c r="R26" s="9">
        <f t="shared" si="0"/>
        <v>46092</v>
      </c>
      <c r="S26" s="43">
        <v>46084</v>
      </c>
      <c r="T26" s="2">
        <v>15</v>
      </c>
      <c r="U26" s="9">
        <f>WORKDAY(Q26,T26,Feriados!$J$2:$J$22)</f>
        <v>46098</v>
      </c>
      <c r="V26" s="2">
        <f t="shared" si="1"/>
        <v>7</v>
      </c>
      <c r="W26" s="38">
        <f>IF(NETWORKDAYS(Q26,S26,Feriados!$J$2:$J$22)-1&gt;=0,NETWORKDAYS(Q26,S26,Feriados!$J$2:$J$22)-1,"NO APLICA")</f>
        <v>5</v>
      </c>
      <c r="X26" s="13">
        <f t="shared" ca="1" si="2"/>
        <v>-198</v>
      </c>
      <c r="Y26" s="2"/>
      <c r="Z26" s="2" t="s">
        <v>824</v>
      </c>
      <c r="AA26" s="57"/>
      <c r="AB26" s="88" t="s">
        <v>31</v>
      </c>
      <c r="AC26" s="2" t="s">
        <v>864</v>
      </c>
    </row>
    <row r="27" spans="1:29" ht="28.5" hidden="1" x14ac:dyDescent="0.2">
      <c r="A27" s="105">
        <v>26</v>
      </c>
      <c r="B27" s="2">
        <v>29</v>
      </c>
      <c r="C27" s="36" t="str">
        <f>IF(ISERROR(VLOOKUP(I27,[1]DEP!$B$3:$E$583,1,FALSE)),"NO","SI")</f>
        <v>NO</v>
      </c>
      <c r="D27" s="2" t="str">
        <f>IF(ISERROR(VLOOKUP(I27,[2]FRG!$S$19:$U$288,1,FALSE)),"NO","SI")</f>
        <v>NO</v>
      </c>
      <c r="E27" s="2" t="str">
        <f>IF(ISERROR(VLOOKUP(I27,[3]DATOS_PREINVERSION!$O$3:$R$475,1,FALSE)),"NO","SI")</f>
        <v>NO</v>
      </c>
      <c r="F27" s="2" t="s">
        <v>48</v>
      </c>
      <c r="G27" s="2" t="s">
        <v>393</v>
      </c>
      <c r="H27" s="2" t="s">
        <v>397</v>
      </c>
      <c r="I27" s="7">
        <v>40066280</v>
      </c>
      <c r="J27" s="3" t="s">
        <v>807</v>
      </c>
      <c r="K27" s="3">
        <v>121569000</v>
      </c>
      <c r="L27" s="2" t="s">
        <v>49</v>
      </c>
      <c r="M27" s="15" t="s">
        <v>62</v>
      </c>
      <c r="N27" s="10">
        <v>46080</v>
      </c>
      <c r="O27" s="10">
        <v>46097</v>
      </c>
      <c r="P27" s="37">
        <f>IF(NETWORKDAYS(N27,O27,Feriados!$J$2:$J$22)-1&gt;=0,NETWORKDAYS(N27,O27,Feriados!$J$2:$J$22)-1,"NO APLICA")</f>
        <v>11</v>
      </c>
      <c r="Q27" s="10">
        <v>46080</v>
      </c>
      <c r="R27" s="9">
        <f t="shared" si="0"/>
        <v>46095</v>
      </c>
      <c r="S27" s="43">
        <v>46097</v>
      </c>
      <c r="T27" s="2">
        <v>15</v>
      </c>
      <c r="U27" s="9">
        <f>WORKDAY(Q27,T27,Feriados!$J$2:$J$22)</f>
        <v>46101</v>
      </c>
      <c r="V27" s="2">
        <f t="shared" si="1"/>
        <v>17</v>
      </c>
      <c r="W27" s="38">
        <f>IF(NETWORKDAYS(Q27,S27,Feriados!$J$2:$J$22)-1&gt;=0,NETWORKDAYS(Q27,S27,Feriados!$J$2:$J$22)-1,"NO APLICA")</f>
        <v>11</v>
      </c>
      <c r="X27" s="13">
        <f t="shared" ca="1" si="2"/>
        <v>-195</v>
      </c>
      <c r="Y27" s="2" t="s">
        <v>875</v>
      </c>
      <c r="Z27" s="2" t="s">
        <v>338</v>
      </c>
      <c r="AA27" s="57"/>
      <c r="AB27" s="88" t="s">
        <v>31</v>
      </c>
      <c r="AC27" s="2" t="s">
        <v>820</v>
      </c>
    </row>
    <row r="28" spans="1:29" ht="28.5" hidden="1" x14ac:dyDescent="0.2">
      <c r="A28" s="105">
        <v>27</v>
      </c>
      <c r="B28" s="2">
        <v>29</v>
      </c>
      <c r="C28" s="36" t="str">
        <f>IF(ISERROR(VLOOKUP(I28,[1]DEP!$B$3:$E$583,1,FALSE)),"NO","SI")</f>
        <v>NO</v>
      </c>
      <c r="D28" s="2" t="str">
        <f>IF(ISERROR(VLOOKUP(I28,[2]FRG!$S$19:$U$288,1,FALSE)),"NO","SI")</f>
        <v>NO</v>
      </c>
      <c r="E28" s="2" t="str">
        <f>IF(ISERROR(VLOOKUP(I28,[3]DATOS_PREINVERSION!$O$3:$R$475,1,FALSE)),"NO","SI")</f>
        <v>SI</v>
      </c>
      <c r="F28" s="2" t="s">
        <v>42</v>
      </c>
      <c r="G28" s="2" t="s">
        <v>42</v>
      </c>
      <c r="H28" s="2" t="s">
        <v>30</v>
      </c>
      <c r="I28" s="7">
        <v>40076844</v>
      </c>
      <c r="J28" s="3" t="s">
        <v>800</v>
      </c>
      <c r="K28" s="3">
        <v>231800000</v>
      </c>
      <c r="L28" s="2" t="s">
        <v>49</v>
      </c>
      <c r="M28" s="15" t="s">
        <v>705</v>
      </c>
      <c r="N28" s="10">
        <v>46083</v>
      </c>
      <c r="O28" s="10">
        <v>46094</v>
      </c>
      <c r="P28" s="37">
        <f>IF(NETWORKDAYS(N28,O28,Feriados!$J$2:$J$22)-1&gt;=0,NETWORKDAYS(N28,O28,Feriados!$J$2:$J$22)-1,"NO APLICA")</f>
        <v>9</v>
      </c>
      <c r="Q28" s="10">
        <v>46225</v>
      </c>
      <c r="R28" s="9">
        <f t="shared" si="0"/>
        <v>46240</v>
      </c>
      <c r="S28" s="43">
        <v>46258</v>
      </c>
      <c r="T28" s="2">
        <v>15</v>
      </c>
      <c r="U28" s="9">
        <f>WORKDAY(Q28,T28,Feriados!$J$2:$J$22)</f>
        <v>46246</v>
      </c>
      <c r="V28" s="2">
        <f t="shared" si="1"/>
        <v>33</v>
      </c>
      <c r="W28" s="38">
        <f>IF(NETWORKDAYS(Q28,S28,Feriados!$J$2:$J$22)-1&gt;=0,NETWORKDAYS(Q28,S28,Feriados!$J$2:$J$22)-1,"NO APLICA")</f>
        <v>23</v>
      </c>
      <c r="X28" s="13">
        <f t="shared" ca="1" si="2"/>
        <v>-50</v>
      </c>
      <c r="Y28" s="2"/>
      <c r="Z28" s="2" t="s">
        <v>172</v>
      </c>
      <c r="AA28" s="57"/>
      <c r="AB28" s="88" t="s">
        <v>31</v>
      </c>
      <c r="AC28" s="2" t="s">
        <v>757</v>
      </c>
    </row>
    <row r="29" spans="1:29" ht="28.5" hidden="1" x14ac:dyDescent="0.2">
      <c r="A29" s="105">
        <v>28</v>
      </c>
      <c r="B29" s="2">
        <v>29</v>
      </c>
      <c r="C29" s="36" t="str">
        <f>IF(ISERROR(VLOOKUP(I29,[1]DEP!$B$3:$E$583,1,FALSE)),"NO","SI")</f>
        <v>NO</v>
      </c>
      <c r="D29" s="2" t="str">
        <f>IF(ISERROR(VLOOKUP(I29,[2]FRG!$S$19:$U$288,1,FALSE)),"NO","SI")</f>
        <v>NO</v>
      </c>
      <c r="E29" s="2" t="str">
        <f>IF(ISERROR(VLOOKUP(I29,[3]DATOS_PREINVERSION!$O$3:$R$475,1,FALSE)),"NO","SI")</f>
        <v>SI</v>
      </c>
      <c r="F29" s="2" t="s">
        <v>568</v>
      </c>
      <c r="G29" s="2" t="s">
        <v>707</v>
      </c>
      <c r="H29" s="2" t="s">
        <v>482</v>
      </c>
      <c r="I29" s="7">
        <v>40075714</v>
      </c>
      <c r="J29" s="3" t="s">
        <v>750</v>
      </c>
      <c r="K29" s="3">
        <v>2406161000</v>
      </c>
      <c r="L29" s="2" t="s">
        <v>49</v>
      </c>
      <c r="M29" s="15" t="s">
        <v>62</v>
      </c>
      <c r="N29" s="10">
        <v>46083</v>
      </c>
      <c r="O29" s="10">
        <v>46101</v>
      </c>
      <c r="P29" s="37">
        <f>IF(NETWORKDAYS(N29,O29,Feriados!$J$2:$J$22)-1&gt;=0,NETWORKDAYS(N29,O29,Feriados!$J$2:$J$22)-1,"NO APLICA")</f>
        <v>14</v>
      </c>
      <c r="Q29" s="10">
        <v>46140</v>
      </c>
      <c r="R29" s="9">
        <f t="shared" si="0"/>
        <v>46155</v>
      </c>
      <c r="S29" s="43">
        <v>46153</v>
      </c>
      <c r="T29" s="2">
        <v>15</v>
      </c>
      <c r="U29" s="9">
        <f>WORKDAY(Q29,T29,Feriados!$J$2:$J$22)</f>
        <v>46162</v>
      </c>
      <c r="V29" s="2">
        <f t="shared" si="1"/>
        <v>13</v>
      </c>
      <c r="W29" s="38">
        <f>IF(NETWORKDAYS(Q29,S29,Feriados!$J$2:$J$22)-1&gt;=0,NETWORKDAYS(Q29,S29,Feriados!$J$2:$J$22)-1,"NO APLICA")</f>
        <v>8</v>
      </c>
      <c r="X29" s="13">
        <f t="shared" ca="1" si="2"/>
        <v>-134</v>
      </c>
      <c r="Y29" s="2" t="s">
        <v>880</v>
      </c>
      <c r="Z29" s="2" t="s">
        <v>172</v>
      </c>
      <c r="AA29" s="57"/>
      <c r="AB29" s="88" t="s">
        <v>31</v>
      </c>
      <c r="AC29" s="2" t="s">
        <v>757</v>
      </c>
    </row>
    <row r="30" spans="1:29" ht="57" hidden="1" x14ac:dyDescent="0.2">
      <c r="A30" s="105">
        <v>29</v>
      </c>
      <c r="B30" s="2">
        <v>29</v>
      </c>
      <c r="C30" s="36" t="str">
        <f>IF(ISERROR(VLOOKUP(I30,[1]DEP!$B$3:$E$583,1,FALSE)),"NO","SI")</f>
        <v>SI</v>
      </c>
      <c r="D30" s="2" t="str">
        <f>IF(ISERROR(VLOOKUP(I30,[2]FRG!$S$19:$U$288,1,FALSE)),"NO","SI")</f>
        <v>NO</v>
      </c>
      <c r="E30" s="2" t="str">
        <f>IF(ISERROR(VLOOKUP(I30,[3]DATOS_PREINVERSION!$O$3:$R$475,1,FALSE)),"NO","SI")</f>
        <v>SI</v>
      </c>
      <c r="F30" s="2" t="s">
        <v>45</v>
      </c>
      <c r="G30" s="2" t="s">
        <v>45</v>
      </c>
      <c r="H30" s="2" t="s">
        <v>862</v>
      </c>
      <c r="I30" s="44">
        <v>40032936</v>
      </c>
      <c r="J30" s="3" t="s">
        <v>651</v>
      </c>
      <c r="K30" s="131">
        <v>611898000</v>
      </c>
      <c r="L30" s="2" t="s">
        <v>49</v>
      </c>
      <c r="M30" s="15" t="s">
        <v>698</v>
      </c>
      <c r="N30" s="10">
        <v>46083</v>
      </c>
      <c r="O30" s="10">
        <v>46105</v>
      </c>
      <c r="P30" s="37">
        <f>IF(NETWORKDAYS(N30,O30,Feriados!$J$2:$J$22)-1&gt;=0,NETWORKDAYS(N30,O30,Feriados!$J$2:$J$22)-1,"NO APLICA")</f>
        <v>16</v>
      </c>
      <c r="Q30" s="10">
        <v>46240</v>
      </c>
      <c r="R30" s="9">
        <f t="shared" si="0"/>
        <v>46255</v>
      </c>
      <c r="S30" s="43">
        <v>46269</v>
      </c>
      <c r="T30" s="2">
        <v>15</v>
      </c>
      <c r="U30" s="9">
        <f>WORKDAY(Q30,T30,Feriados!$J$2:$J$22)</f>
        <v>46261</v>
      </c>
      <c r="V30" s="2">
        <f t="shared" si="1"/>
        <v>29</v>
      </c>
      <c r="W30" s="38">
        <f>IF(NETWORKDAYS(Q30,S30,Feriados!$J$2:$J$22)-1&gt;=0,NETWORKDAYS(Q30,S30,Feriados!$J$2:$J$22)-1,"NO APLICA")</f>
        <v>21</v>
      </c>
      <c r="X30" s="13">
        <f t="shared" ca="1" si="2"/>
        <v>-35</v>
      </c>
      <c r="Y30" s="2"/>
      <c r="Z30" s="2" t="s">
        <v>152</v>
      </c>
      <c r="AA30" s="57"/>
      <c r="AB30" s="88" t="s">
        <v>31</v>
      </c>
      <c r="AC30" s="107" t="s">
        <v>542</v>
      </c>
    </row>
    <row r="31" spans="1:29" ht="28.5" hidden="1" x14ac:dyDescent="0.2">
      <c r="A31" s="105">
        <v>30</v>
      </c>
      <c r="B31" s="2">
        <v>29</v>
      </c>
      <c r="C31" s="36" t="str">
        <f>IF(ISERROR(VLOOKUP(I31,[1]DEP!$B$3:$E$583,1,FALSE)),"NO","SI")</f>
        <v>NO</v>
      </c>
      <c r="D31" s="2" t="str">
        <f>IF(ISERROR(VLOOKUP(I31,[2]FRG!$S$19:$U$288,1,FALSE)),"NO","SI")</f>
        <v>NO</v>
      </c>
      <c r="E31" s="2" t="str">
        <f>IF(ISERROR(VLOOKUP(I31,[3]DATOS_PREINVERSION!$O$3:$R$475,1,FALSE)),"NO","SI")</f>
        <v>SI</v>
      </c>
      <c r="F31" s="2" t="s">
        <v>42</v>
      </c>
      <c r="G31" s="2" t="s">
        <v>68</v>
      </c>
      <c r="H31" s="2" t="s">
        <v>866</v>
      </c>
      <c r="I31" s="7">
        <v>40077191</v>
      </c>
      <c r="J31" s="3" t="s">
        <v>865</v>
      </c>
      <c r="K31" s="133">
        <v>261800000</v>
      </c>
      <c r="L31" s="2" t="s">
        <v>49</v>
      </c>
      <c r="M31" s="15" t="s">
        <v>62</v>
      </c>
      <c r="N31" s="10">
        <v>46090</v>
      </c>
      <c r="O31" s="10">
        <v>46092</v>
      </c>
      <c r="P31" s="37">
        <f>IF(NETWORKDAYS(N31,O31,Feriados!$J$2:$J$22)-1&gt;=0,NETWORKDAYS(N31,O31,Feriados!$J$2:$J$22)-1,"NO APLICA")</f>
        <v>2</v>
      </c>
      <c r="Q31" s="10">
        <v>46141</v>
      </c>
      <c r="R31" s="9">
        <f t="shared" si="0"/>
        <v>46156</v>
      </c>
      <c r="S31" s="43">
        <v>46132</v>
      </c>
      <c r="T31" s="2">
        <v>15</v>
      </c>
      <c r="U31" s="9">
        <f>WORKDAY(Q31,T31,Feriados!$J$2:$J$22)</f>
        <v>46164</v>
      </c>
      <c r="V31" s="2">
        <f t="shared" si="1"/>
        <v>-9</v>
      </c>
      <c r="W31" s="38" t="str">
        <f>IF(NETWORKDAYS(Q31,S31,Feriados!$J$2:$J$22)-1&gt;=0,NETWORKDAYS(Q31,S31,Feriados!$J$2:$J$22)-1,"NO APLICA")</f>
        <v>NO APLICA</v>
      </c>
      <c r="X31" s="13">
        <f t="shared" ca="1" si="2"/>
        <v>-132</v>
      </c>
      <c r="Y31" s="2" t="s">
        <v>895</v>
      </c>
      <c r="Z31" s="2" t="s">
        <v>164</v>
      </c>
      <c r="AA31" s="57"/>
      <c r="AB31" s="88" t="s">
        <v>31</v>
      </c>
      <c r="AC31" s="2" t="s">
        <v>845</v>
      </c>
    </row>
    <row r="32" spans="1:29" ht="28.5" hidden="1" x14ac:dyDescent="0.2">
      <c r="A32" s="105">
        <v>31</v>
      </c>
      <c r="B32" s="2">
        <v>29</v>
      </c>
      <c r="C32" s="36" t="str">
        <f>IF(ISERROR(VLOOKUP(I32,[1]DEP!$B$3:$E$583,1,FALSE)),"NO","SI")</f>
        <v>SI</v>
      </c>
      <c r="D32" s="2" t="str">
        <f>IF(ISERROR(VLOOKUP(I32,[2]FRG!$S$19:$U$288,1,FALSE)),"NO","SI")</f>
        <v>NO</v>
      </c>
      <c r="E32" s="2" t="str">
        <f>IF(ISERROR(VLOOKUP(I32,[3]DATOS_PREINVERSION!$O$3:$R$475,1,FALSE)),"NO","SI")</f>
        <v>SI</v>
      </c>
      <c r="F32" s="2" t="s">
        <v>568</v>
      </c>
      <c r="G32" s="2" t="s">
        <v>52</v>
      </c>
      <c r="H32" s="2" t="s">
        <v>25</v>
      </c>
      <c r="I32" s="7">
        <v>40043234</v>
      </c>
      <c r="J32" s="3" t="s">
        <v>885</v>
      </c>
      <c r="K32" s="3">
        <v>1823354000</v>
      </c>
      <c r="L32" s="2" t="s">
        <v>49</v>
      </c>
      <c r="M32" s="15" t="s">
        <v>62</v>
      </c>
      <c r="N32" s="10">
        <v>46098</v>
      </c>
      <c r="O32" s="10">
        <v>46113</v>
      </c>
      <c r="P32" s="37">
        <f>IF(NETWORKDAYS(N32,O32,Feriados!$J$2:$J$22)-1&gt;=0,NETWORKDAYS(N32,O32,Feriados!$J$2:$J$22)-1,"NO APLICA")</f>
        <v>11</v>
      </c>
      <c r="Q32" s="10">
        <v>46139</v>
      </c>
      <c r="R32" s="9">
        <f t="shared" si="0"/>
        <v>46154</v>
      </c>
      <c r="S32" s="43">
        <v>46168</v>
      </c>
      <c r="T32" s="2">
        <v>15</v>
      </c>
      <c r="U32" s="9">
        <f>WORKDAY(Q32,T32,Feriados!$J$2:$J$22)</f>
        <v>46161</v>
      </c>
      <c r="V32" s="2">
        <f t="shared" si="1"/>
        <v>29</v>
      </c>
      <c r="W32" s="38">
        <f>IF(NETWORKDAYS(Q32,S32,Feriados!$J$2:$J$22)-1&gt;=0,NETWORKDAYS(Q32,S32,Feriados!$J$2:$J$22)-1,"NO APLICA")</f>
        <v>19</v>
      </c>
      <c r="X32" s="13">
        <f t="shared" ca="1" si="2"/>
        <v>-135</v>
      </c>
      <c r="Y32" s="2" t="s">
        <v>896</v>
      </c>
      <c r="Z32" s="2" t="s">
        <v>157</v>
      </c>
      <c r="AA32" s="57"/>
      <c r="AB32" s="88" t="s">
        <v>31</v>
      </c>
      <c r="AC32" s="2" t="s">
        <v>366</v>
      </c>
    </row>
    <row r="33" spans="1:29" ht="28.5" x14ac:dyDescent="0.2">
      <c r="A33" s="105">
        <v>32</v>
      </c>
      <c r="B33" s="2">
        <v>29</v>
      </c>
      <c r="C33" s="36" t="str">
        <f>IF(ISERROR(VLOOKUP(I33,[1]DEP!$B$3:$E$583,1,FALSE)),"NO","SI")</f>
        <v>NO</v>
      </c>
      <c r="D33" s="2" t="str">
        <f>IF(ISERROR(VLOOKUP(I33,[2]FRG!$S$19:$U$288,1,FALSE)),"NO","SI")</f>
        <v>NO</v>
      </c>
      <c r="E33" s="2" t="str">
        <f>IF(ISERROR(VLOOKUP(I33,[3]DATOS_PREINVERSION!$O$3:$R$475,1,FALSE)),"NO","SI")</f>
        <v>SI</v>
      </c>
      <c r="F33" s="2" t="s">
        <v>45</v>
      </c>
      <c r="G33" s="2" t="s">
        <v>46</v>
      </c>
      <c r="H33" s="2" t="s">
        <v>23</v>
      </c>
      <c r="I33" s="7">
        <v>40070081</v>
      </c>
      <c r="J33" s="3" t="s">
        <v>691</v>
      </c>
      <c r="K33" s="131">
        <v>677430000</v>
      </c>
      <c r="L33" s="2" t="s">
        <v>49</v>
      </c>
      <c r="M33" s="15" t="s">
        <v>63</v>
      </c>
      <c r="N33" s="10">
        <v>46099</v>
      </c>
      <c r="O33" s="10">
        <v>46121</v>
      </c>
      <c r="P33" s="37">
        <f>IF(NETWORKDAYS(N33,O33,Feriados!$J$2:$J$22)-1&gt;=0,NETWORKDAYS(N33,O33,Feriados!$J$2:$J$22)-1,"NO APLICA")</f>
        <v>15</v>
      </c>
      <c r="Q33" s="10">
        <v>46254</v>
      </c>
      <c r="R33" s="9">
        <f t="shared" si="0"/>
        <v>46269</v>
      </c>
      <c r="S33" s="43">
        <v>46226</v>
      </c>
      <c r="T33" s="2">
        <v>15</v>
      </c>
      <c r="U33" s="9">
        <f>WORKDAY(Q33,T33,Feriados!$J$2:$J$22)</f>
        <v>46275</v>
      </c>
      <c r="V33" s="2">
        <f t="shared" si="1"/>
        <v>-28</v>
      </c>
      <c r="W33" s="38" t="str">
        <f>IF(NETWORKDAYS(Q33,S33,Feriados!$J$2:$J$22)-1&gt;=0,NETWORKDAYS(Q33,S33,Feriados!$J$2:$J$22)-1,"NO APLICA")</f>
        <v>NO APLICA</v>
      </c>
      <c r="X33" s="13">
        <f t="shared" ca="1" si="2"/>
        <v>-21</v>
      </c>
      <c r="Y33" s="3"/>
      <c r="Z33" s="48" t="s">
        <v>314</v>
      </c>
      <c r="AA33" s="65"/>
      <c r="AB33" s="88" t="s">
        <v>31</v>
      </c>
      <c r="AC33" s="107" t="s">
        <v>694</v>
      </c>
    </row>
    <row r="34" spans="1:29" ht="42.75" x14ac:dyDescent="0.2">
      <c r="A34" s="105">
        <v>33</v>
      </c>
      <c r="B34" s="2">
        <v>31</v>
      </c>
      <c r="C34" s="36" t="str">
        <f>IF(ISERROR(VLOOKUP(I34,[1]DEP!$B$3:$E$583,1,FALSE)),"NO","SI")</f>
        <v>NO</v>
      </c>
      <c r="D34" s="2" t="str">
        <f>IF(ISERROR(VLOOKUP(I34,[2]FRG!$S$19:$U$288,1,FALSE)),"NO","SI")</f>
        <v>NO</v>
      </c>
      <c r="E34" s="2" t="str">
        <f>IF(ISERROR(VLOOKUP(I34,[3]DATOS_PREINVERSION!$O$3:$R$475,1,FALSE)),"NO","SI")</f>
        <v>SI</v>
      </c>
      <c r="F34" s="2" t="s">
        <v>42</v>
      </c>
      <c r="G34" s="2" t="s">
        <v>65</v>
      </c>
      <c r="H34" s="2" t="s">
        <v>29</v>
      </c>
      <c r="I34" s="7">
        <v>40072903</v>
      </c>
      <c r="J34" s="3" t="s">
        <v>931</v>
      </c>
      <c r="K34" s="131">
        <v>403384000</v>
      </c>
      <c r="L34" s="2" t="s">
        <v>49</v>
      </c>
      <c r="M34" s="15" t="s">
        <v>63</v>
      </c>
      <c r="N34" s="10">
        <v>46100</v>
      </c>
      <c r="O34" s="10">
        <v>46126</v>
      </c>
      <c r="P34" s="37">
        <f>IF(NETWORKDAYS(N34,O34,Feriados!$J$2:$J$22)-1&gt;=0,NETWORKDAYS(N34,O34,Feriados!$J$2:$J$22)-1,"NO APLICA")</f>
        <v>17</v>
      </c>
      <c r="Q34" s="10">
        <v>46267</v>
      </c>
      <c r="R34" s="9">
        <f t="shared" si="0"/>
        <v>46282</v>
      </c>
      <c r="S34" s="43">
        <v>46126</v>
      </c>
      <c r="T34" s="2">
        <v>15</v>
      </c>
      <c r="U34" s="9">
        <f>WORKDAY(Q34,T34,Feriados!$J$2:$J$22)</f>
        <v>46289</v>
      </c>
      <c r="V34" s="2">
        <f t="shared" ref="V34:V56" si="3">+S34-Q34</f>
        <v>-141</v>
      </c>
      <c r="W34" s="38" t="str">
        <f>IF(NETWORKDAYS(Q34,S34,Feriados!$J$2:$J$22)-1&gt;=0,NETWORKDAYS(Q34,S34,Feriados!$J$2:$J$22)-1,"NO APLICA")</f>
        <v>NO APLICA</v>
      </c>
      <c r="X34" s="13">
        <f t="shared" ca="1" si="2"/>
        <v>-7</v>
      </c>
      <c r="Y34" s="3"/>
      <c r="Z34" s="48" t="s">
        <v>154</v>
      </c>
      <c r="AA34" s="65"/>
      <c r="AB34" s="88" t="s">
        <v>31</v>
      </c>
      <c r="AC34" s="2" t="s">
        <v>366</v>
      </c>
    </row>
    <row r="35" spans="1:29" ht="28.5" x14ac:dyDescent="0.2">
      <c r="A35" s="105">
        <v>34</v>
      </c>
      <c r="B35" s="2">
        <v>29</v>
      </c>
      <c r="C35" s="36" t="str">
        <f>IF(ISERROR(VLOOKUP(I35,[1]DEP!$B$3:$E$583,1,FALSE)),"NO","SI")</f>
        <v>NO</v>
      </c>
      <c r="D35" s="2" t="str">
        <f>IF(ISERROR(VLOOKUP(I35,[2]FRG!$S$19:$U$288,1,FALSE)),"NO","SI")</f>
        <v>NO</v>
      </c>
      <c r="E35" s="2" t="str">
        <f>IF(ISERROR(VLOOKUP(I35,[3]DATOS_PREINVERSION!$O$3:$R$475,1,FALSE)),"NO","SI")</f>
        <v>SI</v>
      </c>
      <c r="F35" s="2" t="s">
        <v>42</v>
      </c>
      <c r="G35" s="2" t="s">
        <v>65</v>
      </c>
      <c r="H35" s="2" t="s">
        <v>29</v>
      </c>
      <c r="I35" s="7">
        <v>40078495</v>
      </c>
      <c r="J35" s="3" t="s">
        <v>907</v>
      </c>
      <c r="K35" s="131">
        <v>161986000</v>
      </c>
      <c r="L35" s="2" t="s">
        <v>49</v>
      </c>
      <c r="M35" s="15" t="s">
        <v>63</v>
      </c>
      <c r="N35" s="10">
        <v>46100</v>
      </c>
      <c r="O35" s="10">
        <v>46119</v>
      </c>
      <c r="P35" s="37">
        <f>IF(NETWORKDAYS(N35,O35,Feriados!$J$2:$J$22)-1&gt;=0,NETWORKDAYS(N35,O35,Feriados!$J$2:$J$22)-1,"NO APLICA")</f>
        <v>12</v>
      </c>
      <c r="Q35" s="10">
        <v>46281</v>
      </c>
      <c r="R35" s="9">
        <f t="shared" si="0"/>
        <v>46296</v>
      </c>
      <c r="S35" s="43">
        <v>46237</v>
      </c>
      <c r="T35" s="2">
        <v>15</v>
      </c>
      <c r="U35" s="9">
        <f>WORKDAY(Q35,T35,Feriados!$J$2:$J$22)</f>
        <v>46303</v>
      </c>
      <c r="V35" s="2">
        <f t="shared" si="3"/>
        <v>-44</v>
      </c>
      <c r="W35" s="38" t="str">
        <f>IF(NETWORKDAYS(Q35,S35,Feriados!$J$2:$J$22)-1&gt;=0,NETWORKDAYS(Q35,S35,Feriados!$J$2:$J$22)-1,"NO APLICA")</f>
        <v>NO APLICA</v>
      </c>
      <c r="X35" s="13">
        <f ca="1">SUM(U35-TODAY())</f>
        <v>7</v>
      </c>
      <c r="Y35" s="3"/>
      <c r="Z35" s="2" t="s">
        <v>338</v>
      </c>
      <c r="AA35" s="65"/>
      <c r="AB35" s="88" t="s">
        <v>31</v>
      </c>
      <c r="AC35" s="2" t="s">
        <v>366</v>
      </c>
    </row>
    <row r="36" spans="1:29" ht="28.5" hidden="1" x14ac:dyDescent="0.2">
      <c r="A36" s="105">
        <v>35</v>
      </c>
      <c r="B36" s="2">
        <v>22</v>
      </c>
      <c r="C36" s="36" t="str">
        <f>IF(ISERROR(VLOOKUP(I36,[1]DEP!$B$3:$E$583,1,FALSE)),"NO","SI")</f>
        <v>NO</v>
      </c>
      <c r="D36" s="2" t="str">
        <f>IF(ISERROR(VLOOKUP(I36,[2]FRG!$S$19:$U$288,1,FALSE)),"NO","SI")</f>
        <v>NO</v>
      </c>
      <c r="E36" s="2" t="str">
        <f>IF(ISERROR(VLOOKUP(I36,[3]DATOS_PREINVERSION!$O$3:$R$475,1,FALSE)),"NO","SI")</f>
        <v>SI</v>
      </c>
      <c r="F36" s="2" t="s">
        <v>568</v>
      </c>
      <c r="G36" s="2" t="s">
        <v>53</v>
      </c>
      <c r="H36" s="2" t="s">
        <v>399</v>
      </c>
      <c r="I36" s="7">
        <v>40048803</v>
      </c>
      <c r="J36" s="3" t="s">
        <v>768</v>
      </c>
      <c r="K36" s="3">
        <v>400000000</v>
      </c>
      <c r="L36" s="2" t="s">
        <v>49</v>
      </c>
      <c r="M36" s="15" t="s">
        <v>860</v>
      </c>
      <c r="N36" s="10">
        <v>46108</v>
      </c>
      <c r="O36" s="10"/>
      <c r="P36" s="37" t="str">
        <f>IF(NETWORKDAYS(N36,O36,Feriados!$J$2:$J$22)-1&gt;=0,NETWORKDAYS(N36,O36,Feriados!$J$2:$J$22)-1,"NO APLICA")</f>
        <v>NO APLICA</v>
      </c>
      <c r="Q36" s="10">
        <v>46108</v>
      </c>
      <c r="R36" s="9">
        <f t="shared" si="0"/>
        <v>46123</v>
      </c>
      <c r="S36" s="43"/>
      <c r="T36" s="2">
        <v>15</v>
      </c>
      <c r="U36" s="9">
        <f>WORKDAY(Q36,T36,Feriados!$J$2:$J$22)</f>
        <v>46132</v>
      </c>
      <c r="V36" s="2">
        <f t="shared" si="3"/>
        <v>-46108</v>
      </c>
      <c r="W36" s="38" t="str">
        <f>IF(NETWORKDAYS(Q36,S36,Feriados!$J$2:$J$22)-1&gt;=0,NETWORKDAYS(Q36,S36,Feriados!$J$2:$J$22)-1,"NO APLICA")</f>
        <v>NO APLICA</v>
      </c>
      <c r="X36" s="13">
        <f t="shared" ca="1" si="2"/>
        <v>-164</v>
      </c>
      <c r="Y36" s="2"/>
      <c r="Z36" s="2" t="s">
        <v>824</v>
      </c>
      <c r="AA36" s="57"/>
      <c r="AB36" s="88" t="s">
        <v>31</v>
      </c>
      <c r="AC36" s="2" t="s">
        <v>821</v>
      </c>
    </row>
    <row r="37" spans="1:29" ht="28.5" hidden="1" x14ac:dyDescent="0.2">
      <c r="A37" s="105">
        <v>36</v>
      </c>
      <c r="B37" s="2">
        <v>31</v>
      </c>
      <c r="C37" s="36" t="str">
        <f>IF(ISERROR(VLOOKUP(I37,[1]DEP!$B$3:$E$583,1,FALSE)),"NO","SI")</f>
        <v>SI</v>
      </c>
      <c r="D37" s="2" t="str">
        <f>IF(ISERROR(VLOOKUP(I37,[2]FRG!$S$19:$U$288,1,FALSE)),"NO","SI")</f>
        <v>SI</v>
      </c>
      <c r="E37" s="2" t="str">
        <f>IF(ISERROR(VLOOKUP(I37,[3]DATOS_PREINVERSION!$O$3:$R$475,1,FALSE)),"NO","SI")</f>
        <v>NO</v>
      </c>
      <c r="F37" s="2" t="s">
        <v>42</v>
      </c>
      <c r="G37" s="2" t="s">
        <v>58</v>
      </c>
      <c r="H37" s="2" t="s">
        <v>404</v>
      </c>
      <c r="I37" s="7">
        <v>40032117</v>
      </c>
      <c r="J37" s="3" t="s">
        <v>870</v>
      </c>
      <c r="K37" s="3">
        <v>923194000</v>
      </c>
      <c r="L37" s="2" t="s">
        <v>49</v>
      </c>
      <c r="M37" s="17" t="s">
        <v>62</v>
      </c>
      <c r="N37" s="10"/>
      <c r="O37" s="10"/>
      <c r="P37" s="37" t="str">
        <f>IF(NETWORKDAYS(N37,O37,Feriados!$J$2:$J$22)-1&gt;=0,NETWORKDAYS(N37,O37,Feriados!$J$2:$J$22)-1,"NO APLICA")</f>
        <v>NO APLICA</v>
      </c>
      <c r="Q37" s="10">
        <v>46182</v>
      </c>
      <c r="R37" s="9">
        <f t="shared" si="0"/>
        <v>46192</v>
      </c>
      <c r="S37" s="43">
        <v>46184</v>
      </c>
      <c r="T37" s="2">
        <v>10</v>
      </c>
      <c r="U37" s="9">
        <f>WORKDAY(Q37,T37,Feriados!$J$2:$J$22)</f>
        <v>46196</v>
      </c>
      <c r="V37" s="2">
        <f t="shared" si="3"/>
        <v>2</v>
      </c>
      <c r="W37" s="38">
        <f>IF(NETWORKDAYS(Q37,S37,Feriados!$J$2:$J$22)-1&gt;=0,NETWORKDAYS(Q37,S37,Feriados!$J$2:$J$22)-1,"NO APLICA")</f>
        <v>2</v>
      </c>
      <c r="X37" s="13">
        <f t="shared" ca="1" si="2"/>
        <v>-100</v>
      </c>
      <c r="Y37" s="2" t="s">
        <v>659</v>
      </c>
      <c r="Z37" s="48" t="s">
        <v>154</v>
      </c>
      <c r="AA37" s="3"/>
      <c r="AB37" s="88" t="s">
        <v>32</v>
      </c>
      <c r="AC37" s="2" t="s">
        <v>366</v>
      </c>
    </row>
    <row r="38" spans="1:29" ht="28.5" hidden="1" x14ac:dyDescent="0.2">
      <c r="A38" s="105">
        <v>37</v>
      </c>
      <c r="B38" s="2">
        <v>29</v>
      </c>
      <c r="C38" s="36" t="str">
        <f>IF(ISERROR(VLOOKUP(I38,[1]DEP!$B$3:$E$583,1,FALSE)),"NO","SI")</f>
        <v>NO</v>
      </c>
      <c r="D38" s="2" t="str">
        <f>IF(ISERROR(VLOOKUP(I38,[2]FRG!$S$19:$U$288,1,FALSE)),"NO","SI")</f>
        <v>NO</v>
      </c>
      <c r="E38" s="2" t="str">
        <f>IF(ISERROR(VLOOKUP(I38,[3]DATOS_PREINVERSION!$O$3:$R$475,1,FALSE)),"NO","SI")</f>
        <v>NO</v>
      </c>
      <c r="F38" s="2" t="s">
        <v>42</v>
      </c>
      <c r="G38" s="2" t="s">
        <v>42</v>
      </c>
      <c r="H38" s="2" t="s">
        <v>30</v>
      </c>
      <c r="I38" s="7">
        <v>50000472</v>
      </c>
      <c r="J38" s="3" t="s">
        <v>871</v>
      </c>
      <c r="K38" s="131">
        <v>2784569000</v>
      </c>
      <c r="L38" s="2" t="s">
        <v>49</v>
      </c>
      <c r="M38" s="15" t="s">
        <v>74</v>
      </c>
      <c r="N38" s="10">
        <v>46120</v>
      </c>
      <c r="O38" s="10">
        <v>46141</v>
      </c>
      <c r="P38" s="37">
        <f>IF(NETWORKDAYS(N38,O38,Feriados!$J$2:$J$22)-1&gt;=0,NETWORKDAYS(N38,O38,Feriados!$J$2:$J$22)-1,"NO APLICA")</f>
        <v>15</v>
      </c>
      <c r="Q38" s="10">
        <v>46120</v>
      </c>
      <c r="R38" s="9">
        <f t="shared" si="0"/>
        <v>46135</v>
      </c>
      <c r="S38" s="43">
        <v>46141</v>
      </c>
      <c r="T38" s="2">
        <v>15</v>
      </c>
      <c r="U38" s="9">
        <f>WORKDAY(Q38,T38,Feriados!$J$2:$J$22)</f>
        <v>46141</v>
      </c>
      <c r="V38" s="2">
        <f t="shared" si="3"/>
        <v>21</v>
      </c>
      <c r="W38" s="38">
        <f>IF(NETWORKDAYS(Q38,S38,Feriados!$J$2:$J$22)-1&gt;=0,NETWORKDAYS(Q38,S38,Feriados!$J$2:$J$22)-1,"NO APLICA")</f>
        <v>15</v>
      </c>
      <c r="X38" s="13">
        <f t="shared" ca="1" si="2"/>
        <v>-155</v>
      </c>
      <c r="Y38" s="2"/>
      <c r="Z38" s="2" t="s">
        <v>157</v>
      </c>
      <c r="AA38" s="57"/>
      <c r="AB38" s="88" t="s">
        <v>31</v>
      </c>
      <c r="AC38" s="2" t="s">
        <v>366</v>
      </c>
    </row>
    <row r="39" spans="1:29" ht="28.5" hidden="1" x14ac:dyDescent="0.2">
      <c r="A39" s="105">
        <v>38</v>
      </c>
      <c r="B39" s="2">
        <v>29</v>
      </c>
      <c r="C39" s="36" t="str">
        <f>IF(ISERROR(VLOOKUP(I39,[1]DEP!$B$3:$E$583,1,FALSE)),"NO","SI")</f>
        <v>NO</v>
      </c>
      <c r="D39" s="2" t="str">
        <f>IF(ISERROR(VLOOKUP(I39,[2]FRG!$S$19:$U$288,1,FALSE)),"NO","SI")</f>
        <v>NO</v>
      </c>
      <c r="E39" s="2" t="str">
        <f>IF(ISERROR(VLOOKUP(I39,[3]DATOS_PREINVERSION!$O$3:$R$475,1,FALSE)),"NO","SI")</f>
        <v>SI</v>
      </c>
      <c r="F39" s="2" t="s">
        <v>48</v>
      </c>
      <c r="G39" s="2" t="s">
        <v>794</v>
      </c>
      <c r="H39" s="2" t="s">
        <v>795</v>
      </c>
      <c r="I39" s="7">
        <v>40078825</v>
      </c>
      <c r="J39" s="3" t="s">
        <v>872</v>
      </c>
      <c r="K39" s="131">
        <v>758810000</v>
      </c>
      <c r="L39" s="2" t="s">
        <v>49</v>
      </c>
      <c r="M39" s="15" t="s">
        <v>74</v>
      </c>
      <c r="N39" s="10">
        <v>46128</v>
      </c>
      <c r="O39" s="10">
        <v>46153</v>
      </c>
      <c r="P39" s="37">
        <f>IF(NETWORKDAYS(N39,O39,Feriados!$J$2:$J$22)-1&gt;=0,NETWORKDAYS(N39,O39,Feriados!$J$2:$J$22)-1,"NO APLICA")</f>
        <v>16</v>
      </c>
      <c r="Q39" s="10">
        <v>46128</v>
      </c>
      <c r="R39" s="9">
        <f t="shared" si="0"/>
        <v>46143</v>
      </c>
      <c r="S39" s="43">
        <v>46153</v>
      </c>
      <c r="T39" s="2">
        <v>15</v>
      </c>
      <c r="U39" s="9">
        <f>WORKDAY(Q39,T39,Feriados!$J$2:$J$22)</f>
        <v>46150</v>
      </c>
      <c r="V39" s="2">
        <f t="shared" si="3"/>
        <v>25</v>
      </c>
      <c r="W39" s="38">
        <f>IF(NETWORKDAYS(Q39,S39,Feriados!$J$2:$J$22)-1&gt;=0,NETWORKDAYS(Q39,S39,Feriados!$J$2:$J$22)-1,"NO APLICA")</f>
        <v>16</v>
      </c>
      <c r="X39" s="13">
        <f t="shared" ca="1" si="2"/>
        <v>-146</v>
      </c>
      <c r="Y39" s="2"/>
      <c r="Z39" s="2" t="s">
        <v>172</v>
      </c>
      <c r="AA39" s="57"/>
      <c r="AB39" s="88" t="s">
        <v>31</v>
      </c>
      <c r="AC39" s="2" t="s">
        <v>366</v>
      </c>
    </row>
    <row r="40" spans="1:29" ht="28.5" hidden="1" x14ac:dyDescent="0.2">
      <c r="A40" s="105">
        <v>39</v>
      </c>
      <c r="B40" s="2">
        <v>31</v>
      </c>
      <c r="C40" s="36" t="str">
        <f>IF(ISERROR(VLOOKUP(I40,[1]DEP!$B$3:$E$583,1,FALSE)),"NO","SI")</f>
        <v>NO</v>
      </c>
      <c r="D40" s="2" t="str">
        <f>IF(ISERROR(VLOOKUP(I40,[2]FRG!$S$19:$U$288,1,FALSE)),"NO","SI")</f>
        <v>NO</v>
      </c>
      <c r="E40" s="2" t="str">
        <f>IF(ISERROR(VLOOKUP(I40,[3]DATOS_PREINVERSION!$O$3:$R$475,1,FALSE)),"NO","SI")</f>
        <v>SI</v>
      </c>
      <c r="F40" s="2" t="s">
        <v>42</v>
      </c>
      <c r="G40" s="2" t="s">
        <v>43</v>
      </c>
      <c r="H40" s="2" t="s">
        <v>26</v>
      </c>
      <c r="I40" s="7">
        <v>40055184</v>
      </c>
      <c r="J40" s="3" t="s">
        <v>639</v>
      </c>
      <c r="K40" s="131">
        <v>526496242</v>
      </c>
      <c r="L40" s="2" t="s">
        <v>49</v>
      </c>
      <c r="M40" s="15" t="s">
        <v>74</v>
      </c>
      <c r="N40" s="10">
        <v>46127</v>
      </c>
      <c r="O40" s="10">
        <v>46148</v>
      </c>
      <c r="P40" s="37">
        <f>IF(NETWORKDAYS(N40,O40,Feriados!$J$2:$J$22)-1&gt;=0,NETWORKDAYS(N40,O40,Feriados!$J$2:$J$22)-1,"NO APLICA")</f>
        <v>14</v>
      </c>
      <c r="Q40" s="10">
        <v>46127</v>
      </c>
      <c r="R40" s="9">
        <f t="shared" si="0"/>
        <v>46142</v>
      </c>
      <c r="S40" s="43">
        <v>46148</v>
      </c>
      <c r="T40" s="2">
        <v>15</v>
      </c>
      <c r="U40" s="9">
        <f>WORKDAY(Q40,T40,Feriados!$J$2:$J$22)</f>
        <v>46149</v>
      </c>
      <c r="V40" s="2">
        <f t="shared" si="3"/>
        <v>21</v>
      </c>
      <c r="W40" s="38">
        <f>IF(NETWORKDAYS(Q40,S40,Feriados!$J$2:$J$22)-1&gt;=0,NETWORKDAYS(Q40,S40,Feriados!$J$2:$J$22)-1,"NO APLICA")</f>
        <v>14</v>
      </c>
      <c r="X40" s="13">
        <f t="shared" ca="1" si="2"/>
        <v>-147</v>
      </c>
      <c r="Y40" s="2"/>
      <c r="Z40" s="2" t="s">
        <v>161</v>
      </c>
      <c r="AA40" s="57"/>
      <c r="AB40" s="88" t="s">
        <v>31</v>
      </c>
      <c r="AC40" s="2" t="s">
        <v>821</v>
      </c>
    </row>
    <row r="41" spans="1:29" ht="71.25" hidden="1" x14ac:dyDescent="0.2">
      <c r="A41" s="105">
        <v>40</v>
      </c>
      <c r="B41" s="2">
        <v>29</v>
      </c>
      <c r="C41" s="36" t="str">
        <f>IF(ISERROR(VLOOKUP(I41,[1]DEP!$B$3:$E$583,1,FALSE)),"NO","SI")</f>
        <v>SI</v>
      </c>
      <c r="D41" s="2" t="str">
        <f>IF(ISERROR(VLOOKUP(I41,[2]FRG!$S$19:$U$288,1,FALSE)),"NO","SI")</f>
        <v>SI</v>
      </c>
      <c r="E41" s="2" t="str">
        <f>IF(ISERROR(VLOOKUP(I41,[3]DATOS_PREINVERSION!$O$3:$R$475,1,FALSE)),"NO","SI")</f>
        <v>SI</v>
      </c>
      <c r="F41" s="2" t="s">
        <v>45</v>
      </c>
      <c r="G41" s="2" t="s">
        <v>51</v>
      </c>
      <c r="H41" s="2" t="s">
        <v>250</v>
      </c>
      <c r="I41" s="7">
        <v>40042999</v>
      </c>
      <c r="J41" s="3" t="s">
        <v>873</v>
      </c>
      <c r="K41" s="3">
        <v>570505000</v>
      </c>
      <c r="L41" s="2" t="s">
        <v>49</v>
      </c>
      <c r="M41" s="17" t="s">
        <v>74</v>
      </c>
      <c r="N41" s="10"/>
      <c r="O41" s="10"/>
      <c r="P41" s="37" t="str">
        <f>IF(NETWORKDAYS(N41,O41,Feriados!$J$2:$J$22)-1&gt;=0,NETWORKDAYS(N41,O41,Feriados!$J$2:$J$22)-1,"NO APLICA")</f>
        <v>NO APLICA</v>
      </c>
      <c r="Q41" s="10">
        <v>46184</v>
      </c>
      <c r="R41" s="9">
        <f t="shared" si="0"/>
        <v>46194</v>
      </c>
      <c r="S41" s="43">
        <v>46210</v>
      </c>
      <c r="T41" s="2">
        <v>10</v>
      </c>
      <c r="U41" s="9">
        <f>WORKDAY(Q41,T41,Feriados!$J$2:$J$22)</f>
        <v>46198</v>
      </c>
      <c r="V41" s="2">
        <f t="shared" si="3"/>
        <v>26</v>
      </c>
      <c r="W41" s="38">
        <f>IF(NETWORKDAYS(Q41,S41,Feriados!$J$2:$J$22)-1&gt;=0,NETWORKDAYS(Q41,S41,Feriados!$J$2:$J$22)-1,"NO APLICA")</f>
        <v>17</v>
      </c>
      <c r="X41" s="13">
        <f t="shared" ca="1" si="2"/>
        <v>-98</v>
      </c>
      <c r="Y41" s="2" t="s">
        <v>500</v>
      </c>
      <c r="Z41" s="48" t="s">
        <v>156</v>
      </c>
      <c r="AA41" s="3">
        <v>1182</v>
      </c>
      <c r="AB41" s="88" t="s">
        <v>32</v>
      </c>
      <c r="AC41" s="2" t="s">
        <v>501</v>
      </c>
    </row>
    <row r="42" spans="1:29" s="60" customFormat="1" ht="28.5" hidden="1" x14ac:dyDescent="0.2">
      <c r="A42" s="105">
        <v>41</v>
      </c>
      <c r="B42" s="3">
        <v>29</v>
      </c>
      <c r="C42" s="36" t="str">
        <f>IF(ISERROR(VLOOKUP(I42,[1]DEP!$B$3:$E$583,1,FALSE)),"NO","SI")</f>
        <v>SI</v>
      </c>
      <c r="D42" s="2" t="str">
        <f>IF(ISERROR(VLOOKUP(I42,[2]FRG!$S$19:$U$288,1,FALSE)),"NO","SI")</f>
        <v>NO</v>
      </c>
      <c r="E42" s="2" t="str">
        <f>IF(ISERROR(VLOOKUP(I42,[3]DATOS_PREINVERSION!$O$3:$R$475,1,FALSE)),"NO","SI")</f>
        <v>NO</v>
      </c>
      <c r="F42" s="2" t="s">
        <v>568</v>
      </c>
      <c r="G42" s="2" t="s">
        <v>56</v>
      </c>
      <c r="H42" s="2" t="s">
        <v>13</v>
      </c>
      <c r="I42" s="7">
        <v>40043567</v>
      </c>
      <c r="J42" s="3" t="s">
        <v>729</v>
      </c>
      <c r="K42" s="3">
        <v>865933000</v>
      </c>
      <c r="L42" s="2" t="s">
        <v>49</v>
      </c>
      <c r="M42" s="15" t="s">
        <v>705</v>
      </c>
      <c r="N42" s="10">
        <v>46133</v>
      </c>
      <c r="O42" s="10">
        <v>46161</v>
      </c>
      <c r="P42" s="37">
        <f>IF(NETWORKDAYS(N42,O42,Feriados!$J$2:$J$22)-1&gt;=0,NETWORKDAYS(N42,O42,Feriados!$J$2:$J$22)-1,"NO APLICA")</f>
        <v>19</v>
      </c>
      <c r="Q42" s="10">
        <v>46178</v>
      </c>
      <c r="R42" s="9">
        <f t="shared" si="0"/>
        <v>46193</v>
      </c>
      <c r="S42" s="43">
        <v>46191</v>
      </c>
      <c r="T42" s="2">
        <v>15</v>
      </c>
      <c r="U42" s="9">
        <f>WORKDAY(Q42,T42,Feriados!$J$2:$J$22)</f>
        <v>46199</v>
      </c>
      <c r="V42" s="2">
        <f t="shared" si="3"/>
        <v>13</v>
      </c>
      <c r="W42" s="38">
        <f>IF(NETWORKDAYS(Q42,S42,Feriados!$J$2:$J$22)-1&gt;=0,NETWORKDAYS(Q42,S42,Feriados!$J$2:$J$22)-1,"NO APLICA")</f>
        <v>9</v>
      </c>
      <c r="X42" s="13">
        <f t="shared" ca="1" si="2"/>
        <v>-97</v>
      </c>
      <c r="Y42" s="3"/>
      <c r="Z42" s="2" t="s">
        <v>157</v>
      </c>
      <c r="AA42" s="85"/>
      <c r="AB42" s="88" t="s">
        <v>31</v>
      </c>
      <c r="AC42" s="3" t="s">
        <v>366</v>
      </c>
    </row>
    <row r="43" spans="1:29" ht="28.5" hidden="1" x14ac:dyDescent="0.2">
      <c r="A43" s="105">
        <v>42</v>
      </c>
      <c r="B43" s="2">
        <v>29</v>
      </c>
      <c r="C43" s="36" t="str">
        <f>IF(ISERROR(VLOOKUP(I43,[1]DEP!$B$3:$E$583,1,FALSE)),"NO","SI")</f>
        <v>NO</v>
      </c>
      <c r="D43" s="2" t="str">
        <f>IF(ISERROR(VLOOKUP(I43,[2]FRG!$S$19:$U$288,1,FALSE)),"NO","SI")</f>
        <v>NO</v>
      </c>
      <c r="E43" s="2" t="str">
        <f>IF(ISERROR(VLOOKUP(I43,[3]DATOS_PREINVERSION!$O$3:$R$475,1,FALSE)),"NO","SI")</f>
        <v>SI</v>
      </c>
      <c r="F43" s="2" t="s">
        <v>568</v>
      </c>
      <c r="G43" s="2" t="s">
        <v>877</v>
      </c>
      <c r="H43" s="2" t="s">
        <v>18</v>
      </c>
      <c r="I43" s="7">
        <v>40078806</v>
      </c>
      <c r="J43" s="3" t="s">
        <v>876</v>
      </c>
      <c r="K43" s="3">
        <v>232735000</v>
      </c>
      <c r="L43" s="2" t="s">
        <v>49</v>
      </c>
      <c r="M43" s="15" t="s">
        <v>705</v>
      </c>
      <c r="N43" s="10">
        <v>46142</v>
      </c>
      <c r="O43" s="10">
        <v>46169</v>
      </c>
      <c r="P43" s="37">
        <f>IF(NETWORKDAYS(N43,O43,Feriados!$J$2:$J$22)-1&gt;=0,NETWORKDAYS(N43,O43,Feriados!$J$2:$J$22)-1,"NO APLICA")</f>
        <v>17</v>
      </c>
      <c r="Q43" s="10">
        <v>46238</v>
      </c>
      <c r="R43" s="9">
        <f t="shared" si="0"/>
        <v>46253</v>
      </c>
      <c r="S43" s="43">
        <v>46266</v>
      </c>
      <c r="T43" s="2">
        <v>15</v>
      </c>
      <c r="U43" s="9">
        <f>WORKDAY(Q43,T43,Feriados!$J$2:$J$22)</f>
        <v>46259</v>
      </c>
      <c r="V43" s="2">
        <f t="shared" si="3"/>
        <v>28</v>
      </c>
      <c r="W43" s="38">
        <f>IF(NETWORKDAYS(Q43,S43,Feriados!$J$2:$J$22)-1&gt;=0,NETWORKDAYS(Q43,S43,Feriados!$J$2:$J$22)-1,"NO APLICA")</f>
        <v>20</v>
      </c>
      <c r="X43" s="13">
        <f t="shared" ca="1" si="2"/>
        <v>-37</v>
      </c>
      <c r="Y43" s="2"/>
      <c r="Z43" s="2" t="s">
        <v>338</v>
      </c>
      <c r="AA43" s="3"/>
      <c r="AB43" s="88" t="s">
        <v>31</v>
      </c>
      <c r="AC43" s="2" t="s">
        <v>820</v>
      </c>
    </row>
    <row r="44" spans="1:29" s="60" customFormat="1" ht="28.5" hidden="1" x14ac:dyDescent="0.2">
      <c r="A44" s="105">
        <v>43</v>
      </c>
      <c r="B44" s="3">
        <v>29</v>
      </c>
      <c r="C44" s="36" t="str">
        <f>IF(ISERROR(VLOOKUP(I44,[1]DEP!$B$3:$E$583,1,FALSE)),"NO","SI")</f>
        <v>NO</v>
      </c>
      <c r="D44" s="2" t="str">
        <f>IF(ISERROR(VLOOKUP(I44,[2]FRG!$S$19:$U$288,1,FALSE)),"NO","SI")</f>
        <v>NO</v>
      </c>
      <c r="E44" s="2" t="str">
        <f>IF(ISERROR(VLOOKUP(I44,[3]DATOS_PREINVERSION!$O$3:$R$475,1,FALSE)),"NO","SI")</f>
        <v>NO</v>
      </c>
      <c r="F44" s="2" t="s">
        <v>179</v>
      </c>
      <c r="G44" s="2" t="s">
        <v>179</v>
      </c>
      <c r="H44" s="2" t="s">
        <v>879</v>
      </c>
      <c r="I44" s="7">
        <v>40077156</v>
      </c>
      <c r="J44" s="3" t="s">
        <v>878</v>
      </c>
      <c r="K44" s="131">
        <v>285564000</v>
      </c>
      <c r="L44" s="2" t="s">
        <v>49</v>
      </c>
      <c r="M44" s="15" t="s">
        <v>698</v>
      </c>
      <c r="N44" s="10">
        <v>46156</v>
      </c>
      <c r="O44" s="10">
        <v>46177</v>
      </c>
      <c r="P44" s="37">
        <f>IF(NETWORKDAYS(N44,O44,Feriados!$J$2:$J$22)-1&gt;=0,NETWORKDAYS(N44,O44,Feriados!$J$2:$J$22)-1,"NO APLICA")</f>
        <v>14</v>
      </c>
      <c r="Q44" s="10">
        <v>46239</v>
      </c>
      <c r="R44" s="9">
        <f t="shared" si="0"/>
        <v>46254</v>
      </c>
      <c r="S44" s="43">
        <v>46266</v>
      </c>
      <c r="T44" s="2">
        <v>15</v>
      </c>
      <c r="U44" s="9">
        <f>WORKDAY(Q44,T44,Feriados!$J$2:$J$22)</f>
        <v>46260</v>
      </c>
      <c r="V44" s="2">
        <f t="shared" si="3"/>
        <v>27</v>
      </c>
      <c r="W44" s="38">
        <f>IF(NETWORKDAYS(Q44,S44,Feriados!$J$2:$J$22)-1&gt;=0,NETWORKDAYS(Q44,S44,Feriados!$J$2:$J$22)-1,"NO APLICA")</f>
        <v>19</v>
      </c>
      <c r="X44" s="13">
        <f t="shared" ca="1" si="2"/>
        <v>-36</v>
      </c>
      <c r="Y44" s="3"/>
      <c r="Z44" s="2" t="s">
        <v>338</v>
      </c>
      <c r="AA44" s="85"/>
      <c r="AB44" s="88" t="s">
        <v>31</v>
      </c>
      <c r="AC44" s="2" t="s">
        <v>845</v>
      </c>
    </row>
    <row r="45" spans="1:29" s="60" customFormat="1" ht="28.5" hidden="1" x14ac:dyDescent="0.2">
      <c r="A45" s="105">
        <v>44</v>
      </c>
      <c r="B45" s="3">
        <v>31</v>
      </c>
      <c r="C45" s="36" t="str">
        <f>IF(ISERROR(VLOOKUP(I45,[1]DEP!$B$3:$E$583,1,FALSE)),"NO","SI")</f>
        <v>NO</v>
      </c>
      <c r="D45" s="2" t="str">
        <f>IF(ISERROR(VLOOKUP(I45,[2]FRG!$S$19:$U$288,1,FALSE)),"NO","SI")</f>
        <v>SI</v>
      </c>
      <c r="E45" s="2" t="str">
        <f>IF(ISERROR(VLOOKUP(I45,[3]DATOS_PREINVERSION!$O$3:$R$475,1,FALSE)),"NO","SI")</f>
        <v>NO</v>
      </c>
      <c r="F45" s="3" t="s">
        <v>45</v>
      </c>
      <c r="G45" s="3" t="s">
        <v>55</v>
      </c>
      <c r="H45" s="3" t="s">
        <v>4</v>
      </c>
      <c r="I45" s="18">
        <v>40049581</v>
      </c>
      <c r="J45" s="3" t="s">
        <v>884</v>
      </c>
      <c r="K45" s="3">
        <v>984384000</v>
      </c>
      <c r="L45" s="2" t="s">
        <v>49</v>
      </c>
      <c r="M45" s="17" t="s">
        <v>74</v>
      </c>
      <c r="N45" s="10"/>
      <c r="O45" s="10"/>
      <c r="P45" s="37" t="str">
        <f>IF(NETWORKDAYS(N45,O45,Feriados!$J$2:$J$22)-1&gt;=0,NETWORKDAYS(N45,O45,Feriados!$J$2:$J$22)-1,"NO APLICA")</f>
        <v>NO APLICA</v>
      </c>
      <c r="Q45" s="10">
        <v>46181</v>
      </c>
      <c r="R45" s="9">
        <f t="shared" si="0"/>
        <v>46191</v>
      </c>
      <c r="S45" s="43">
        <v>46188</v>
      </c>
      <c r="T45" s="2">
        <v>10</v>
      </c>
      <c r="U45" s="9">
        <f>WORKDAY(Q45,T45,Feriados!$J$2:$J$22)</f>
        <v>46195</v>
      </c>
      <c r="V45" s="2">
        <f t="shared" si="3"/>
        <v>7</v>
      </c>
      <c r="W45" s="38">
        <f>IF(NETWORKDAYS(Q45,S45,Feriados!$J$2:$J$22)-1&gt;=0,NETWORKDAYS(Q45,S45,Feriados!$J$2:$J$22)-1,"NO APLICA")</f>
        <v>5</v>
      </c>
      <c r="X45" s="13">
        <f t="shared" ca="1" si="2"/>
        <v>-101</v>
      </c>
      <c r="Y45" s="3" t="s">
        <v>487</v>
      </c>
      <c r="Z45" s="2" t="s">
        <v>154</v>
      </c>
      <c r="AA45" s="85"/>
      <c r="AB45" s="88" t="s">
        <v>32</v>
      </c>
      <c r="AC45" s="3" t="s">
        <v>366</v>
      </c>
    </row>
    <row r="46" spans="1:29" s="60" customFormat="1" ht="29.45" hidden="1" customHeight="1" x14ac:dyDescent="0.2">
      <c r="A46" s="105">
        <v>45</v>
      </c>
      <c r="B46" s="3">
        <v>31</v>
      </c>
      <c r="C46" s="36" t="str">
        <f>IF(ISERROR(VLOOKUP(I46,[1]DEP!$B$3:$E$583,1,FALSE)),"NO","SI")</f>
        <v>NO</v>
      </c>
      <c r="D46" s="2" t="str">
        <f>IF(ISERROR(VLOOKUP(I46,[2]FRG!$S$19:$U$288,1,FALSE)),"NO","SI")</f>
        <v>NO</v>
      </c>
      <c r="E46" s="2" t="str">
        <f>IF(ISERROR(VLOOKUP(I46,[3]DATOS_PREINVERSION!$O$3:$R$475,1,FALSE)),"NO","SI")</f>
        <v>SI</v>
      </c>
      <c r="F46" s="2" t="s">
        <v>45</v>
      </c>
      <c r="G46" s="2" t="s">
        <v>60</v>
      </c>
      <c r="H46" s="2" t="s">
        <v>7</v>
      </c>
      <c r="I46" s="7">
        <v>40073518</v>
      </c>
      <c r="J46" s="3" t="s">
        <v>890</v>
      </c>
      <c r="K46" s="131">
        <v>614990000</v>
      </c>
      <c r="L46" s="2" t="s">
        <v>49</v>
      </c>
      <c r="M46" s="15" t="s">
        <v>705</v>
      </c>
      <c r="N46" s="10">
        <v>46153</v>
      </c>
      <c r="O46" s="10">
        <v>46175</v>
      </c>
      <c r="P46" s="37">
        <f>IF(NETWORKDAYS(N46,O46,Feriados!$J$2:$J$22)-1&gt;=0,NETWORKDAYS(N46,O46,Feriados!$J$2:$J$22)-1,"NO APLICA")</f>
        <v>15</v>
      </c>
      <c r="Q46" s="10">
        <v>46209</v>
      </c>
      <c r="R46" s="9">
        <f t="shared" si="0"/>
        <v>46224</v>
      </c>
      <c r="S46" s="43">
        <v>46238</v>
      </c>
      <c r="T46" s="2">
        <v>15</v>
      </c>
      <c r="U46" s="9">
        <f>WORKDAY(Q46,T46,Feriados!$J$2:$J$22)</f>
        <v>46231</v>
      </c>
      <c r="V46" s="2">
        <f t="shared" si="3"/>
        <v>29</v>
      </c>
      <c r="W46" s="38">
        <f>IF(NETWORKDAYS(Q46,S46,Feriados!$J$2:$J$22)-1&gt;=0,NETWORKDAYS(Q46,S46,Feriados!$J$2:$J$22)-1,"NO APLICA")</f>
        <v>20</v>
      </c>
      <c r="X46" s="13">
        <f t="shared" ca="1" si="2"/>
        <v>-65</v>
      </c>
      <c r="Y46" s="2"/>
      <c r="Z46" s="2"/>
      <c r="AA46" s="85"/>
      <c r="AB46" s="88" t="s">
        <v>31</v>
      </c>
      <c r="AC46" s="3" t="s">
        <v>821</v>
      </c>
    </row>
    <row r="47" spans="1:29" s="60" customFormat="1" ht="42.75" hidden="1" x14ac:dyDescent="0.2">
      <c r="A47" s="105">
        <v>46</v>
      </c>
      <c r="B47" s="3">
        <v>29</v>
      </c>
      <c r="C47" s="36" t="str">
        <f>IF(ISERROR(VLOOKUP(I47,[1]DEP!$B$3:$E$583,1,FALSE)),"NO","SI")</f>
        <v>NO</v>
      </c>
      <c r="D47" s="2" t="str">
        <f>IF(ISERROR(VLOOKUP(I47,[2]FRG!$S$19:$U$288,1,FALSE)),"NO","SI")</f>
        <v>NO</v>
      </c>
      <c r="E47" s="2" t="str">
        <f>IF(ISERROR(VLOOKUP(I47,[3]DATOS_PREINVERSION!$O$3:$R$475,1,FALSE)),"NO","SI")</f>
        <v>NO</v>
      </c>
      <c r="F47" s="2" t="s">
        <v>48</v>
      </c>
      <c r="G47" s="2" t="s">
        <v>882</v>
      </c>
      <c r="H47" s="2" t="s">
        <v>883</v>
      </c>
      <c r="I47" s="44">
        <v>40075066</v>
      </c>
      <c r="J47" s="3" t="s">
        <v>881</v>
      </c>
      <c r="K47" s="131">
        <v>142568000</v>
      </c>
      <c r="L47" s="2" t="s">
        <v>49</v>
      </c>
      <c r="M47" s="15" t="s">
        <v>698</v>
      </c>
      <c r="N47" s="10">
        <v>46160</v>
      </c>
      <c r="O47" s="10">
        <v>46182</v>
      </c>
      <c r="P47" s="37">
        <f>IF(NETWORKDAYS(N47,O47,Feriados!$J$2:$J$22)-1&gt;=0,NETWORKDAYS(N47,O47,Feriados!$J$2:$J$22)-1,"NO APLICA")</f>
        <v>15</v>
      </c>
      <c r="Q47" s="10">
        <v>46160</v>
      </c>
      <c r="R47" s="9">
        <f t="shared" si="0"/>
        <v>46175</v>
      </c>
      <c r="S47" s="43">
        <v>46182</v>
      </c>
      <c r="T47" s="2">
        <v>15</v>
      </c>
      <c r="U47" s="9">
        <f>WORKDAY(Q47,T47,Feriados!$J$2:$J$22)</f>
        <v>46182</v>
      </c>
      <c r="V47" s="2">
        <f t="shared" si="3"/>
        <v>22</v>
      </c>
      <c r="W47" s="38">
        <f>IF(NETWORKDAYS(Q47,S47,Feriados!$J$2:$J$22)-1&gt;=0,NETWORKDAYS(Q47,S47,Feriados!$J$2:$J$22)-1,"NO APLICA")</f>
        <v>15</v>
      </c>
      <c r="X47" s="13">
        <f t="shared" ca="1" si="2"/>
        <v>-114</v>
      </c>
      <c r="Y47" s="2"/>
      <c r="Z47" s="2"/>
      <c r="AA47" s="85"/>
      <c r="AB47" s="88" t="s">
        <v>31</v>
      </c>
      <c r="AC47" s="3" t="s">
        <v>367</v>
      </c>
    </row>
    <row r="48" spans="1:29" s="60" customFormat="1" ht="28.5" x14ac:dyDescent="0.2">
      <c r="A48" s="105">
        <v>47</v>
      </c>
      <c r="B48" s="3">
        <v>29</v>
      </c>
      <c r="C48" s="36" t="str">
        <f>IF(ISERROR(VLOOKUP(I48,[1]DEP!$B$3:$E$583,1,FALSE)),"NO","SI")</f>
        <v>NO</v>
      </c>
      <c r="D48" s="2" t="str">
        <f>IF(ISERROR(VLOOKUP(I48,[2]FRG!$S$19:$U$288,1,FALSE)),"NO","SI")</f>
        <v>NO</v>
      </c>
      <c r="E48" s="2" t="str">
        <f>IF(ISERROR(VLOOKUP(I48,[3]DATOS_PREINVERSION!$O$3:$R$475,1,FALSE)),"NO","SI")</f>
        <v>NO</v>
      </c>
      <c r="F48" s="2" t="s">
        <v>175</v>
      </c>
      <c r="G48" s="2" t="s">
        <v>175</v>
      </c>
      <c r="H48" s="2" t="s">
        <v>269</v>
      </c>
      <c r="I48" s="7">
        <v>40080250</v>
      </c>
      <c r="J48" s="3" t="s">
        <v>945</v>
      </c>
      <c r="K48" s="131">
        <v>200000000</v>
      </c>
      <c r="L48" s="2" t="s">
        <v>49</v>
      </c>
      <c r="M48" s="15" t="s">
        <v>63</v>
      </c>
      <c r="N48" s="10">
        <v>46162</v>
      </c>
      <c r="O48" s="10">
        <v>46184</v>
      </c>
      <c r="P48" s="37">
        <f>IF(NETWORKDAYS(N48,O48,Feriados!$J$2:$J$22)-1&gt;=0,NETWORKDAYS(N48,O48,Feriados!$J$2:$J$22)-1,"NO APLICA")</f>
        <v>15</v>
      </c>
      <c r="Q48" s="10">
        <v>46288</v>
      </c>
      <c r="R48" s="9">
        <f t="shared" si="0"/>
        <v>46303</v>
      </c>
      <c r="S48" s="43">
        <v>46184</v>
      </c>
      <c r="T48" s="2">
        <v>15</v>
      </c>
      <c r="U48" s="9">
        <f>WORKDAY(Q48,T48,Feriados!$J$2:$J$22)</f>
        <v>46310</v>
      </c>
      <c r="V48" s="2">
        <f t="shared" si="3"/>
        <v>-104</v>
      </c>
      <c r="W48" s="38" t="str">
        <f>IF(NETWORKDAYS(Q48,S48,Feriados!$J$2:$J$22)-1&gt;=0,NETWORKDAYS(Q48,S48,Feriados!$J$2:$J$22)-1,"NO APLICA")</f>
        <v>NO APLICA</v>
      </c>
      <c r="X48" s="13">
        <f t="shared" ca="1" si="2"/>
        <v>14</v>
      </c>
      <c r="Y48" s="2"/>
      <c r="Z48" s="2"/>
      <c r="AA48" s="85"/>
      <c r="AB48" s="88" t="s">
        <v>31</v>
      </c>
      <c r="AC48" s="3"/>
    </row>
    <row r="49" spans="1:29" s="60" customFormat="1" ht="29.45" hidden="1" customHeight="1" x14ac:dyDescent="0.2">
      <c r="A49" s="105">
        <v>48</v>
      </c>
      <c r="B49" s="3">
        <v>29</v>
      </c>
      <c r="C49" s="36" t="str">
        <f>IF(ISERROR(VLOOKUP(I49,[1]DEP!$B$3:$E$583,1,FALSE)),"NO","SI")</f>
        <v>NO</v>
      </c>
      <c r="D49" s="2" t="str">
        <f>IF(ISERROR(VLOOKUP(I49,[2]FRG!$S$19:$U$288,1,FALSE)),"NO","SI")</f>
        <v>NO</v>
      </c>
      <c r="E49" s="2" t="str">
        <f>IF(ISERROR(VLOOKUP(I49,[3]DATOS_PREINVERSION!$O$3:$R$475,1,FALSE)),"NO","SI")</f>
        <v>SI</v>
      </c>
      <c r="F49" s="2" t="s">
        <v>42</v>
      </c>
      <c r="G49" s="2" t="s">
        <v>68</v>
      </c>
      <c r="H49" s="2" t="s">
        <v>866</v>
      </c>
      <c r="I49" s="7">
        <v>40074688</v>
      </c>
      <c r="J49" s="3" t="s">
        <v>733</v>
      </c>
      <c r="K49" s="131">
        <v>111745000</v>
      </c>
      <c r="L49" s="2" t="s">
        <v>49</v>
      </c>
      <c r="M49" s="15" t="s">
        <v>698</v>
      </c>
      <c r="N49" s="10">
        <v>46106</v>
      </c>
      <c r="O49" s="10">
        <v>46174</v>
      </c>
      <c r="P49" s="37">
        <f>IF(NETWORKDAYS(N49,O49,Feriados!$J$2:$J$22)-1&gt;=0,NETWORKDAYS(N49,O49,Feriados!$J$2:$J$22)-1,"NO APLICA")</f>
        <v>45</v>
      </c>
      <c r="Q49" s="10">
        <v>46217</v>
      </c>
      <c r="R49" s="9">
        <f t="shared" si="0"/>
        <v>46232</v>
      </c>
      <c r="S49" s="43">
        <v>46255</v>
      </c>
      <c r="T49" s="2">
        <v>15</v>
      </c>
      <c r="U49" s="9">
        <f>WORKDAY(Q49,T49,Feriados!$J$2:$J$22)</f>
        <v>46239</v>
      </c>
      <c r="V49" s="2">
        <f t="shared" si="3"/>
        <v>38</v>
      </c>
      <c r="W49" s="38">
        <f>IF(NETWORKDAYS(Q49,S49,Feriados!$J$2:$J$22)-1&gt;=0,NETWORKDAYS(Q49,S49,Feriados!$J$2:$J$22)-1,"NO APLICA")</f>
        <v>27</v>
      </c>
      <c r="X49" s="13">
        <f t="shared" ca="1" si="2"/>
        <v>-57</v>
      </c>
      <c r="Y49" s="2"/>
      <c r="Z49" s="2"/>
      <c r="AA49" s="85"/>
      <c r="AB49" s="88" t="s">
        <v>31</v>
      </c>
      <c r="AC49" s="3"/>
    </row>
    <row r="50" spans="1:29" ht="28.5" hidden="1" x14ac:dyDescent="0.2">
      <c r="A50" s="105">
        <v>49</v>
      </c>
      <c r="B50" s="2">
        <v>29</v>
      </c>
      <c r="C50" s="36" t="str">
        <f>IF(ISERROR(VLOOKUP(I50,[1]DEP!$B$3:$E$583,1,FALSE)),"NO","SI")</f>
        <v>NO</v>
      </c>
      <c r="D50" s="2" t="str">
        <f>IF(ISERROR(VLOOKUP(I50,[2]FRG!$S$19:$U$288,1,FALSE)),"NO","SI")</f>
        <v>SI</v>
      </c>
      <c r="E50" s="2" t="str">
        <f>IF(ISERROR(VLOOKUP(I50,[3]DATOS_PREINVERSION!$O$3:$R$475,1,FALSE)),"NO","SI")</f>
        <v>SI</v>
      </c>
      <c r="F50" s="2" t="s">
        <v>568</v>
      </c>
      <c r="G50" s="2" t="s">
        <v>52</v>
      </c>
      <c r="H50" s="2" t="s">
        <v>482</v>
      </c>
      <c r="I50" s="7">
        <v>40058065</v>
      </c>
      <c r="J50" s="3" t="s">
        <v>887</v>
      </c>
      <c r="K50" s="3">
        <v>729785000</v>
      </c>
      <c r="L50" s="2" t="s">
        <v>49</v>
      </c>
      <c r="M50" s="17" t="s">
        <v>705</v>
      </c>
      <c r="N50" s="10"/>
      <c r="O50" s="10"/>
      <c r="P50" s="37" t="str">
        <f>IF(NETWORKDAYS(N50,O50,Feriados!$J$2:$J$22)-1&gt;=0,NETWORKDAYS(N50,O50,Feriados!$J$2:$J$22)-1,"NO APLICA")</f>
        <v>NO APLICA</v>
      </c>
      <c r="Q50" s="10">
        <v>46244</v>
      </c>
      <c r="R50" s="9">
        <v>46248</v>
      </c>
      <c r="S50" s="43">
        <v>46175</v>
      </c>
      <c r="T50" s="2">
        <v>10</v>
      </c>
      <c r="U50" s="9">
        <f>WORKDAY(Q50,T50,Feriados!$J$2:$J$22)</f>
        <v>46258</v>
      </c>
      <c r="V50" s="2">
        <f t="shared" si="3"/>
        <v>-69</v>
      </c>
      <c r="W50" s="38" t="str">
        <f>IF(NETWORKDAYS(Q50,S50,Feriados!$J$2:$J$22)-1&gt;=0,NETWORKDAYS(Q50,S50,Feriados!$J$2:$J$22)-1,"NO APLICA")</f>
        <v>NO APLICA</v>
      </c>
      <c r="X50" s="13">
        <f t="shared" ca="1" si="2"/>
        <v>-38</v>
      </c>
      <c r="Y50" s="3" t="s">
        <v>595</v>
      </c>
      <c r="Z50" s="48" t="s">
        <v>172</v>
      </c>
      <c r="AA50" s="65"/>
      <c r="AB50" s="88" t="s">
        <v>32</v>
      </c>
      <c r="AC50" s="2" t="s">
        <v>457</v>
      </c>
    </row>
    <row r="51" spans="1:29" s="60" customFormat="1" ht="28.5" hidden="1" x14ac:dyDescent="0.2">
      <c r="A51" s="105">
        <v>50</v>
      </c>
      <c r="B51" s="3">
        <v>29</v>
      </c>
      <c r="C51" s="36" t="str">
        <f>IF(ISERROR(VLOOKUP(I51,[1]DEP!$B$3:$E$583,1,FALSE)),"NO","SI")</f>
        <v>SI</v>
      </c>
      <c r="D51" s="2" t="str">
        <f>IF(ISERROR(VLOOKUP(I51,[2]FRG!$S$19:$U$288,1,FALSE)),"NO","SI")</f>
        <v>NO</v>
      </c>
      <c r="E51" s="2" t="str">
        <f>IF(ISERROR(VLOOKUP(I51,[3]DATOS_PREINVERSION!$O$3:$R$475,1,FALSE)),"NO","SI")</f>
        <v>NO</v>
      </c>
      <c r="F51" s="3" t="s">
        <v>568</v>
      </c>
      <c r="G51" s="3" t="s">
        <v>53</v>
      </c>
      <c r="H51" s="3" t="s">
        <v>399</v>
      </c>
      <c r="I51" s="7">
        <v>40043207</v>
      </c>
      <c r="J51" s="3" t="s">
        <v>888</v>
      </c>
      <c r="K51" s="3">
        <v>697950000</v>
      </c>
      <c r="L51" s="2" t="s">
        <v>49</v>
      </c>
      <c r="M51" s="17" t="s">
        <v>705</v>
      </c>
      <c r="N51" s="10"/>
      <c r="O51" s="10"/>
      <c r="P51" s="37" t="str">
        <f>IF(NETWORKDAYS(N51,O51,Feriados!$J$2:$J$22)-1&gt;=0,NETWORKDAYS(N51,O51,Feriados!$J$2:$J$22)-1,"NO APLICA")</f>
        <v>NO APLICA</v>
      </c>
      <c r="Q51" s="10">
        <v>46168</v>
      </c>
      <c r="R51" s="9">
        <f t="shared" ref="R51:R59" si="4">+Q51+T51</f>
        <v>46178</v>
      </c>
      <c r="S51" s="43">
        <v>46181</v>
      </c>
      <c r="T51" s="2">
        <v>10</v>
      </c>
      <c r="U51" s="9">
        <f>WORKDAY(Q51,T51,Feriados!$J$2:$J$22)</f>
        <v>46182</v>
      </c>
      <c r="V51" s="2">
        <f t="shared" si="3"/>
        <v>13</v>
      </c>
      <c r="W51" s="38">
        <f>IF(NETWORKDAYS(Q51,S51,Feriados!$J$2:$J$22)-1&gt;=0,NETWORKDAYS(Q51,S51,Feriados!$J$2:$J$22)-1,"NO APLICA")</f>
        <v>9</v>
      </c>
      <c r="X51" s="13">
        <f t="shared" ca="1" si="2"/>
        <v>-114</v>
      </c>
      <c r="Y51" s="2" t="s">
        <v>789</v>
      </c>
      <c r="Z51" s="2" t="s">
        <v>157</v>
      </c>
      <c r="AA51" s="85"/>
      <c r="AB51" s="88" t="s">
        <v>32</v>
      </c>
      <c r="AC51" s="3" t="s">
        <v>366</v>
      </c>
    </row>
    <row r="52" spans="1:29" s="60" customFormat="1" ht="28.5" hidden="1" x14ac:dyDescent="0.2">
      <c r="A52" s="105">
        <v>51</v>
      </c>
      <c r="B52" s="3">
        <v>29</v>
      </c>
      <c r="C52" s="36" t="str">
        <f>IF(ISERROR(VLOOKUP(I52,[1]DEP!$B$3:$E$583,1,FALSE)),"NO","SI")</f>
        <v>SI</v>
      </c>
      <c r="D52" s="2" t="str">
        <f>IF(ISERROR(VLOOKUP(I52,[2]FRG!$S$19:$U$288,1,FALSE)),"NO","SI")</f>
        <v>SI</v>
      </c>
      <c r="E52" s="2" t="str">
        <f>IF(ISERROR(VLOOKUP(I52,[3]DATOS_PREINVERSION!$O$3:$R$475,1,FALSE)),"NO","SI")</f>
        <v>SI</v>
      </c>
      <c r="F52" s="3" t="s">
        <v>45</v>
      </c>
      <c r="G52" s="3" t="s">
        <v>70</v>
      </c>
      <c r="H52" s="3" t="s">
        <v>6</v>
      </c>
      <c r="I52" s="7">
        <v>40007939</v>
      </c>
      <c r="J52" s="3" t="s">
        <v>400</v>
      </c>
      <c r="K52" s="3"/>
      <c r="L52" s="2" t="s">
        <v>49</v>
      </c>
      <c r="M52" s="17" t="s">
        <v>705</v>
      </c>
      <c r="N52" s="10"/>
      <c r="O52" s="10"/>
      <c r="P52" s="37" t="str">
        <f>IF(NETWORKDAYS(N52,O52,Feriados!$J$2:$J$22)-1&gt;=0,NETWORKDAYS(N52,O52,Feriados!$J$2:$J$22)-1,"NO APLICA")</f>
        <v>NO APLICA</v>
      </c>
      <c r="Q52" s="10">
        <v>46211</v>
      </c>
      <c r="R52" s="9">
        <f t="shared" si="4"/>
        <v>46221</v>
      </c>
      <c r="S52" s="43">
        <v>46182</v>
      </c>
      <c r="T52" s="2">
        <v>10</v>
      </c>
      <c r="U52" s="9">
        <f>WORKDAY(Q52,T52,Feriados!$J$2:$J$22)</f>
        <v>46226</v>
      </c>
      <c r="V52" s="2">
        <f t="shared" si="3"/>
        <v>-29</v>
      </c>
      <c r="W52" s="38" t="str">
        <f>IF(NETWORKDAYS(Q52,S52,Feriados!$J$2:$J$22)-1&gt;=0,NETWORKDAYS(Q52,S52,Feriados!$J$2:$J$22)-1,"NO APLICA")</f>
        <v>NO APLICA</v>
      </c>
      <c r="X52" s="13">
        <f t="shared" ca="1" si="2"/>
        <v>-70</v>
      </c>
      <c r="Y52" s="2"/>
      <c r="Z52" s="2"/>
      <c r="AA52" s="85"/>
      <c r="AB52" s="88" t="s">
        <v>32</v>
      </c>
      <c r="AC52" s="3" t="s">
        <v>822</v>
      </c>
    </row>
    <row r="53" spans="1:29" ht="28.5" hidden="1" x14ac:dyDescent="0.2">
      <c r="A53" s="105">
        <v>52</v>
      </c>
      <c r="B53" s="2">
        <v>29</v>
      </c>
      <c r="C53" s="36" t="str">
        <f>IF(ISERROR(VLOOKUP(I53,[1]DEP!$B$3:$E$583,1,FALSE)),"NO","SI")</f>
        <v>NO</v>
      </c>
      <c r="D53" s="2" t="str">
        <f>IF(ISERROR(VLOOKUP(I53,[2]FRG!$S$19:$U$288,1,FALSE)),"NO","SI")</f>
        <v>NO</v>
      </c>
      <c r="E53" s="2" t="str">
        <f>IF(ISERROR(VLOOKUP(I53,[3]DATOS_PREINVERSION!$O$3:$R$475,1,FALSE)),"NO","SI")</f>
        <v>NO</v>
      </c>
      <c r="F53" s="2"/>
      <c r="G53" s="2"/>
      <c r="H53" s="3" t="s">
        <v>91</v>
      </c>
      <c r="I53" s="7">
        <v>40067537</v>
      </c>
      <c r="J53" s="3" t="s">
        <v>891</v>
      </c>
      <c r="K53" s="3">
        <v>167421000</v>
      </c>
      <c r="L53" s="2" t="s">
        <v>49</v>
      </c>
      <c r="M53" s="17" t="s">
        <v>62</v>
      </c>
      <c r="N53" s="10"/>
      <c r="O53" s="10"/>
      <c r="P53" s="37" t="str">
        <f>IF(NETWORKDAYS(N53,O53,Feriados!$J$2:$J$22)-1&gt;=0,NETWORKDAYS(N53,O53,Feriados!$J$2:$J$22)-1,"NO APLICA")</f>
        <v>NO APLICA</v>
      </c>
      <c r="Q53" s="10">
        <v>46169</v>
      </c>
      <c r="R53" s="9">
        <f t="shared" si="4"/>
        <v>46179</v>
      </c>
      <c r="S53" s="43">
        <v>46178</v>
      </c>
      <c r="T53" s="2">
        <v>10</v>
      </c>
      <c r="U53" s="9">
        <f>WORKDAY(Q53,T53,Feriados!$J$2:$J$22)</f>
        <v>46183</v>
      </c>
      <c r="V53" s="2">
        <f t="shared" si="3"/>
        <v>9</v>
      </c>
      <c r="W53" s="38">
        <f>IF(NETWORKDAYS(Q53,S53,Feriados!$J$2:$J$22)-1&gt;=0,NETWORKDAYS(Q53,S53,Feriados!$J$2:$J$22)-1,"NO APLICA")</f>
        <v>7</v>
      </c>
      <c r="X53" s="13">
        <f t="shared" ca="1" si="2"/>
        <v>-113</v>
      </c>
      <c r="Y53" s="2" t="s">
        <v>758</v>
      </c>
      <c r="Z53" s="12"/>
      <c r="AA53" s="64"/>
      <c r="AB53" s="88" t="s">
        <v>32</v>
      </c>
      <c r="AC53" s="2" t="s">
        <v>786</v>
      </c>
    </row>
    <row r="54" spans="1:29" s="60" customFormat="1" ht="29.45" customHeight="1" x14ac:dyDescent="0.2">
      <c r="A54" s="105">
        <v>53</v>
      </c>
      <c r="B54" s="3">
        <v>29</v>
      </c>
      <c r="C54" s="36" t="str">
        <f>IF(ISERROR(VLOOKUP(I54,[1]DEP!$B$3:$E$583,1,FALSE)),"NO","SI")</f>
        <v>NO</v>
      </c>
      <c r="D54" s="2" t="str">
        <f>IF(ISERROR(VLOOKUP(I54,[2]FRG!$S$19:$U$288,1,FALSE)),"NO","SI")</f>
        <v>NO</v>
      </c>
      <c r="E54" s="2" t="str">
        <f>IF(ISERROR(VLOOKUP(I54,[3]DATOS_PREINVERSION!$O$3:$R$475,1,FALSE)),"NO","SI")</f>
        <v>SI</v>
      </c>
      <c r="F54" s="2" t="s">
        <v>568</v>
      </c>
      <c r="G54" s="2" t="s">
        <v>53</v>
      </c>
      <c r="H54" s="3" t="s">
        <v>399</v>
      </c>
      <c r="I54" s="7">
        <v>40013952</v>
      </c>
      <c r="J54" s="3" t="s">
        <v>892</v>
      </c>
      <c r="K54" s="131">
        <v>294680000</v>
      </c>
      <c r="L54" s="2" t="s">
        <v>49</v>
      </c>
      <c r="M54" s="15" t="s">
        <v>63</v>
      </c>
      <c r="N54" s="10">
        <v>46171</v>
      </c>
      <c r="O54" s="10">
        <v>46188</v>
      </c>
      <c r="P54" s="37">
        <f>IF(NETWORKDAYS(N54,O54,Feriados!$J$2:$J$22)-1&gt;=0,NETWORKDAYS(N54,O54,Feriados!$J$2:$J$22)-1,"NO APLICA")</f>
        <v>11</v>
      </c>
      <c r="Q54" s="10">
        <v>46296</v>
      </c>
      <c r="R54" s="9">
        <f t="shared" si="4"/>
        <v>46311</v>
      </c>
      <c r="S54" s="43">
        <v>46188</v>
      </c>
      <c r="T54" s="2">
        <v>15</v>
      </c>
      <c r="U54" s="9">
        <f>WORKDAY(Q54,T54,Feriados!$J$2:$J$22)</f>
        <v>46318</v>
      </c>
      <c r="V54" s="2">
        <f t="shared" si="3"/>
        <v>-108</v>
      </c>
      <c r="W54" s="38" t="str">
        <f>IF(NETWORKDAYS(Q54,S54,Feriados!$J$2:$J$22)-1&gt;=0,NETWORKDAYS(Q54,S54,Feriados!$J$2:$J$22)-1,"NO APLICA")</f>
        <v>NO APLICA</v>
      </c>
      <c r="X54" s="13">
        <f t="shared" ca="1" si="2"/>
        <v>22</v>
      </c>
      <c r="Y54" s="2"/>
      <c r="Z54" s="2"/>
      <c r="AA54" s="85"/>
      <c r="AB54" s="88" t="s">
        <v>31</v>
      </c>
      <c r="AC54" s="3"/>
    </row>
    <row r="55" spans="1:29" s="60" customFormat="1" ht="29.45" customHeight="1" x14ac:dyDescent="0.2">
      <c r="A55" s="105">
        <v>54</v>
      </c>
      <c r="B55" s="3">
        <v>29</v>
      </c>
      <c r="C55" s="36" t="str">
        <f>IF(ISERROR(VLOOKUP(I55,[1]DEP!$B$3:$E$583,1,FALSE)),"NO","SI")</f>
        <v>NO</v>
      </c>
      <c r="D55" s="2" t="str">
        <f>IF(ISERROR(VLOOKUP(I55,[2]FRG!$S$19:$U$288,1,FALSE)),"NO","SI")</f>
        <v>NO</v>
      </c>
      <c r="E55" s="2" t="str">
        <f>IF(ISERROR(VLOOKUP(I55,[3]DATOS_PREINVERSION!$O$3:$R$475,1,FALSE)),"NO","SI")</f>
        <v>NO</v>
      </c>
      <c r="F55" s="2" t="s">
        <v>42</v>
      </c>
      <c r="G55" s="2" t="s">
        <v>42</v>
      </c>
      <c r="H55" s="2" t="s">
        <v>30</v>
      </c>
      <c r="I55" s="7">
        <v>40079920</v>
      </c>
      <c r="J55" s="3" t="s">
        <v>893</v>
      </c>
      <c r="K55" s="131">
        <v>355932000</v>
      </c>
      <c r="L55" s="2" t="s">
        <v>49</v>
      </c>
      <c r="M55" s="15" t="s">
        <v>63</v>
      </c>
      <c r="N55" s="10">
        <v>46174</v>
      </c>
      <c r="O55" s="10">
        <v>46195</v>
      </c>
      <c r="P55" s="37">
        <f>IF(NETWORKDAYS(N55,O55,Feriados!$J$2:$J$22)-1&gt;=0,NETWORKDAYS(N55,O55,Feriados!$J$2:$J$22)-1,"NO APLICA")</f>
        <v>15</v>
      </c>
      <c r="Q55" s="10">
        <v>46290</v>
      </c>
      <c r="R55" s="9">
        <f t="shared" si="4"/>
        <v>46305</v>
      </c>
      <c r="S55" s="43">
        <v>46195</v>
      </c>
      <c r="T55" s="2">
        <v>15</v>
      </c>
      <c r="U55" s="9">
        <f>WORKDAY(Q55,T55,Feriados!$J$2:$J$22)</f>
        <v>46314</v>
      </c>
      <c r="V55" s="2">
        <f t="shared" si="3"/>
        <v>-95</v>
      </c>
      <c r="W55" s="38" t="str">
        <f>IF(NETWORKDAYS(Q55,S55,Feriados!$J$2:$J$22)-1&gt;=0,NETWORKDAYS(Q55,S55,Feriados!$J$2:$J$22)-1,"NO APLICA")</f>
        <v>NO APLICA</v>
      </c>
      <c r="X55" s="13">
        <f t="shared" ca="1" si="2"/>
        <v>18</v>
      </c>
      <c r="Y55" s="2"/>
      <c r="Z55" s="2"/>
      <c r="AA55" s="85"/>
      <c r="AB55" s="88" t="s">
        <v>31</v>
      </c>
      <c r="AC55" s="3"/>
    </row>
    <row r="56" spans="1:29" s="60" customFormat="1" ht="29.45" hidden="1" customHeight="1" x14ac:dyDescent="0.2">
      <c r="A56" s="105">
        <v>55</v>
      </c>
      <c r="B56" s="3">
        <v>29</v>
      </c>
      <c r="C56" s="36" t="str">
        <f>IF(ISERROR(VLOOKUP(I56,[1]DEP!$B$3:$E$583,1,FALSE)),"NO","SI")</f>
        <v>NO</v>
      </c>
      <c r="D56" s="2" t="str">
        <f>IF(ISERROR(VLOOKUP(I56,[2]FRG!$S$19:$U$288,1,FALSE)),"NO","SI")</f>
        <v>NO</v>
      </c>
      <c r="E56" s="2" t="str">
        <f>IF(ISERROR(VLOOKUP(I56,[3]DATOS_PREINVERSION!$O$3:$R$475,1,FALSE)),"NO","SI")</f>
        <v>NO</v>
      </c>
      <c r="F56" s="2" t="s">
        <v>568</v>
      </c>
      <c r="G56" s="2" t="s">
        <v>877</v>
      </c>
      <c r="H56" s="3" t="s">
        <v>18</v>
      </c>
      <c r="I56" s="44">
        <v>40080076</v>
      </c>
      <c r="J56" s="3" t="s">
        <v>894</v>
      </c>
      <c r="K56" s="131"/>
      <c r="L56" s="2" t="s">
        <v>49</v>
      </c>
      <c r="M56" s="15" t="s">
        <v>74</v>
      </c>
      <c r="N56" s="10">
        <v>46175</v>
      </c>
      <c r="O56" s="10">
        <v>46199</v>
      </c>
      <c r="P56" s="37">
        <f>IF(NETWORKDAYS(N56,O56,Feriados!$J$2:$J$22)-1&gt;=0,NETWORKDAYS(N56,O56,Feriados!$J$2:$J$22)-1,"NO APLICA")</f>
        <v>18</v>
      </c>
      <c r="Q56" s="10">
        <v>46175</v>
      </c>
      <c r="R56" s="9">
        <f t="shared" si="4"/>
        <v>46190</v>
      </c>
      <c r="S56" s="43">
        <v>46079</v>
      </c>
      <c r="T56" s="2">
        <v>15</v>
      </c>
      <c r="U56" s="9">
        <f>WORKDAY(Q56,T56,Feriados!$J$2:$J$22)</f>
        <v>46196</v>
      </c>
      <c r="V56" s="2">
        <f t="shared" si="3"/>
        <v>-96</v>
      </c>
      <c r="W56" s="38" t="str">
        <f>IF(NETWORKDAYS(Q56,S56,Feriados!$J$2:$J$22)-1&gt;=0,NETWORKDAYS(Q56,S56,Feriados!$J$2:$J$22)-1,"NO APLICA")</f>
        <v>NO APLICA</v>
      </c>
      <c r="X56" s="13">
        <f t="shared" ca="1" si="2"/>
        <v>-100</v>
      </c>
      <c r="Y56" s="2"/>
      <c r="Z56" s="2"/>
      <c r="AA56" s="85"/>
      <c r="AB56" s="88" t="s">
        <v>31</v>
      </c>
      <c r="AC56" s="3"/>
    </row>
    <row r="57" spans="1:29" ht="28.5" hidden="1" x14ac:dyDescent="0.2">
      <c r="A57" s="105">
        <v>56</v>
      </c>
      <c r="B57" s="2">
        <v>31</v>
      </c>
      <c r="C57" s="36" t="str">
        <f>IF(ISERROR(VLOOKUP(I57,[1]DEP!$B$3:$E$583,1,FALSE)),"NO","SI")</f>
        <v>SI</v>
      </c>
      <c r="D57" s="2" t="str">
        <f>IF(ISERROR(VLOOKUP(I57,[2]FRG!$S$19:$U$288,1,FALSE)),"NO","SI")</f>
        <v>SI</v>
      </c>
      <c r="E57" s="2" t="str">
        <f>IF(ISERROR(VLOOKUP(I57,[3]DATOS_PREINVERSION!$O$3:$R$475,1,FALSE)),"NO","SI")</f>
        <v>SI</v>
      </c>
      <c r="F57" s="2" t="s">
        <v>45</v>
      </c>
      <c r="G57" s="2" t="s">
        <v>88</v>
      </c>
      <c r="H57" s="2" t="s">
        <v>77</v>
      </c>
      <c r="I57" s="7">
        <v>40003812</v>
      </c>
      <c r="J57" s="3" t="s">
        <v>668</v>
      </c>
      <c r="K57" s="3">
        <v>480876000</v>
      </c>
      <c r="L57" s="2" t="s">
        <v>49</v>
      </c>
      <c r="M57" s="17" t="s">
        <v>74</v>
      </c>
      <c r="N57" s="10">
        <v>46176</v>
      </c>
      <c r="O57" s="10"/>
      <c r="P57" s="37" t="str">
        <f>IF(NETWORKDAYS(N57,O57,Feriados!$J$2:$J$22)-1&gt;=0,NETWORKDAYS(N57,O57,Feriados!$J$2:$J$22)-1,"NO APLICA")</f>
        <v>NO APLICA</v>
      </c>
      <c r="Q57" s="10">
        <v>46176</v>
      </c>
      <c r="R57" s="9">
        <f t="shared" si="4"/>
        <v>46186</v>
      </c>
      <c r="S57" s="43">
        <v>46197</v>
      </c>
      <c r="T57" s="2">
        <v>10</v>
      </c>
      <c r="U57" s="9">
        <f>WORKDAY(Q57,T57,Feriados!$J$2:$J$22)</f>
        <v>46190</v>
      </c>
      <c r="V57" s="2">
        <f t="shared" ref="V57:V66" si="5">+S57-Q57</f>
        <v>21</v>
      </c>
      <c r="W57" s="38">
        <f>IF(NETWORKDAYS(Q57,S57,Feriados!$J$2:$J$22)-1&gt;=0,NETWORKDAYS(Q57,S57,Feriados!$J$2:$J$22)-1,"NO APLICA")</f>
        <v>15</v>
      </c>
      <c r="X57" s="13">
        <f t="shared" ca="1" si="2"/>
        <v>-106</v>
      </c>
      <c r="Y57" s="2" t="s">
        <v>307</v>
      </c>
      <c r="Z57" s="2" t="s">
        <v>314</v>
      </c>
      <c r="AA57" s="64">
        <v>381</v>
      </c>
      <c r="AB57" s="88" t="s">
        <v>32</v>
      </c>
      <c r="AC57" s="2"/>
    </row>
    <row r="58" spans="1:29" s="60" customFormat="1" ht="29.45" customHeight="1" x14ac:dyDescent="0.2">
      <c r="A58" s="105">
        <v>57</v>
      </c>
      <c r="B58" s="3">
        <v>29</v>
      </c>
      <c r="C58" s="36" t="str">
        <f>IF(ISERROR(VLOOKUP(I58,[1]DEP!$B$3:$E$583,1,FALSE)),"NO","SI")</f>
        <v>NO</v>
      </c>
      <c r="D58" s="2" t="str">
        <f>IF(ISERROR(VLOOKUP(I58,[2]FRG!$S$19:$U$288,1,FALSE)),"NO","SI")</f>
        <v>NO</v>
      </c>
      <c r="E58" s="2" t="str">
        <f>IF(ISERROR(VLOOKUP(I58,[3]DATOS_PREINVERSION!$O$3:$R$475,1,FALSE)),"NO","SI")</f>
        <v>SI</v>
      </c>
      <c r="F58" s="2" t="s">
        <v>568</v>
      </c>
      <c r="G58" s="2" t="s">
        <v>54</v>
      </c>
      <c r="H58" s="2" t="s">
        <v>407</v>
      </c>
      <c r="I58" s="7">
        <v>40079251</v>
      </c>
      <c r="J58" s="3" t="s">
        <v>897</v>
      </c>
      <c r="K58" s="131">
        <v>155353000</v>
      </c>
      <c r="L58" s="2" t="s">
        <v>49</v>
      </c>
      <c r="M58" s="15" t="s">
        <v>63</v>
      </c>
      <c r="N58" s="10">
        <v>46178</v>
      </c>
      <c r="O58" s="10">
        <v>46205</v>
      </c>
      <c r="P58" s="37">
        <f>IF(NETWORKDAYS(N58,O58,Feriados!$J$2:$J$22)-1&gt;=0,NETWORKDAYS(N58,O58,Feriados!$J$2:$J$22)-1,"NO APLICA")</f>
        <v>18</v>
      </c>
      <c r="Q58" s="10">
        <v>46272</v>
      </c>
      <c r="R58" s="9">
        <f t="shared" si="4"/>
        <v>46287</v>
      </c>
      <c r="S58" s="43">
        <v>46205</v>
      </c>
      <c r="T58" s="2">
        <v>15</v>
      </c>
      <c r="U58" s="9">
        <f>WORKDAY(Q58,T58,Feriados!$J$2:$J$22)</f>
        <v>46294</v>
      </c>
      <c r="V58" s="2">
        <f t="shared" si="5"/>
        <v>-67</v>
      </c>
      <c r="W58" s="38" t="str">
        <f>IF(NETWORKDAYS(Q58,S58,Feriados!$J$2:$J$22)-1&gt;=0,NETWORKDAYS(Q58,S58,Feriados!$J$2:$J$22)-1,"NO APLICA")</f>
        <v>NO APLICA</v>
      </c>
      <c r="X58" s="13">
        <f t="shared" ca="1" si="2"/>
        <v>-2</v>
      </c>
      <c r="Y58" s="2"/>
      <c r="Z58" s="2"/>
      <c r="AA58" s="85"/>
      <c r="AB58" s="88" t="s">
        <v>31</v>
      </c>
      <c r="AC58" s="3"/>
    </row>
    <row r="59" spans="1:29" s="60" customFormat="1" ht="29.45" hidden="1" customHeight="1" x14ac:dyDescent="0.2">
      <c r="A59" s="105">
        <v>58</v>
      </c>
      <c r="B59" s="3">
        <v>29</v>
      </c>
      <c r="C59" s="36" t="str">
        <f>IF(ISERROR(VLOOKUP(I59,[1]DEP!$B$3:$E$583,1,FALSE)),"NO","SI")</f>
        <v>NO</v>
      </c>
      <c r="D59" s="2" t="str">
        <f>IF(ISERROR(VLOOKUP(I59,[2]FRG!$S$19:$U$288,1,FALSE)),"NO","SI")</f>
        <v>NO</v>
      </c>
      <c r="E59" s="2" t="str">
        <f>IF(ISERROR(VLOOKUP(I59,[3]DATOS_PREINVERSION!$O$3:$R$475,1,FALSE)),"NO","SI")</f>
        <v>NO</v>
      </c>
      <c r="F59" s="2" t="s">
        <v>45</v>
      </c>
      <c r="G59" s="3" t="s">
        <v>70</v>
      </c>
      <c r="H59" s="2" t="s">
        <v>78</v>
      </c>
      <c r="I59" s="7">
        <v>40072810</v>
      </c>
      <c r="J59" s="3" t="s">
        <v>898</v>
      </c>
      <c r="K59" s="131"/>
      <c r="L59" s="2" t="s">
        <v>49</v>
      </c>
      <c r="M59" s="15" t="s">
        <v>698</v>
      </c>
      <c r="N59" s="10">
        <v>46178</v>
      </c>
      <c r="O59" s="10">
        <v>46199</v>
      </c>
      <c r="P59" s="37">
        <f>IF(NETWORKDAYS(N59,O59,Feriados!$J$2:$J$22)-1&gt;=0,NETWORKDAYS(N59,O59,Feriados!$J$2:$J$22)-1,"NO APLICA")</f>
        <v>15</v>
      </c>
      <c r="Q59" s="10">
        <v>46178</v>
      </c>
      <c r="R59" s="9">
        <f t="shared" si="4"/>
        <v>46193</v>
      </c>
      <c r="S59" s="43">
        <v>46199</v>
      </c>
      <c r="T59" s="2">
        <v>15</v>
      </c>
      <c r="U59" s="9">
        <f>WORKDAY(Q59,T59,Feriados!$J$2:$J$22)</f>
        <v>46199</v>
      </c>
      <c r="V59" s="2">
        <f t="shared" si="5"/>
        <v>21</v>
      </c>
      <c r="W59" s="38">
        <f>IF(NETWORKDAYS(Q59,S59,Feriados!$J$2:$J$22)-1&gt;=0,NETWORKDAYS(Q59,S59,Feriados!$J$2:$J$22)-1,"NO APLICA")</f>
        <v>15</v>
      </c>
      <c r="X59" s="13">
        <f t="shared" ca="1" si="2"/>
        <v>-97</v>
      </c>
      <c r="Y59" s="2"/>
      <c r="Z59" s="2"/>
      <c r="AA59" s="85"/>
      <c r="AB59" s="88" t="s">
        <v>31</v>
      </c>
      <c r="AC59" s="3"/>
    </row>
    <row r="60" spans="1:29" s="60" customFormat="1" ht="29.45" hidden="1" customHeight="1" x14ac:dyDescent="0.2">
      <c r="A60" s="105">
        <v>59</v>
      </c>
      <c r="B60" s="3">
        <v>29</v>
      </c>
      <c r="C60" s="36" t="str">
        <f>IF(ISERROR(VLOOKUP(I60,[1]DEP!$B$3:$E$583,1,FALSE)),"NO","SI")</f>
        <v>NO</v>
      </c>
      <c r="D60" s="2" t="str">
        <f>IF(ISERROR(VLOOKUP(I60,[2]FRG!$S$19:$U$288,1,FALSE)),"NO","SI")</f>
        <v>NO</v>
      </c>
      <c r="E60" s="2" t="str">
        <f>IF(ISERROR(VLOOKUP(I60,[3]DATOS_PREINVERSION!$O$3:$R$475,1,FALSE)),"NO","SI")</f>
        <v>SI</v>
      </c>
      <c r="F60" s="2" t="s">
        <v>42</v>
      </c>
      <c r="G60" s="3" t="s">
        <v>3</v>
      </c>
      <c r="H60" s="2" t="s">
        <v>16</v>
      </c>
      <c r="I60" s="7">
        <v>40074173</v>
      </c>
      <c r="J60" s="3" t="s">
        <v>941</v>
      </c>
      <c r="K60" s="131">
        <v>163863000</v>
      </c>
      <c r="L60" s="2" t="s">
        <v>49</v>
      </c>
      <c r="M60" s="15" t="s">
        <v>698</v>
      </c>
      <c r="N60" s="10">
        <v>46153</v>
      </c>
      <c r="O60" s="10">
        <v>46183</v>
      </c>
      <c r="P60" s="37">
        <f>IF(NETWORKDAYS(N60,O60,Feriados!$J$2:$J$22)-1&gt;=0,NETWORKDAYS(N60,O60,Feriados!$J$2:$J$22)-1,"NO APLICA")</f>
        <v>21</v>
      </c>
      <c r="Q60" s="10">
        <v>46255</v>
      </c>
      <c r="R60" s="9">
        <f t="shared" ref="R60:R71" si="6">+Q60+T60</f>
        <v>46270</v>
      </c>
      <c r="S60" s="43">
        <v>46280</v>
      </c>
      <c r="T60" s="2">
        <v>15</v>
      </c>
      <c r="U60" s="9">
        <f>WORKDAY(Q60,T60,Feriados!$J$2:$J$22)</f>
        <v>46276</v>
      </c>
      <c r="V60" s="2">
        <f t="shared" si="5"/>
        <v>25</v>
      </c>
      <c r="W60" s="38">
        <f>IF(NETWORKDAYS(Q60,S60,Feriados!$J$2:$J$22)-1&gt;=0,NETWORKDAYS(Q60,S60,Feriados!$J$2:$J$22)-1,"NO APLICA")</f>
        <v>17</v>
      </c>
      <c r="X60" s="13">
        <f t="shared" ca="1" si="2"/>
        <v>-20</v>
      </c>
      <c r="Y60" s="2"/>
      <c r="Z60" s="2"/>
      <c r="AA60" s="85"/>
      <c r="AB60" s="88" t="s">
        <v>31</v>
      </c>
      <c r="AC60" s="3"/>
    </row>
    <row r="61" spans="1:29" ht="28.5" hidden="1" x14ac:dyDescent="0.2">
      <c r="A61" s="105">
        <v>60</v>
      </c>
      <c r="B61" s="2">
        <v>31</v>
      </c>
      <c r="C61" s="36" t="str">
        <f>IF(ISERROR(VLOOKUP(I61,[1]DEP!$B$3:$E$583,1,FALSE)),"NO","SI")</f>
        <v>NO</v>
      </c>
      <c r="D61" s="2" t="str">
        <f>IF(ISERROR(VLOOKUP(I61,[2]FRG!$S$19:$U$288,1,FALSE)),"NO","SI")</f>
        <v>NO</v>
      </c>
      <c r="E61" s="2" t="str">
        <f>IF(ISERROR(VLOOKUP(I61,[3]DATOS_PREINVERSION!$O$3:$R$475,1,FALSE)),"NO","SI")</f>
        <v>SI</v>
      </c>
      <c r="F61" s="2" t="s">
        <v>48</v>
      </c>
      <c r="G61" s="2" t="s">
        <v>794</v>
      </c>
      <c r="H61" s="2" t="s">
        <v>795</v>
      </c>
      <c r="I61" s="7">
        <v>40075367</v>
      </c>
      <c r="J61" s="3" t="s">
        <v>793</v>
      </c>
      <c r="K61" s="3"/>
      <c r="L61" s="2" t="s">
        <v>49</v>
      </c>
      <c r="M61" s="15" t="s">
        <v>698</v>
      </c>
      <c r="N61" s="10">
        <v>46183</v>
      </c>
      <c r="O61" s="10">
        <v>46211</v>
      </c>
      <c r="P61" s="37">
        <f>IF(NETWORKDAYS(N61,O61,Feriados!$J$2:$J$22)-1&gt;=0,NETWORKDAYS(N61,O61,Feriados!$J$2:$J$22)-1,"NO APLICA")</f>
        <v>19</v>
      </c>
      <c r="Q61" s="10">
        <v>46183</v>
      </c>
      <c r="R61" s="9">
        <f t="shared" si="6"/>
        <v>46198</v>
      </c>
      <c r="S61" s="43">
        <v>46211</v>
      </c>
      <c r="T61" s="2">
        <v>15</v>
      </c>
      <c r="U61" s="9">
        <f>WORKDAY(Q61,T61,Feriados!$J$2:$J$22)</f>
        <v>46205</v>
      </c>
      <c r="V61" s="2">
        <f t="shared" si="5"/>
        <v>28</v>
      </c>
      <c r="W61" s="38">
        <f>IF(NETWORKDAYS(Q61,S61,Feriados!$J$2:$J$22)-1&gt;=0,NETWORKDAYS(Q61,S61,Feriados!$J$2:$J$22)-1,"NO APLICA")</f>
        <v>19</v>
      </c>
      <c r="X61" s="13">
        <f t="shared" ca="1" si="2"/>
        <v>-91</v>
      </c>
      <c r="Y61" s="2"/>
      <c r="Z61" s="2"/>
      <c r="AA61" s="57"/>
      <c r="AB61" s="88" t="s">
        <v>31</v>
      </c>
      <c r="AC61" s="2" t="s">
        <v>366</v>
      </c>
    </row>
    <row r="62" spans="1:29" s="60" customFormat="1" ht="28.5" hidden="1" x14ac:dyDescent="0.2">
      <c r="A62" s="105">
        <v>61</v>
      </c>
      <c r="B62" s="3">
        <v>29</v>
      </c>
      <c r="C62" s="36" t="str">
        <f>IF(ISERROR(VLOOKUP(I62,[1]DEP!$B$3:$E$583,1,FALSE)),"NO","SI")</f>
        <v>NO</v>
      </c>
      <c r="D62" s="2" t="str">
        <f>IF(ISERROR(VLOOKUP(I62,[2]FRG!$S$19:$U$288,1,FALSE)),"NO","SI")</f>
        <v>NO</v>
      </c>
      <c r="E62" s="2" t="str">
        <f>IF(ISERROR(VLOOKUP(I62,[3]DATOS_PREINVERSION!$O$3:$R$475,1,FALSE)),"NO","SI")</f>
        <v>SI</v>
      </c>
      <c r="F62" s="2" t="s">
        <v>45</v>
      </c>
      <c r="G62" s="2" t="s">
        <v>60</v>
      </c>
      <c r="H62" s="2" t="s">
        <v>7</v>
      </c>
      <c r="I62" s="7">
        <v>40075366</v>
      </c>
      <c r="J62" s="3" t="s">
        <v>899</v>
      </c>
      <c r="K62" s="3">
        <v>627151000</v>
      </c>
      <c r="L62" s="2" t="s">
        <v>49</v>
      </c>
      <c r="M62" s="15" t="s">
        <v>705</v>
      </c>
      <c r="N62" s="10">
        <v>46190</v>
      </c>
      <c r="O62" s="10">
        <v>46224</v>
      </c>
      <c r="P62" s="37">
        <f>IF(NETWORKDAYS(N62,O62,Feriados!$J$2:$J$22)-1&gt;=0,NETWORKDAYS(N62,O62,Feriados!$J$2:$J$22)-1,"NO APLICA")</f>
        <v>22</v>
      </c>
      <c r="Q62" s="10">
        <v>46259</v>
      </c>
      <c r="R62" s="9">
        <f t="shared" si="6"/>
        <v>46274</v>
      </c>
      <c r="S62" s="43">
        <v>46287</v>
      </c>
      <c r="T62" s="2">
        <v>15</v>
      </c>
      <c r="U62" s="9">
        <f>WORKDAY(Q62,T62,Feriados!$J$2:$J$22)</f>
        <v>46280</v>
      </c>
      <c r="V62" s="2">
        <f t="shared" si="5"/>
        <v>28</v>
      </c>
      <c r="W62" s="38">
        <f>IF(NETWORKDAYS(Q62,S62,Feriados!$J$2:$J$22)-1&gt;=0,NETWORKDAYS(Q62,S62,Feriados!$J$2:$J$22)-1,"NO APLICA")</f>
        <v>19</v>
      </c>
      <c r="X62" s="13">
        <f t="shared" ca="1" si="2"/>
        <v>-16</v>
      </c>
      <c r="Y62" s="3"/>
      <c r="Z62" s="2"/>
      <c r="AA62" s="85"/>
      <c r="AB62" s="88" t="s">
        <v>31</v>
      </c>
      <c r="AC62" s="3" t="s">
        <v>366</v>
      </c>
    </row>
    <row r="63" spans="1:29" s="60" customFormat="1" ht="28.5" hidden="1" x14ac:dyDescent="0.2">
      <c r="A63" s="105">
        <v>62</v>
      </c>
      <c r="B63" s="3">
        <v>29</v>
      </c>
      <c r="C63" s="36" t="str">
        <f>IF(ISERROR(VLOOKUP(I63,[1]DEP!$B$3:$E$583,1,FALSE)),"NO","SI")</f>
        <v>NO</v>
      </c>
      <c r="D63" s="2" t="str">
        <f>IF(ISERROR(VLOOKUP(I63,[2]FRG!$S$19:$U$288,1,FALSE)),"NO","SI")</f>
        <v>NO</v>
      </c>
      <c r="E63" s="2" t="str">
        <f>IF(ISERROR(VLOOKUP(I63,[3]DATOS_PREINVERSION!$O$3:$R$475,1,FALSE)),"NO","SI")</f>
        <v>SI</v>
      </c>
      <c r="F63" s="2" t="s">
        <v>568</v>
      </c>
      <c r="G63" s="2" t="s">
        <v>50</v>
      </c>
      <c r="H63" s="2" t="s">
        <v>9</v>
      </c>
      <c r="I63" s="7">
        <v>40081014</v>
      </c>
      <c r="J63" s="3" t="s">
        <v>900</v>
      </c>
      <c r="K63" s="131">
        <v>159034000</v>
      </c>
      <c r="L63" s="2" t="s">
        <v>49</v>
      </c>
      <c r="M63" s="15" t="s">
        <v>698</v>
      </c>
      <c r="N63" s="10">
        <v>46190</v>
      </c>
      <c r="O63" s="10">
        <v>46225</v>
      </c>
      <c r="P63" s="37">
        <f>IF(NETWORKDAYS(N63,O63,Feriados!$J$2:$J$22)-1&gt;=0,NETWORKDAYS(N63,O63,Feriados!$J$2:$J$22)-1,"NO APLICA")</f>
        <v>23</v>
      </c>
      <c r="Q63" s="10">
        <v>46190</v>
      </c>
      <c r="R63" s="9">
        <f t="shared" si="6"/>
        <v>46205</v>
      </c>
      <c r="S63" s="43">
        <v>46225</v>
      </c>
      <c r="T63" s="2">
        <v>15</v>
      </c>
      <c r="U63" s="9">
        <f>WORKDAY(Q63,T63,Feriados!$J$2:$J$22)</f>
        <v>46212</v>
      </c>
      <c r="V63" s="2">
        <f t="shared" si="5"/>
        <v>35</v>
      </c>
      <c r="W63" s="38">
        <f>IF(NETWORKDAYS(Q63,S63,Feriados!$J$2:$J$22)-1&gt;=0,NETWORKDAYS(Q63,S63,Feriados!$J$2:$J$22)-1,"NO APLICA")</f>
        <v>23</v>
      </c>
      <c r="X63" s="13">
        <f t="shared" ca="1" si="2"/>
        <v>-84</v>
      </c>
      <c r="Y63" s="3"/>
      <c r="Z63" s="2"/>
      <c r="AA63" s="85"/>
      <c r="AB63" s="88" t="s">
        <v>31</v>
      </c>
      <c r="AC63" s="3"/>
    </row>
    <row r="64" spans="1:29" s="60" customFormat="1" ht="28.5" hidden="1" x14ac:dyDescent="0.2">
      <c r="A64" s="105">
        <v>63</v>
      </c>
      <c r="B64" s="3">
        <v>29</v>
      </c>
      <c r="C64" s="36" t="str">
        <f>IF(ISERROR(VLOOKUP(I64,[1]DEP!$B$3:$E$583,1,FALSE)),"NO","SI")</f>
        <v>NO</v>
      </c>
      <c r="D64" s="2" t="str">
        <f>IF(ISERROR(VLOOKUP(I64,[2]FRG!$S$19:$U$288,1,FALSE)),"NO","SI")</f>
        <v>NO</v>
      </c>
      <c r="E64" s="2" t="str">
        <f>IF(ISERROR(VLOOKUP(I64,[3]DATOS_PREINVERSION!$O$3:$R$475,1,FALSE)),"NO","SI")</f>
        <v>SI</v>
      </c>
      <c r="F64" s="2" t="s">
        <v>45</v>
      </c>
      <c r="G64" s="2" t="s">
        <v>46</v>
      </c>
      <c r="H64" s="2" t="s">
        <v>23</v>
      </c>
      <c r="I64" s="7">
        <v>40071974</v>
      </c>
      <c r="J64" s="3" t="s">
        <v>901</v>
      </c>
      <c r="K64" s="131">
        <v>262063000</v>
      </c>
      <c r="L64" s="2" t="s">
        <v>49</v>
      </c>
      <c r="M64" s="15" t="s">
        <v>698</v>
      </c>
      <c r="N64" s="10">
        <v>46185</v>
      </c>
      <c r="O64" s="10">
        <v>46211</v>
      </c>
      <c r="P64" s="37">
        <f>IF(NETWORKDAYS(N64,O64,Feriados!$J$2:$J$22)-1&gt;=0,NETWORKDAYS(N64,O64,Feriados!$J$2:$J$22)-1,"NO APLICA")</f>
        <v>17</v>
      </c>
      <c r="Q64" s="10">
        <v>46255</v>
      </c>
      <c r="R64" s="9">
        <f t="shared" si="6"/>
        <v>46270</v>
      </c>
      <c r="S64" s="43">
        <v>46295</v>
      </c>
      <c r="T64" s="2">
        <v>15</v>
      </c>
      <c r="U64" s="9">
        <f>WORKDAY(Q64,T64,Feriados!$J$2:$J$22)</f>
        <v>46276</v>
      </c>
      <c r="V64" s="2">
        <f t="shared" si="5"/>
        <v>40</v>
      </c>
      <c r="W64" s="38">
        <f>IF(NETWORKDAYS(Q64,S64,Feriados!$J$2:$J$22)-1&gt;=0,NETWORKDAYS(Q64,S64,Feriados!$J$2:$J$22)-1,"NO APLICA")</f>
        <v>27</v>
      </c>
      <c r="X64" s="13">
        <f t="shared" ca="1" si="2"/>
        <v>-20</v>
      </c>
      <c r="Y64" s="3"/>
      <c r="Z64" s="2"/>
      <c r="AA64" s="85"/>
      <c r="AB64" s="88" t="s">
        <v>31</v>
      </c>
      <c r="AC64" s="3"/>
    </row>
    <row r="65" spans="1:29" s="60" customFormat="1" ht="28.5" hidden="1" x14ac:dyDescent="0.2">
      <c r="A65" s="105">
        <v>64</v>
      </c>
      <c r="B65" s="3">
        <v>29</v>
      </c>
      <c r="C65" s="36" t="str">
        <f>IF(ISERROR(VLOOKUP(I65,[1]DEP!$B$3:$E$583,1,FALSE)),"NO","SI")</f>
        <v>NO</v>
      </c>
      <c r="D65" s="2" t="str">
        <f>IF(ISERROR(VLOOKUP(I65,[2]FRG!$S$19:$U$288,1,FALSE)),"NO","SI")</f>
        <v>NO</v>
      </c>
      <c r="E65" s="2" t="str">
        <f>IF(ISERROR(VLOOKUP(I65,[3]DATOS_PREINVERSION!$O$3:$R$475,1,FALSE)),"NO","SI")</f>
        <v>SI</v>
      </c>
      <c r="F65" s="2" t="s">
        <v>568</v>
      </c>
      <c r="G65" s="2" t="s">
        <v>1</v>
      </c>
      <c r="H65" s="2" t="s">
        <v>842</v>
      </c>
      <c r="I65" s="7">
        <v>40079038</v>
      </c>
      <c r="J65" s="3" t="s">
        <v>902</v>
      </c>
      <c r="K65" s="133">
        <v>948811000</v>
      </c>
      <c r="L65" s="2" t="s">
        <v>49</v>
      </c>
      <c r="M65" s="15" t="s">
        <v>705</v>
      </c>
      <c r="N65" s="10">
        <v>46185</v>
      </c>
      <c r="O65" s="10">
        <v>46204</v>
      </c>
      <c r="P65" s="37">
        <f>IF(NETWORKDAYS(N65,O65,Feriados!$J$2:$J$22)-1&gt;=0,NETWORKDAYS(N65,O65,Feriados!$J$2:$J$22)-1,"NO APLICA")</f>
        <v>12</v>
      </c>
      <c r="Q65" s="10">
        <v>46246</v>
      </c>
      <c r="R65" s="9">
        <f t="shared" si="6"/>
        <v>46261</v>
      </c>
      <c r="S65" s="43">
        <v>46279</v>
      </c>
      <c r="T65" s="2">
        <v>15</v>
      </c>
      <c r="U65" s="9">
        <f>WORKDAY(Q65,T65,Feriados!$J$2:$J$22)</f>
        <v>46267</v>
      </c>
      <c r="V65" s="2">
        <f t="shared" si="5"/>
        <v>33</v>
      </c>
      <c r="W65" s="38">
        <f>IF(NETWORKDAYS(Q65,S65,Feriados!$J$2:$J$22)-1&gt;=0,NETWORKDAYS(Q65,S65,Feriados!$J$2:$J$22)-1,"NO APLICA")</f>
        <v>23</v>
      </c>
      <c r="X65" s="13">
        <f t="shared" ca="1" si="2"/>
        <v>-29</v>
      </c>
      <c r="Y65" s="3"/>
      <c r="Z65" s="2"/>
      <c r="AA65" s="85"/>
      <c r="AB65" s="88" t="s">
        <v>31</v>
      </c>
      <c r="AC65" s="3"/>
    </row>
    <row r="66" spans="1:29" ht="28.5" hidden="1" x14ac:dyDescent="0.2">
      <c r="A66" s="105">
        <v>65</v>
      </c>
      <c r="B66" s="2">
        <v>29</v>
      </c>
      <c r="C66" s="36" t="str">
        <f>IF(ISERROR(VLOOKUP(I66,[1]DEP!$B$3:$E$583,1,FALSE)),"NO","SI")</f>
        <v>NO</v>
      </c>
      <c r="D66" s="2" t="str">
        <f>IF(ISERROR(VLOOKUP(I66,[2]FRG!$S$19:$U$288,1,FALSE)),"NO","SI")</f>
        <v>SI</v>
      </c>
      <c r="E66" s="2" t="str">
        <f>IF(ISERROR(VLOOKUP(I66,[3]DATOS_PREINVERSION!$O$3:$R$475,1,FALSE)),"NO","SI")</f>
        <v>NO</v>
      </c>
      <c r="F66" s="2" t="s">
        <v>48</v>
      </c>
      <c r="G66" s="2" t="s">
        <v>72</v>
      </c>
      <c r="H66" s="2" t="s">
        <v>10</v>
      </c>
      <c r="I66" s="7">
        <v>40058788</v>
      </c>
      <c r="J66" s="3" t="s">
        <v>903</v>
      </c>
      <c r="K66" s="3">
        <v>172000000</v>
      </c>
      <c r="L66" s="2" t="s">
        <v>49</v>
      </c>
      <c r="M66" s="17" t="s">
        <v>62</v>
      </c>
      <c r="N66" s="10">
        <v>46188</v>
      </c>
      <c r="O66" s="10"/>
      <c r="P66" s="37" t="str">
        <f>IF(NETWORKDAYS(N66,O66,Feriados!$J$2:$J$22)-1&gt;=0,NETWORKDAYS(N66,O66,Feriados!$J$2:$J$22)-1,"NO APLICA")</f>
        <v>NO APLICA</v>
      </c>
      <c r="Q66" s="10">
        <v>46188</v>
      </c>
      <c r="R66" s="9">
        <f t="shared" si="6"/>
        <v>46198</v>
      </c>
      <c r="S66" s="43">
        <v>46195</v>
      </c>
      <c r="T66" s="2">
        <v>10</v>
      </c>
      <c r="U66" s="9">
        <f>WORKDAY(Q66,T66,Feriados!$J$2:$J$22)</f>
        <v>46203</v>
      </c>
      <c r="V66" s="2">
        <f t="shared" si="5"/>
        <v>7</v>
      </c>
      <c r="W66" s="38">
        <f>IF(NETWORKDAYS(Q66,S66,Feriados!$J$2:$J$22)-1&gt;=0,NETWORKDAYS(Q66,S66,Feriados!$J$2:$J$22)-1,"NO APLICA")</f>
        <v>5</v>
      </c>
      <c r="X66" s="13">
        <f ca="1">SUM(U66-TODAY())</f>
        <v>-93</v>
      </c>
      <c r="Y66" s="2" t="s">
        <v>655</v>
      </c>
      <c r="Z66" s="2" t="s">
        <v>164</v>
      </c>
      <c r="AA66" s="57"/>
      <c r="AB66" s="88" t="s">
        <v>32</v>
      </c>
      <c r="AC66" s="2"/>
    </row>
    <row r="67" spans="1:29" ht="28.5" hidden="1" x14ac:dyDescent="0.2">
      <c r="A67" s="105">
        <v>66</v>
      </c>
      <c r="B67" s="2">
        <v>29</v>
      </c>
      <c r="C67" s="36" t="str">
        <f>IF(ISERROR(VLOOKUP(I67,[1]DEP!$B$3:$E$583,1,FALSE)),"NO","SI")</f>
        <v>NO</v>
      </c>
      <c r="D67" s="2" t="str">
        <f>IF(ISERROR(VLOOKUP(I67,[2]FRG!$S$19:$U$288,1,FALSE)),"NO","SI")</f>
        <v>SI</v>
      </c>
      <c r="E67" s="2" t="str">
        <f>IF(ISERROR(VLOOKUP(I67,[3]DATOS_PREINVERSION!$O$3:$R$475,1,FALSE)),"NO","SI")</f>
        <v>NO</v>
      </c>
      <c r="F67" s="2" t="s">
        <v>179</v>
      </c>
      <c r="G67" s="2" t="s">
        <v>179</v>
      </c>
      <c r="H67" s="2" t="s">
        <v>91</v>
      </c>
      <c r="I67" s="7">
        <v>40058220</v>
      </c>
      <c r="J67" s="91" t="s">
        <v>904</v>
      </c>
      <c r="K67" s="3">
        <v>244867000</v>
      </c>
      <c r="L67" s="2" t="s">
        <v>49</v>
      </c>
      <c r="M67" s="17" t="s">
        <v>62</v>
      </c>
      <c r="N67" s="10"/>
      <c r="O67" s="10"/>
      <c r="P67" s="37" t="str">
        <f>IF(NETWORKDAYS(N67,O67,Feriados!$J$2:$J$22)-1&gt;=0,NETWORKDAYS(N67,O67,Feriados!$J$2:$J$22)-1,"NO APLICA")</f>
        <v>NO APLICA</v>
      </c>
      <c r="Q67" s="10">
        <v>46205</v>
      </c>
      <c r="R67" s="9">
        <f t="shared" si="6"/>
        <v>46215</v>
      </c>
      <c r="S67" s="43">
        <v>46209</v>
      </c>
      <c r="T67" s="2">
        <v>10</v>
      </c>
      <c r="U67" s="9">
        <f>WORKDAY(Q67,T67,Feriados!$J$2:$J$22)</f>
        <v>46220</v>
      </c>
      <c r="V67" s="2">
        <f t="shared" ref="V67:V84" si="7">+S67-Q67</f>
        <v>4</v>
      </c>
      <c r="W67" s="38">
        <f>IF(NETWORKDAYS(Q67,S67,Feriados!$J$2:$J$22)-1&gt;=0,NETWORKDAYS(Q67,S67,Feriados!$J$2:$J$22)-1,"NO APLICA")</f>
        <v>2</v>
      </c>
      <c r="X67" s="13">
        <f ca="1">SUM(U67-TODAY())</f>
        <v>-76</v>
      </c>
      <c r="Y67" s="3" t="s">
        <v>654</v>
      </c>
      <c r="Z67" s="48" t="s">
        <v>413</v>
      </c>
      <c r="AA67" s="65"/>
      <c r="AB67" s="88" t="s">
        <v>32</v>
      </c>
      <c r="AC67" s="2"/>
    </row>
    <row r="68" spans="1:29" s="60" customFormat="1" ht="57" hidden="1" x14ac:dyDescent="0.2">
      <c r="A68" s="105">
        <v>67</v>
      </c>
      <c r="B68" s="3">
        <v>29</v>
      </c>
      <c r="C68" s="36" t="str">
        <f>IF(ISERROR(VLOOKUP(I68,[1]DEP!$B$3:$E$583,1,FALSE)),"NO","SI")</f>
        <v>NO</v>
      </c>
      <c r="D68" s="2" t="str">
        <f>IF(ISERROR(VLOOKUP(I68,[2]FRG!$S$19:$U$288,1,FALSE)),"NO","SI")</f>
        <v>NO</v>
      </c>
      <c r="E68" s="2" t="str">
        <f>IF(ISERROR(VLOOKUP(I68,[3]DATOS_PREINVERSION!$O$3:$R$475,1,FALSE)),"NO","SI")</f>
        <v>NO</v>
      </c>
      <c r="F68" s="2" t="s">
        <v>42</v>
      </c>
      <c r="G68" s="2" t="s">
        <v>71</v>
      </c>
      <c r="H68" s="2" t="s">
        <v>20</v>
      </c>
      <c r="I68" s="7">
        <v>40066529</v>
      </c>
      <c r="J68" s="3" t="s">
        <v>905</v>
      </c>
      <c r="K68" s="3">
        <v>250000000</v>
      </c>
      <c r="L68" s="2" t="s">
        <v>49</v>
      </c>
      <c r="M68" s="17" t="s">
        <v>705</v>
      </c>
      <c r="N68" s="10">
        <v>46197</v>
      </c>
      <c r="O68" s="10">
        <v>46245</v>
      </c>
      <c r="P68" s="37">
        <f>IF(NETWORKDAYS(N68,O68,Feriados!$J$2:$J$22)-1&gt;=0,NETWORKDAYS(N68,O68,Feriados!$J$2:$J$22)-1,"NO APLICA")</f>
        <v>32</v>
      </c>
      <c r="Q68" s="10">
        <v>46230</v>
      </c>
      <c r="R68" s="9">
        <f t="shared" si="6"/>
        <v>46240</v>
      </c>
      <c r="S68" s="43">
        <v>46245</v>
      </c>
      <c r="T68" s="2">
        <v>10</v>
      </c>
      <c r="U68" s="9">
        <f>WORKDAY(Q68,T68,Feriados!$J$2:$J$22)</f>
        <v>46244</v>
      </c>
      <c r="V68" s="2">
        <f t="shared" si="7"/>
        <v>15</v>
      </c>
      <c r="W68" s="38">
        <f>IF(NETWORKDAYS(Q68,S68,Feriados!$J$2:$J$22)-1&gt;=0,NETWORKDAYS(Q68,S68,Feriados!$J$2:$J$22)-1,"NO APLICA")</f>
        <v>11</v>
      </c>
      <c r="X68" s="13">
        <f ca="1">SUM(U68-TODAY())</f>
        <v>-52</v>
      </c>
      <c r="Y68" s="2" t="s">
        <v>731</v>
      </c>
      <c r="Z68" s="2" t="s">
        <v>152</v>
      </c>
      <c r="AA68" s="85"/>
      <c r="AB68" s="88" t="s">
        <v>32</v>
      </c>
      <c r="AC68" s="3" t="s">
        <v>542</v>
      </c>
    </row>
    <row r="69" spans="1:29" s="60" customFormat="1" ht="28.5" x14ac:dyDescent="0.2">
      <c r="A69" s="105">
        <v>68</v>
      </c>
      <c r="B69" s="3">
        <v>29</v>
      </c>
      <c r="C69" s="36" t="str">
        <f>IF(ISERROR(VLOOKUP(I69,[1]DEP!$B$3:$E$583,1,FALSE)),"NO","SI")</f>
        <v>NO</v>
      </c>
      <c r="D69" s="2" t="str">
        <f>IF(ISERROR(VLOOKUP(I69,[2]FRG!$S$19:$U$288,1,FALSE)),"NO","SI")</f>
        <v>NO</v>
      </c>
      <c r="E69" s="2" t="str">
        <f>IF(ISERROR(VLOOKUP(I69,[3]DATOS_PREINVERSION!$O$3:$R$475,1,FALSE)),"NO","SI")</f>
        <v>SI</v>
      </c>
      <c r="F69" s="2" t="s">
        <v>42</v>
      </c>
      <c r="G69" s="2" t="s">
        <v>71</v>
      </c>
      <c r="H69" s="2" t="s">
        <v>20</v>
      </c>
      <c r="I69" s="7">
        <v>40081090</v>
      </c>
      <c r="J69" s="3" t="s">
        <v>906</v>
      </c>
      <c r="K69" s="3"/>
      <c r="L69" s="2" t="s">
        <v>49</v>
      </c>
      <c r="M69" s="15" t="s">
        <v>63</v>
      </c>
      <c r="N69" s="10">
        <v>46199</v>
      </c>
      <c r="O69" s="10">
        <v>46227</v>
      </c>
      <c r="P69" s="37">
        <f>IF(NETWORKDAYS(N69,O69,Feriados!$J$2:$J$22)-1&gt;=0,NETWORKDAYS(N69,O69,Feriados!$J$2:$J$22)-1,"NO APLICA")</f>
        <v>18</v>
      </c>
      <c r="Q69" s="10">
        <v>46268</v>
      </c>
      <c r="R69" s="9">
        <f t="shared" si="6"/>
        <v>46283</v>
      </c>
      <c r="S69" s="43">
        <v>46227</v>
      </c>
      <c r="T69" s="2">
        <v>15</v>
      </c>
      <c r="U69" s="9">
        <f>WORKDAY(Q69,T69,Feriados!$J$2:$J$22)</f>
        <v>46290</v>
      </c>
      <c r="V69" s="2">
        <f t="shared" si="7"/>
        <v>-41</v>
      </c>
      <c r="W69" s="38" t="str">
        <f>IF(NETWORKDAYS(Q69,S69,Feriados!$J$2:$J$22)-1&gt;=0,NETWORKDAYS(Q69,S69,Feriados!$J$2:$J$22)-1,"NO APLICA")</f>
        <v>NO APLICA</v>
      </c>
      <c r="X69" s="13">
        <f ca="1">SUM(U69-TODAY())</f>
        <v>-6</v>
      </c>
      <c r="Y69" s="3"/>
      <c r="Z69" s="2"/>
      <c r="AA69" s="85"/>
      <c r="AB69" s="88" t="s">
        <v>31</v>
      </c>
      <c r="AC69" s="3"/>
    </row>
    <row r="70" spans="1:29" s="60" customFormat="1" ht="28.5" hidden="1" x14ac:dyDescent="0.2">
      <c r="A70" s="105">
        <v>70</v>
      </c>
      <c r="B70" s="3">
        <v>29</v>
      </c>
      <c r="C70" s="36" t="str">
        <f>IF(ISERROR(VLOOKUP(I70,[1]DEP!$B$3:$E$583,1,FALSE)),"NO","SI")</f>
        <v>NO</v>
      </c>
      <c r="D70" s="2" t="str">
        <f>IF(ISERROR(VLOOKUP(I70,[2]FRG!$S$19:$U$288,1,FALSE)),"NO","SI")</f>
        <v>NO</v>
      </c>
      <c r="E70" s="2" t="str">
        <f>IF(ISERROR(VLOOKUP(I70,[3]DATOS_PREINVERSION!$O$3:$R$475,1,FALSE)),"NO","SI")</f>
        <v>SI</v>
      </c>
      <c r="F70" s="2" t="s">
        <v>42</v>
      </c>
      <c r="G70" s="2" t="s">
        <v>3</v>
      </c>
      <c r="H70" s="2" t="s">
        <v>30</v>
      </c>
      <c r="I70" s="7">
        <v>40081394</v>
      </c>
      <c r="J70" s="3" t="s">
        <v>910</v>
      </c>
      <c r="K70" s="131">
        <v>208250000</v>
      </c>
      <c r="L70" s="2" t="s">
        <v>49</v>
      </c>
      <c r="M70" s="15" t="s">
        <v>74</v>
      </c>
      <c r="N70" s="10">
        <v>46203</v>
      </c>
      <c r="O70" s="10">
        <v>46233</v>
      </c>
      <c r="P70" s="37">
        <f>IF(NETWORKDAYS(N70,O70,Feriados!$J$2:$J$22)-1&gt;=0,NETWORKDAYS(N70,O70,Feriados!$J$2:$J$22)-1,"NO APLICA")</f>
        <v>21</v>
      </c>
      <c r="Q70" s="10">
        <v>46203</v>
      </c>
      <c r="R70" s="9">
        <f t="shared" si="6"/>
        <v>46218</v>
      </c>
      <c r="S70" s="43">
        <v>46233</v>
      </c>
      <c r="T70" s="2">
        <v>15</v>
      </c>
      <c r="U70" s="9">
        <f>WORKDAY(Q70,T70,Feriados!$J$2:$J$22)</f>
        <v>46225</v>
      </c>
      <c r="V70" s="2">
        <f t="shared" si="7"/>
        <v>30</v>
      </c>
      <c r="W70" s="38">
        <f>IF(NETWORKDAYS(Q70,S70,Feriados!$J$2:$J$22)-1&gt;=0,NETWORKDAYS(Q70,S70,Feriados!$J$2:$J$22)-1,"NO APLICA")</f>
        <v>21</v>
      </c>
      <c r="X70" s="13">
        <f t="shared" ref="X70:X77" ca="1" si="8">SUM(U70-TODAY())</f>
        <v>-71</v>
      </c>
      <c r="Y70" s="3"/>
      <c r="Z70" s="2"/>
      <c r="AA70" s="85"/>
      <c r="AB70" s="88" t="s">
        <v>31</v>
      </c>
      <c r="AC70" s="3"/>
    </row>
    <row r="71" spans="1:29" s="60" customFormat="1" ht="28.5" hidden="1" x14ac:dyDescent="0.2">
      <c r="A71" s="105">
        <v>71</v>
      </c>
      <c r="B71" s="3">
        <v>29</v>
      </c>
      <c r="C71" s="36" t="str">
        <f>IF(ISERROR(VLOOKUP(I71,[1]DEP!$B$3:$E$583,1,FALSE)),"NO","SI")</f>
        <v>NO</v>
      </c>
      <c r="D71" s="2" t="str">
        <f>IF(ISERROR(VLOOKUP(I71,[2]FRG!$S$19:$U$288,1,FALSE)),"NO","SI")</f>
        <v>NO</v>
      </c>
      <c r="E71" s="2" t="str">
        <f>IF(ISERROR(VLOOKUP(I71,[3]DATOS_PREINVERSION!$O$3:$R$475,1,FALSE)),"NO","SI")</f>
        <v>SI</v>
      </c>
      <c r="F71" s="2" t="s">
        <v>42</v>
      </c>
      <c r="G71" s="2" t="s">
        <v>65</v>
      </c>
      <c r="H71" s="2" t="s">
        <v>30</v>
      </c>
      <c r="I71" s="7">
        <v>40081395</v>
      </c>
      <c r="J71" s="3" t="s">
        <v>908</v>
      </c>
      <c r="K71" s="131">
        <v>208250000</v>
      </c>
      <c r="L71" s="2" t="s">
        <v>49</v>
      </c>
      <c r="M71" s="15" t="s">
        <v>698</v>
      </c>
      <c r="N71" s="10">
        <v>46203</v>
      </c>
      <c r="O71" s="10">
        <v>46244</v>
      </c>
      <c r="P71" s="37">
        <f>IF(NETWORKDAYS(N71,O71,Feriados!$J$2:$J$22)-1&gt;=0,NETWORKDAYS(N71,O71,Feriados!$J$2:$J$22)-1,"NO APLICA")</f>
        <v>28</v>
      </c>
      <c r="Q71" s="10">
        <v>46203</v>
      </c>
      <c r="R71" s="9">
        <f t="shared" si="6"/>
        <v>46218</v>
      </c>
      <c r="S71" s="43">
        <v>46244</v>
      </c>
      <c r="T71" s="2">
        <v>15</v>
      </c>
      <c r="U71" s="9">
        <f>WORKDAY(Q71,T71,Feriados!$J$2:$J$22)</f>
        <v>46225</v>
      </c>
      <c r="V71" s="2">
        <f t="shared" si="7"/>
        <v>41</v>
      </c>
      <c r="W71" s="38">
        <f>IF(NETWORKDAYS(Q71,S71,Feriados!$J$2:$J$22)-1&gt;=0,NETWORKDAYS(Q71,S71,Feriados!$J$2:$J$22)-1,"NO APLICA")</f>
        <v>28</v>
      </c>
      <c r="X71" s="13">
        <f t="shared" ca="1" si="8"/>
        <v>-71</v>
      </c>
      <c r="Y71" s="3"/>
      <c r="Z71" s="2"/>
      <c r="AA71" s="85"/>
      <c r="AB71" s="88" t="s">
        <v>31</v>
      </c>
      <c r="AC71" s="3"/>
    </row>
    <row r="72" spans="1:29" s="60" customFormat="1" ht="28.5" hidden="1" x14ac:dyDescent="0.2">
      <c r="A72" s="105">
        <v>72</v>
      </c>
      <c r="B72" s="3">
        <v>29</v>
      </c>
      <c r="C72" s="36" t="str">
        <f>IF(ISERROR(VLOOKUP(I72,[1]DEP!$B$3:$E$583,1,FALSE)),"NO","SI")</f>
        <v>NO</v>
      </c>
      <c r="D72" s="2" t="str">
        <f>IF(ISERROR(VLOOKUP(I72,[2]FRG!$S$19:$U$288,1,FALSE)),"NO","SI")</f>
        <v>NO</v>
      </c>
      <c r="E72" s="2" t="str">
        <f>IF(ISERROR(VLOOKUP(I72,[3]DATOS_PREINVERSION!$O$3:$R$475,1,FALSE)),"NO","SI")</f>
        <v>SI</v>
      </c>
      <c r="F72" s="2" t="s">
        <v>42</v>
      </c>
      <c r="G72" s="2" t="s">
        <v>42</v>
      </c>
      <c r="H72" s="2" t="s">
        <v>30</v>
      </c>
      <c r="I72" s="7">
        <v>40081397</v>
      </c>
      <c r="J72" s="3" t="s">
        <v>909</v>
      </c>
      <c r="K72" s="131">
        <v>286139000</v>
      </c>
      <c r="L72" s="2" t="s">
        <v>49</v>
      </c>
      <c r="M72" s="15" t="s">
        <v>698</v>
      </c>
      <c r="N72" s="10">
        <v>46203</v>
      </c>
      <c r="O72" s="10">
        <v>46253</v>
      </c>
      <c r="P72" s="37">
        <f>IF(NETWORKDAYS(N72,O72,Feriados!$J$2:$J$22)-1&gt;=0,NETWORKDAYS(N72,O72,Feriados!$J$2:$J$22)-1,"NO APLICA")</f>
        <v>35</v>
      </c>
      <c r="Q72" s="10">
        <v>46203</v>
      </c>
      <c r="R72" s="9">
        <f t="shared" ref="R72:R77" si="9">+Q72+T72</f>
        <v>46218</v>
      </c>
      <c r="S72" s="43">
        <v>46253</v>
      </c>
      <c r="T72" s="2">
        <v>15</v>
      </c>
      <c r="U72" s="9">
        <f>WORKDAY(Q72,T72,Feriados!$J$2:$J$22)</f>
        <v>46225</v>
      </c>
      <c r="V72" s="2">
        <f t="shared" si="7"/>
        <v>50</v>
      </c>
      <c r="W72" s="38">
        <f>IF(NETWORKDAYS(Q72,S72,Feriados!$J$2:$J$22)-1&gt;=0,NETWORKDAYS(Q72,S72,Feriados!$J$2:$J$22)-1,"NO APLICA")</f>
        <v>35</v>
      </c>
      <c r="X72" s="13">
        <f t="shared" ca="1" si="8"/>
        <v>-71</v>
      </c>
      <c r="Y72" s="3"/>
      <c r="Z72" s="2"/>
      <c r="AA72" s="85"/>
      <c r="AB72" s="88" t="s">
        <v>31</v>
      </c>
      <c r="AC72" s="3"/>
    </row>
    <row r="73" spans="1:29" s="60" customFormat="1" ht="28.5" hidden="1" x14ac:dyDescent="0.2">
      <c r="A73" s="105">
        <v>73</v>
      </c>
      <c r="B73" s="3">
        <v>29</v>
      </c>
      <c r="C73" s="36" t="str">
        <f>IF(ISERROR(VLOOKUP(I73,[1]DEP!$B$3:$E$583,1,FALSE)),"NO","SI")</f>
        <v>NO</v>
      </c>
      <c r="D73" s="2" t="str">
        <f>IF(ISERROR(VLOOKUP(I73,[2]FRG!$S$19:$U$288,1,FALSE)),"NO","SI")</f>
        <v>NO</v>
      </c>
      <c r="E73" s="2" t="str">
        <f>IF(ISERROR(VLOOKUP(I73,[3]DATOS_PREINVERSION!$O$3:$R$475,1,FALSE)),"NO","SI")</f>
        <v>NO</v>
      </c>
      <c r="F73" s="2" t="s">
        <v>568</v>
      </c>
      <c r="G73" s="2" t="s">
        <v>707</v>
      </c>
      <c r="H73" s="2" t="s">
        <v>482</v>
      </c>
      <c r="I73" s="7">
        <v>40081412</v>
      </c>
      <c r="J73" s="3" t="s">
        <v>915</v>
      </c>
      <c r="K73" s="131">
        <v>509183000</v>
      </c>
      <c r="L73" s="2" t="s">
        <v>49</v>
      </c>
      <c r="M73" s="15" t="s">
        <v>698</v>
      </c>
      <c r="N73" s="10">
        <v>46203</v>
      </c>
      <c r="O73" s="10">
        <v>46240</v>
      </c>
      <c r="P73" s="37">
        <f>IF(NETWORKDAYS(N73,O73,Feriados!$J$2:$J$22)-1&gt;=0,NETWORKDAYS(N73,O73,Feriados!$J$2:$J$22)-1,"NO APLICA")</f>
        <v>26</v>
      </c>
      <c r="Q73" s="10">
        <v>46203</v>
      </c>
      <c r="R73" s="9">
        <f t="shared" si="9"/>
        <v>46218</v>
      </c>
      <c r="S73" s="43">
        <v>46240</v>
      </c>
      <c r="T73" s="2">
        <v>15</v>
      </c>
      <c r="U73" s="9">
        <f>WORKDAY(Q73,T73,Feriados!$J$2:$J$22)</f>
        <v>46225</v>
      </c>
      <c r="V73" s="2">
        <f t="shared" si="7"/>
        <v>37</v>
      </c>
      <c r="W73" s="38">
        <f>IF(NETWORKDAYS(Q73,S73,Feriados!$J$2:$J$22)-1&gt;=0,NETWORKDAYS(Q73,S73,Feriados!$J$2:$J$22)-1,"NO APLICA")</f>
        <v>26</v>
      </c>
      <c r="X73" s="13">
        <f t="shared" ca="1" si="8"/>
        <v>-71</v>
      </c>
      <c r="Y73" s="3"/>
      <c r="Z73" s="2"/>
      <c r="AA73" s="85"/>
      <c r="AB73" s="88" t="s">
        <v>31</v>
      </c>
      <c r="AC73" s="3"/>
    </row>
    <row r="74" spans="1:29" ht="28.5" x14ac:dyDescent="0.2">
      <c r="A74" s="105">
        <v>74</v>
      </c>
      <c r="B74" s="2">
        <v>29</v>
      </c>
      <c r="C74" s="36" t="str">
        <f>IF(ISERROR(VLOOKUP(I74,[1]DEP!$B$3:$E$583,1,FALSE)),"NO","SI")</f>
        <v>NO</v>
      </c>
      <c r="D74" s="2" t="str">
        <f>IF(ISERROR(VLOOKUP(I74,[2]FRG!$S$19:$U$288,1,FALSE)),"NO","SI")</f>
        <v>NO</v>
      </c>
      <c r="E74" s="2" t="str">
        <f>IF(ISERROR(VLOOKUP(I74,[3]DATOS_PREINVERSION!$O$3:$R$475,1,FALSE)),"NO","SI")</f>
        <v>SI</v>
      </c>
      <c r="F74" s="2" t="s">
        <v>45</v>
      </c>
      <c r="G74" s="2" t="s">
        <v>66</v>
      </c>
      <c r="H74" s="2" t="s">
        <v>28</v>
      </c>
      <c r="I74" s="44">
        <v>40058484</v>
      </c>
      <c r="J74" s="3" t="s">
        <v>638</v>
      </c>
      <c r="K74" s="131">
        <v>612767000</v>
      </c>
      <c r="L74" s="2" t="s">
        <v>49</v>
      </c>
      <c r="M74" s="15" t="s">
        <v>63</v>
      </c>
      <c r="N74" s="10">
        <v>46210</v>
      </c>
      <c r="O74" s="10">
        <v>46252</v>
      </c>
      <c r="P74" s="37">
        <f>IF(NETWORKDAYS(N74,O74,Feriados!$J$2:$J$22)-1&gt;=0,NETWORKDAYS(N74,O74,Feriados!$J$2:$J$22)-1,"NO APLICA")</f>
        <v>29</v>
      </c>
      <c r="Q74" s="10">
        <v>46279</v>
      </c>
      <c r="R74" s="9">
        <f t="shared" si="9"/>
        <v>46294</v>
      </c>
      <c r="S74" s="43">
        <v>46252</v>
      </c>
      <c r="T74" s="2">
        <v>15</v>
      </c>
      <c r="U74" s="9">
        <f>WORKDAY(Q74,T74,Feriados!$J$2:$J$22)</f>
        <v>46301</v>
      </c>
      <c r="V74" s="2">
        <f t="shared" si="7"/>
        <v>-27</v>
      </c>
      <c r="W74" s="38" t="str">
        <f>IF(NETWORKDAYS(Q74,S74,Feriados!$J$2:$J$22)-1&gt;=0,NETWORKDAYS(Q74,S74,Feriados!$J$2:$J$22)-1,"NO APLICA")</f>
        <v>NO APLICA</v>
      </c>
      <c r="X74" s="13">
        <f t="shared" ca="1" si="8"/>
        <v>5</v>
      </c>
      <c r="Y74" s="3"/>
      <c r="Z74" s="12" t="s">
        <v>383</v>
      </c>
      <c r="AA74" s="64"/>
      <c r="AB74" s="88" t="s">
        <v>31</v>
      </c>
      <c r="AC74" s="2"/>
    </row>
    <row r="75" spans="1:29" ht="28.5" x14ac:dyDescent="0.2">
      <c r="A75" s="105">
        <v>75</v>
      </c>
      <c r="B75" s="2">
        <v>29</v>
      </c>
      <c r="C75" s="36" t="str">
        <f>IF(ISERROR(VLOOKUP(I75,[1]DEP!$B$3:$E$583,1,FALSE)),"NO","SI")</f>
        <v>NO</v>
      </c>
      <c r="D75" s="2" t="str">
        <f>IF(ISERROR(VLOOKUP(I75,[2]FRG!$S$19:$U$288,1,FALSE)),"NO","SI")</f>
        <v>NO</v>
      </c>
      <c r="E75" s="2" t="str">
        <f>IF(ISERROR(VLOOKUP(I75,[3]DATOS_PREINVERSION!$O$3:$R$475,1,FALSE)),"NO","SI")</f>
        <v>SI</v>
      </c>
      <c r="F75" s="2" t="s">
        <v>47</v>
      </c>
      <c r="G75" s="2" t="s">
        <v>395</v>
      </c>
      <c r="H75" s="2" t="s">
        <v>406</v>
      </c>
      <c r="I75" s="7">
        <v>40050856</v>
      </c>
      <c r="J75" s="3" t="s">
        <v>363</v>
      </c>
      <c r="K75" s="131">
        <v>481375000</v>
      </c>
      <c r="L75" s="2" t="s">
        <v>49</v>
      </c>
      <c r="M75" s="15" t="s">
        <v>63</v>
      </c>
      <c r="N75" s="10">
        <v>46210</v>
      </c>
      <c r="O75" s="10">
        <v>46251</v>
      </c>
      <c r="P75" s="37">
        <f>IF(NETWORKDAYS(N75,O75,Feriados!$J$2:$J$22)-1&gt;=0,NETWORKDAYS(N75,O75,Feriados!$J$2:$J$22)-1,"NO APLICA")</f>
        <v>28</v>
      </c>
      <c r="Q75" s="10">
        <v>46289</v>
      </c>
      <c r="R75" s="9">
        <f t="shared" si="9"/>
        <v>46304</v>
      </c>
      <c r="S75" s="43">
        <v>46280</v>
      </c>
      <c r="T75" s="2">
        <v>15</v>
      </c>
      <c r="U75" s="9">
        <f>WORKDAY(Q75,T75,Feriados!$J$2:$J$22)</f>
        <v>46311</v>
      </c>
      <c r="V75" s="2">
        <f t="shared" si="7"/>
        <v>-9</v>
      </c>
      <c r="W75" s="38" t="str">
        <f>IF(NETWORKDAYS(Q75,S75,Feriados!$J$2:$J$22)-1&gt;=0,NETWORKDAYS(Q75,S75,Feriados!$J$2:$J$22)-1,"NO APLICA")</f>
        <v>NO APLICA</v>
      </c>
      <c r="X75" s="13">
        <f t="shared" ca="1" si="8"/>
        <v>15</v>
      </c>
      <c r="Y75" s="2" t="s">
        <v>502</v>
      </c>
      <c r="Z75" s="2" t="s">
        <v>169</v>
      </c>
      <c r="AA75" s="3">
        <v>3339</v>
      </c>
      <c r="AB75" s="88" t="s">
        <v>31</v>
      </c>
      <c r="AC75" s="2"/>
    </row>
    <row r="76" spans="1:29" ht="28.5" hidden="1" x14ac:dyDescent="0.2">
      <c r="A76" s="105">
        <v>76</v>
      </c>
      <c r="B76" s="2">
        <v>29</v>
      </c>
      <c r="C76" s="36" t="str">
        <f>IF(ISERROR(VLOOKUP(I76,[1]DEP!$B$3:$E$583,1,FALSE)),"NO","SI")</f>
        <v>NO</v>
      </c>
      <c r="D76" s="2" t="str">
        <f>IF(ISERROR(VLOOKUP(I76,[2]FRG!$S$19:$U$288,1,FALSE)),"NO","SI")</f>
        <v>NO</v>
      </c>
      <c r="E76" s="2" t="str">
        <f>IF(ISERROR(VLOOKUP(I76,[3]DATOS_PREINVERSION!$O$3:$R$475,1,FALSE)),"NO","SI")</f>
        <v>NO</v>
      </c>
      <c r="F76" s="2" t="s">
        <v>42</v>
      </c>
      <c r="G76" s="2" t="s">
        <v>43</v>
      </c>
      <c r="H76" s="2" t="s">
        <v>26</v>
      </c>
      <c r="I76" s="44">
        <v>40074484</v>
      </c>
      <c r="J76" s="3" t="s">
        <v>911</v>
      </c>
      <c r="K76" s="131">
        <v>534737000</v>
      </c>
      <c r="L76" s="2" t="s">
        <v>49</v>
      </c>
      <c r="M76" s="15" t="s">
        <v>698</v>
      </c>
      <c r="N76" s="10">
        <v>46216</v>
      </c>
      <c r="O76" s="10">
        <v>46258</v>
      </c>
      <c r="P76" s="37">
        <f>IF(NETWORKDAYS(N76,O76,Feriados!$J$2:$J$22)-1&gt;=0,NETWORKDAYS(N76,O76,Feriados!$J$2:$J$22)-1,"NO APLICA")</f>
        <v>29</v>
      </c>
      <c r="Q76" s="10">
        <v>46216</v>
      </c>
      <c r="R76" s="9">
        <f t="shared" si="9"/>
        <v>46231</v>
      </c>
      <c r="S76" s="43">
        <v>46258</v>
      </c>
      <c r="T76" s="2">
        <v>15</v>
      </c>
      <c r="U76" s="9">
        <f>WORKDAY(Q76,T76,Feriados!$J$2:$J$22)</f>
        <v>46238</v>
      </c>
      <c r="V76" s="2">
        <f t="shared" si="7"/>
        <v>42</v>
      </c>
      <c r="W76" s="38">
        <f>IF(NETWORKDAYS(Q76,S76,Feriados!$J$2:$J$22)-1&gt;=0,NETWORKDAYS(Q76,S76,Feriados!$J$2:$J$22)-1,"NO APLICA")</f>
        <v>29</v>
      </c>
      <c r="X76" s="13">
        <f t="shared" ca="1" si="8"/>
        <v>-58</v>
      </c>
      <c r="Y76" s="3"/>
      <c r="Z76" s="12" t="s">
        <v>152</v>
      </c>
      <c r="AA76" s="64"/>
      <c r="AB76" s="88" t="s">
        <v>31</v>
      </c>
      <c r="AC76" s="2"/>
    </row>
    <row r="77" spans="1:29" ht="42.75" hidden="1" x14ac:dyDescent="0.2">
      <c r="A77" s="105">
        <v>77</v>
      </c>
      <c r="B77" s="2">
        <v>29</v>
      </c>
      <c r="C77" s="36" t="str">
        <f>IF(ISERROR(VLOOKUP(I77,[1]DEP!$B$3:$E$583,1,FALSE)),"NO","SI")</f>
        <v>NO</v>
      </c>
      <c r="D77" s="2" t="str">
        <f>IF(ISERROR(VLOOKUP(I77,[2]FRG!$S$19:$U$288,1,FALSE)),"NO","SI")</f>
        <v>SI</v>
      </c>
      <c r="E77" s="2" t="str">
        <f>IF(ISERROR(VLOOKUP(I77,[3]DATOS_PREINVERSION!$O$3:$R$475,1,FALSE)),"NO","SI")</f>
        <v>SI</v>
      </c>
      <c r="F77" s="2" t="s">
        <v>45</v>
      </c>
      <c r="G77" s="2" t="s">
        <v>51</v>
      </c>
      <c r="H77" s="2" t="s">
        <v>78</v>
      </c>
      <c r="I77" s="7">
        <v>40046863</v>
      </c>
      <c r="J77" s="3" t="s">
        <v>511</v>
      </c>
      <c r="K77" s="3">
        <v>2208718280</v>
      </c>
      <c r="L77" s="2" t="s">
        <v>49</v>
      </c>
      <c r="M77" s="17" t="s">
        <v>698</v>
      </c>
      <c r="N77" s="10"/>
      <c r="O77" s="10"/>
      <c r="P77" s="37" t="str">
        <f>IF(NETWORKDAYS(N77,O77,Feriados!$J$2:$J$22)-1&gt;=0,NETWORKDAYS(N77,O77,Feriados!$J$2:$J$22)-1,"NO APLICA")</f>
        <v>NO APLICA</v>
      </c>
      <c r="Q77" s="10">
        <v>46226</v>
      </c>
      <c r="R77" s="9">
        <f t="shared" si="9"/>
        <v>46236</v>
      </c>
      <c r="S77" s="43">
        <v>46253</v>
      </c>
      <c r="T77" s="2">
        <v>10</v>
      </c>
      <c r="U77" s="9">
        <f>WORKDAY(Q77,T77,Feriados!$J$2:$J$22)</f>
        <v>46240</v>
      </c>
      <c r="V77" s="2">
        <f t="shared" si="7"/>
        <v>27</v>
      </c>
      <c r="W77" s="38">
        <f>IF(NETWORKDAYS(Q77,S77,Feriados!$J$2:$J$22)-1&gt;=0,NETWORKDAYS(Q77,S77,Feriados!$J$2:$J$22)-1,"NO APLICA")</f>
        <v>19</v>
      </c>
      <c r="X77" s="13">
        <f t="shared" ca="1" si="8"/>
        <v>-56</v>
      </c>
      <c r="Y77" s="2" t="s">
        <v>313</v>
      </c>
      <c r="Z77" s="48" t="s">
        <v>172</v>
      </c>
      <c r="AA77" s="65">
        <v>397983</v>
      </c>
      <c r="AB77" s="88" t="s">
        <v>32</v>
      </c>
      <c r="AC77" s="57"/>
    </row>
    <row r="78" spans="1:29" ht="28.5" x14ac:dyDescent="0.2">
      <c r="A78" s="105">
        <v>78</v>
      </c>
      <c r="B78" s="2">
        <v>29</v>
      </c>
      <c r="C78" s="36" t="str">
        <f>IF(ISERROR(VLOOKUP(I78,[1]DEP!$B$3:$E$583,1,FALSE)),"NO","SI")</f>
        <v>NO</v>
      </c>
      <c r="D78" s="2" t="str">
        <f>IF(ISERROR(VLOOKUP(I78,[2]FRG!$S$19:$U$288,1,FALSE)),"NO","SI")</f>
        <v>NO</v>
      </c>
      <c r="E78" s="2" t="str">
        <f>IF(ISERROR(VLOOKUP(I78,[3]DATOS_PREINVERSION!$O$3:$R$475,1,FALSE)),"NO","SI")</f>
        <v>NO</v>
      </c>
      <c r="F78" s="2" t="s">
        <v>48</v>
      </c>
      <c r="G78" s="2" t="s">
        <v>69</v>
      </c>
      <c r="H78" s="2" t="s">
        <v>78</v>
      </c>
      <c r="I78" s="7">
        <v>40071986</v>
      </c>
      <c r="J78" s="3" t="s">
        <v>810</v>
      </c>
      <c r="K78" s="131">
        <v>503099000</v>
      </c>
      <c r="L78" s="2" t="s">
        <v>49</v>
      </c>
      <c r="M78" s="15" t="s">
        <v>63</v>
      </c>
      <c r="N78" s="10">
        <v>46206</v>
      </c>
      <c r="O78" s="10">
        <v>46245</v>
      </c>
      <c r="P78" s="37">
        <f>IF(NETWORKDAYS(N78,O78,Feriados!$J$2:$J$22)-1&gt;=0,NETWORKDAYS(N78,O78,Feriados!$J$2:$J$22)-1,"NO APLICA")</f>
        <v>26</v>
      </c>
      <c r="Q78" s="10">
        <v>46288</v>
      </c>
      <c r="R78" s="9">
        <f t="shared" ref="R78:R104" si="10">+Q78+T78</f>
        <v>46303</v>
      </c>
      <c r="S78" s="43">
        <v>46245</v>
      </c>
      <c r="T78" s="2">
        <v>15</v>
      </c>
      <c r="U78" s="9">
        <f>WORKDAY(Q78,T78,Feriados!$J$2:$J$22)</f>
        <v>46310</v>
      </c>
      <c r="V78" s="2">
        <f t="shared" si="7"/>
        <v>-43</v>
      </c>
      <c r="W78" s="38" t="str">
        <f>IF(NETWORKDAYS(Q78,S78,Feriados!$J$2:$J$22)-1&gt;=0,NETWORKDAYS(Q78,S78,Feriados!$J$2:$J$22)-1,"NO APLICA")</f>
        <v>NO APLICA</v>
      </c>
      <c r="X78" s="13">
        <f t="shared" ref="X78:X103" ca="1" si="11">SUM(U78-TODAY())</f>
        <v>14</v>
      </c>
      <c r="Y78" s="2"/>
      <c r="Z78" s="2"/>
      <c r="AA78" s="57"/>
      <c r="AB78" s="88" t="s">
        <v>31</v>
      </c>
      <c r="AC78" s="2" t="s">
        <v>757</v>
      </c>
    </row>
    <row r="79" spans="1:29" ht="28.5" hidden="1" x14ac:dyDescent="0.2">
      <c r="A79" s="105">
        <v>79</v>
      </c>
      <c r="B79" s="2">
        <v>31</v>
      </c>
      <c r="C79" s="36" t="str">
        <f>IF(ISERROR(VLOOKUP(I79,[1]DEP!$B$3:$E$583,1,FALSE)),"NO","SI")</f>
        <v>NO</v>
      </c>
      <c r="D79" s="2" t="str">
        <f>IF(ISERROR(VLOOKUP(I79,[2]FRG!$S$19:$U$288,1,FALSE)),"NO","SI")</f>
        <v>NO</v>
      </c>
      <c r="E79" s="2" t="str">
        <f>IF(ISERROR(VLOOKUP(I79,[3]DATOS_PREINVERSION!$O$3:$R$475,1,FALSE)),"NO","SI")</f>
        <v>SI</v>
      </c>
      <c r="F79" s="2" t="s">
        <v>42</v>
      </c>
      <c r="G79" s="2" t="s">
        <v>71</v>
      </c>
      <c r="H79" s="2" t="s">
        <v>20</v>
      </c>
      <c r="I79" s="7">
        <v>40071304</v>
      </c>
      <c r="J79" s="3" t="s">
        <v>765</v>
      </c>
      <c r="K79" s="131">
        <v>529672000</v>
      </c>
      <c r="L79" s="2" t="s">
        <v>49</v>
      </c>
      <c r="M79" s="15" t="s">
        <v>698</v>
      </c>
      <c r="N79" s="10">
        <v>46217</v>
      </c>
      <c r="O79" s="10">
        <v>46260</v>
      </c>
      <c r="P79" s="37">
        <f>IF(NETWORKDAYS(N79,O79,Feriados!$J$2:$J$22)-1&gt;=0,NETWORKDAYS(N79,O79,Feriados!$J$2:$J$22)-1,"NO APLICA")</f>
        <v>30</v>
      </c>
      <c r="Q79" s="10">
        <v>46217</v>
      </c>
      <c r="R79" s="9">
        <f t="shared" si="10"/>
        <v>46232</v>
      </c>
      <c r="S79" s="43">
        <v>46260</v>
      </c>
      <c r="T79" s="2">
        <v>15</v>
      </c>
      <c r="U79" s="9">
        <f>WORKDAY(Q79,T79,Feriados!$J$2:$J$22)</f>
        <v>46239</v>
      </c>
      <c r="V79" s="2">
        <f t="shared" si="7"/>
        <v>43</v>
      </c>
      <c r="W79" s="38">
        <f>IF(NETWORKDAYS(Q79,S79,Feriados!$J$2:$J$22)-1&gt;=0,NETWORKDAYS(Q79,S79,Feriados!$J$2:$J$22)-1,"NO APLICA")</f>
        <v>30</v>
      </c>
      <c r="X79" s="13">
        <f t="shared" ca="1" si="11"/>
        <v>-57</v>
      </c>
      <c r="Y79" s="2"/>
      <c r="Z79" s="2"/>
      <c r="AA79" s="57"/>
      <c r="AB79" s="88" t="s">
        <v>31</v>
      </c>
      <c r="AC79" s="2" t="s">
        <v>366</v>
      </c>
    </row>
    <row r="80" spans="1:29" ht="57" x14ac:dyDescent="0.2">
      <c r="A80" s="105">
        <v>80</v>
      </c>
      <c r="B80" s="2">
        <v>29</v>
      </c>
      <c r="C80" s="36" t="str">
        <f>IF(ISERROR(VLOOKUP(I80,[1]DEP!$B$3:$E$583,1,FALSE)),"NO","SI")</f>
        <v>NO</v>
      </c>
      <c r="D80" s="2" t="str">
        <f>IF(ISERROR(VLOOKUP(I80,[2]FRG!$S$19:$U$288,1,FALSE)),"NO","SI")</f>
        <v>NO</v>
      </c>
      <c r="E80" s="2" t="str">
        <f>IF(ISERROR(VLOOKUP(I80,[3]DATOS_PREINVERSION!$O$3:$R$475,1,FALSE)),"NO","SI")</f>
        <v>SI</v>
      </c>
      <c r="F80" s="2" t="s">
        <v>45</v>
      </c>
      <c r="G80" s="2" t="s">
        <v>70</v>
      </c>
      <c r="H80" s="2" t="s">
        <v>6</v>
      </c>
      <c r="I80" s="44">
        <v>40054428</v>
      </c>
      <c r="J80" s="3" t="s">
        <v>912</v>
      </c>
      <c r="K80" s="131">
        <v>236096000</v>
      </c>
      <c r="L80" s="2" t="s">
        <v>49</v>
      </c>
      <c r="M80" s="15" t="s">
        <v>63</v>
      </c>
      <c r="N80" s="10">
        <v>46230</v>
      </c>
      <c r="O80" s="10">
        <v>46262</v>
      </c>
      <c r="P80" s="37">
        <f>IF(NETWORKDAYS(N80,O80,Feriados!$J$2:$J$22)-1&gt;=0,NETWORKDAYS(N80,O80,Feriados!$J$2:$J$22)-1,"NO APLICA")</f>
        <v>24</v>
      </c>
      <c r="Q80" s="10">
        <v>46289</v>
      </c>
      <c r="R80" s="9">
        <f t="shared" si="10"/>
        <v>46304</v>
      </c>
      <c r="S80" s="43">
        <v>46262</v>
      </c>
      <c r="T80" s="2">
        <v>15</v>
      </c>
      <c r="U80" s="9">
        <f>WORKDAY(Q80,T80,Feriados!$J$2:$J$22)</f>
        <v>46311</v>
      </c>
      <c r="V80" s="2">
        <f t="shared" si="7"/>
        <v>-27</v>
      </c>
      <c r="W80" s="38" t="str">
        <f>IF(NETWORKDAYS(Q80,S80,Feriados!$J$2:$J$22)-1&gt;=0,NETWORKDAYS(Q80,S80,Feriados!$J$2:$J$22)-1,"NO APLICA")</f>
        <v>NO APLICA</v>
      </c>
      <c r="X80" s="13">
        <f t="shared" ca="1" si="11"/>
        <v>15</v>
      </c>
      <c r="Y80" s="2"/>
      <c r="Z80" s="12" t="s">
        <v>152</v>
      </c>
      <c r="AA80" s="57"/>
      <c r="AB80" s="88" t="s">
        <v>31</v>
      </c>
      <c r="AC80" s="107" t="s">
        <v>542</v>
      </c>
    </row>
    <row r="81" spans="1:29" ht="28.5" hidden="1" x14ac:dyDescent="0.2">
      <c r="A81" s="105">
        <v>81</v>
      </c>
      <c r="B81" s="2">
        <v>31</v>
      </c>
      <c r="C81" s="36" t="str">
        <f>IF(ISERROR(VLOOKUP(I81,[1]DEP!$B$3:$E$583,1,FALSE)),"NO","SI")</f>
        <v>NO</v>
      </c>
      <c r="D81" s="2" t="str">
        <f>IF(ISERROR(VLOOKUP(I81,[2]FRG!$S$19:$U$288,1,FALSE)),"NO","SI")</f>
        <v>NO</v>
      </c>
      <c r="E81" s="2" t="str">
        <f>IF(ISERROR(VLOOKUP(I81,[3]DATOS_PREINVERSION!$O$3:$R$475,1,FALSE)),"NO","SI")</f>
        <v>NO</v>
      </c>
      <c r="F81" s="2" t="s">
        <v>47</v>
      </c>
      <c r="G81" s="2" t="s">
        <v>54</v>
      </c>
      <c r="H81" s="2" t="s">
        <v>407</v>
      </c>
      <c r="I81" s="7">
        <v>40079253</v>
      </c>
      <c r="J81" s="3" t="s">
        <v>913</v>
      </c>
      <c r="K81" s="131">
        <v>191684000</v>
      </c>
      <c r="L81" s="2" t="s">
        <v>49</v>
      </c>
      <c r="M81" s="15" t="s">
        <v>698</v>
      </c>
      <c r="N81" s="10">
        <v>46238</v>
      </c>
      <c r="O81" s="10">
        <v>46272</v>
      </c>
      <c r="P81" s="37">
        <f>IF(NETWORKDAYS(N81,O81,Feriados!$J$2:$J$22)-1&gt;=0,NETWORKDAYS(N81,O81,Feriados!$J$2:$J$22)-1,"NO APLICA")</f>
        <v>24</v>
      </c>
      <c r="Q81" s="10">
        <v>46238</v>
      </c>
      <c r="R81" s="9">
        <f t="shared" si="10"/>
        <v>46253</v>
      </c>
      <c r="S81" s="43">
        <v>46272</v>
      </c>
      <c r="T81" s="2">
        <v>15</v>
      </c>
      <c r="U81" s="9">
        <f>WORKDAY(Q81,T81,Feriados!$J$2:$J$22)</f>
        <v>46259</v>
      </c>
      <c r="V81" s="2">
        <f t="shared" si="7"/>
        <v>34</v>
      </c>
      <c r="W81" s="38">
        <f>IF(NETWORKDAYS(Q81,S81,Feriados!$J$2:$J$22)-1&gt;=0,NETWORKDAYS(Q81,S81,Feriados!$J$2:$J$22)-1,"NO APLICA")</f>
        <v>24</v>
      </c>
      <c r="X81" s="13">
        <f t="shared" ca="1" si="11"/>
        <v>-37</v>
      </c>
      <c r="Y81" s="2"/>
      <c r="Z81" s="2"/>
      <c r="AA81" s="57"/>
      <c r="AB81" s="88" t="s">
        <v>31</v>
      </c>
      <c r="AC81" s="2" t="s">
        <v>820</v>
      </c>
    </row>
    <row r="82" spans="1:29" ht="28.5" x14ac:dyDescent="0.2">
      <c r="A82" s="105">
        <v>82</v>
      </c>
      <c r="B82" s="2">
        <v>31</v>
      </c>
      <c r="C82" s="36" t="str">
        <f>IF(ISERROR(VLOOKUP(I82,[1]DEP!$B$3:$E$583,1,FALSE)),"NO","SI")</f>
        <v>NO</v>
      </c>
      <c r="D82" s="2" t="str">
        <f>IF(ISERROR(VLOOKUP(I82,[2]FRG!$S$19:$U$288,1,FALSE)),"NO","SI")</f>
        <v>NO</v>
      </c>
      <c r="E82" s="2" t="str">
        <f>IF(ISERROR(VLOOKUP(I82,[3]DATOS_PREINVERSION!$O$3:$R$475,1,FALSE)),"NO","SI")</f>
        <v>SI</v>
      </c>
      <c r="F82" s="2" t="s">
        <v>42</v>
      </c>
      <c r="G82" s="2" t="s">
        <v>42</v>
      </c>
      <c r="H82" s="2" t="s">
        <v>837</v>
      </c>
      <c r="I82" s="7">
        <v>40079141</v>
      </c>
      <c r="J82" s="3" t="s">
        <v>914</v>
      </c>
      <c r="K82" s="3"/>
      <c r="L82" s="2" t="s">
        <v>49</v>
      </c>
      <c r="M82" s="15" t="s">
        <v>63</v>
      </c>
      <c r="N82" s="10">
        <v>46237</v>
      </c>
      <c r="O82" s="10">
        <v>46267</v>
      </c>
      <c r="P82" s="37">
        <f>IF(NETWORKDAYS(N82,O82,Feriados!$J$2:$J$22)-1&gt;=0,NETWORKDAYS(N82,O82,Feriados!$J$2:$J$22)-1,"NO APLICA")</f>
        <v>22</v>
      </c>
      <c r="Q82" s="10">
        <v>46295</v>
      </c>
      <c r="R82" s="9">
        <f t="shared" si="10"/>
        <v>46310</v>
      </c>
      <c r="S82" s="43">
        <v>46267</v>
      </c>
      <c r="T82" s="2">
        <v>15</v>
      </c>
      <c r="U82" s="9">
        <f>WORKDAY(Q82,T82,Feriados!$J$2:$J$22)</f>
        <v>46317</v>
      </c>
      <c r="V82" s="2">
        <f t="shared" si="7"/>
        <v>-28</v>
      </c>
      <c r="W82" s="38" t="str">
        <f>IF(NETWORKDAYS(Q82,S82,Feriados!$J$2:$J$22)-1&gt;=0,NETWORKDAYS(Q82,S82,Feriados!$J$2:$J$22)-1,"NO APLICA")</f>
        <v>NO APLICA</v>
      </c>
      <c r="X82" s="13">
        <f t="shared" ca="1" si="11"/>
        <v>21</v>
      </c>
      <c r="Y82" s="2"/>
      <c r="Z82" s="2"/>
      <c r="AA82" s="57"/>
      <c r="AB82" s="88" t="s">
        <v>31</v>
      </c>
      <c r="AC82" s="2" t="s">
        <v>366</v>
      </c>
    </row>
    <row r="83" spans="1:29" ht="28.5" hidden="1" x14ac:dyDescent="0.2">
      <c r="A83" s="105">
        <v>83</v>
      </c>
      <c r="B83" s="2">
        <v>29</v>
      </c>
      <c r="C83" s="36" t="str">
        <f>IF(ISERROR(VLOOKUP(I83,[1]DEP!$B$3:$E$583,1,FALSE)),"NO","SI")</f>
        <v>NO</v>
      </c>
      <c r="D83" s="2" t="str">
        <f>IF(ISERROR(VLOOKUP(I83,[2]FRG!$S$19:$U$288,1,FALSE)),"NO","SI")</f>
        <v>NO</v>
      </c>
      <c r="E83" s="2" t="str">
        <f>IF(ISERROR(VLOOKUP(I83,[3]DATOS_PREINVERSION!$O$3:$R$475,1,FALSE)),"NO","SI")</f>
        <v>NO</v>
      </c>
      <c r="F83" s="2" t="s">
        <v>175</v>
      </c>
      <c r="G83" s="2" t="s">
        <v>175</v>
      </c>
      <c r="H83" s="2" t="s">
        <v>102</v>
      </c>
      <c r="I83" s="7">
        <v>40081681</v>
      </c>
      <c r="J83" s="3" t="s">
        <v>916</v>
      </c>
      <c r="K83" s="131">
        <v>515436000</v>
      </c>
      <c r="L83" s="2" t="s">
        <v>49</v>
      </c>
      <c r="M83" s="15" t="s">
        <v>698</v>
      </c>
      <c r="N83" s="10">
        <v>46224</v>
      </c>
      <c r="O83" s="10">
        <v>46259</v>
      </c>
      <c r="P83" s="37">
        <f>IF(NETWORKDAYS(N83,O83,Feriados!$J$2:$J$22)-1&gt;=0,NETWORKDAYS(N83,O83,Feriados!$J$2:$J$22)-1,"NO APLICA")</f>
        <v>25</v>
      </c>
      <c r="Q83" s="10">
        <v>46224</v>
      </c>
      <c r="R83" s="9">
        <f t="shared" si="10"/>
        <v>46239</v>
      </c>
      <c r="S83" s="43">
        <v>46259</v>
      </c>
      <c r="T83" s="2">
        <v>15</v>
      </c>
      <c r="U83" s="9">
        <f>WORKDAY(Q83,T83,Feriados!$J$2:$J$22)</f>
        <v>46245</v>
      </c>
      <c r="V83" s="2">
        <f t="shared" si="7"/>
        <v>35</v>
      </c>
      <c r="W83" s="38">
        <f>IF(NETWORKDAYS(Q83,S83,Feriados!$J$2:$J$22)-1&gt;=0,NETWORKDAYS(Q83,S83,Feriados!$J$2:$J$22)-1,"NO APLICA")</f>
        <v>25</v>
      </c>
      <c r="X83" s="13">
        <f t="shared" ca="1" si="11"/>
        <v>-51</v>
      </c>
      <c r="Y83" s="2"/>
      <c r="Z83" s="2"/>
      <c r="AA83" s="57"/>
      <c r="AB83" s="88" t="s">
        <v>31</v>
      </c>
      <c r="AC83" s="2"/>
    </row>
    <row r="84" spans="1:29" ht="28.5" hidden="1" x14ac:dyDescent="0.2">
      <c r="A84" s="105">
        <v>84</v>
      </c>
      <c r="B84" s="2">
        <v>29</v>
      </c>
      <c r="C84" s="36" t="str">
        <f>IF(ISERROR(VLOOKUP(I84,[1]DEP!$B$3:$E$583,1,FALSE)),"NO","SI")</f>
        <v>NO</v>
      </c>
      <c r="D84" s="2" t="str">
        <f>IF(ISERROR(VLOOKUP(I84,[2]FRG!$S$19:$U$288,1,FALSE)),"NO","SI")</f>
        <v>NO</v>
      </c>
      <c r="E84" s="2" t="str">
        <f>IF(ISERROR(VLOOKUP(I84,[3]DATOS_PREINVERSION!$O$3:$R$475,1,FALSE)),"NO","SI")</f>
        <v>SI</v>
      </c>
      <c r="F84" s="2" t="s">
        <v>45</v>
      </c>
      <c r="G84" s="2" t="s">
        <v>55</v>
      </c>
      <c r="H84" s="2" t="s">
        <v>918</v>
      </c>
      <c r="I84" s="7">
        <v>40072782</v>
      </c>
      <c r="J84" s="3" t="s">
        <v>917</v>
      </c>
      <c r="K84" s="131">
        <v>836162000</v>
      </c>
      <c r="L84" s="2" t="s">
        <v>49</v>
      </c>
      <c r="M84" s="15" t="s">
        <v>698</v>
      </c>
      <c r="N84" s="10">
        <v>46244</v>
      </c>
      <c r="O84" s="10">
        <v>46275</v>
      </c>
      <c r="P84" s="37">
        <f>IF(NETWORKDAYS(N84,O84,Feriados!$J$2:$J$22)-1&gt;=0,NETWORKDAYS(N84,O84,Feriados!$J$2:$J$22)-1,"NO APLICA")</f>
        <v>23</v>
      </c>
      <c r="Q84" s="10">
        <v>46244</v>
      </c>
      <c r="R84" s="9">
        <f t="shared" si="10"/>
        <v>46259</v>
      </c>
      <c r="S84" s="43">
        <v>46275</v>
      </c>
      <c r="T84" s="2">
        <v>15</v>
      </c>
      <c r="U84" s="9">
        <f>WORKDAY(Q84,T84,Feriados!$J$2:$J$22)</f>
        <v>46265</v>
      </c>
      <c r="V84" s="2">
        <f t="shared" si="7"/>
        <v>31</v>
      </c>
      <c r="W84" s="38">
        <f>IF(NETWORKDAYS(Q84,S84,Feriados!$J$2:$J$22)-1&gt;=0,NETWORKDAYS(Q84,S84,Feriados!$J$2:$J$22)-1,"NO APLICA")</f>
        <v>23</v>
      </c>
      <c r="X84" s="13">
        <f t="shared" ca="1" si="11"/>
        <v>-31</v>
      </c>
      <c r="Y84" s="2"/>
      <c r="Z84" s="2"/>
      <c r="AA84" s="57"/>
      <c r="AB84" s="88" t="s">
        <v>31</v>
      </c>
      <c r="AC84" s="2"/>
    </row>
    <row r="85" spans="1:29" s="60" customFormat="1" ht="29.45" hidden="1" customHeight="1" x14ac:dyDescent="0.2">
      <c r="A85" s="105">
        <v>85</v>
      </c>
      <c r="B85" s="3">
        <v>22</v>
      </c>
      <c r="C85" s="36" t="str">
        <f>IF(ISERROR(VLOOKUP(I85,[1]DEP!$B$3:$E$583,1,FALSE)),"NO","SI")</f>
        <v>NO</v>
      </c>
      <c r="D85" s="2" t="str">
        <f>IF(ISERROR(VLOOKUP(I85,[2]FRG!$S$19:$U$288,1,FALSE)),"NO","SI")</f>
        <v>NO</v>
      </c>
      <c r="E85" s="2" t="str">
        <f>IF(ISERROR(VLOOKUP(I85,[3]DATOS_PREINVERSION!$O$3:$R$475,1,FALSE)),"NO","SI")</f>
        <v>SI</v>
      </c>
      <c r="F85" s="2" t="s">
        <v>175</v>
      </c>
      <c r="G85" s="2" t="s">
        <v>175</v>
      </c>
      <c r="H85" s="2" t="s">
        <v>269</v>
      </c>
      <c r="I85" s="7">
        <v>40073955</v>
      </c>
      <c r="J85" s="3" t="s">
        <v>919</v>
      </c>
      <c r="K85" s="3">
        <v>100000000</v>
      </c>
      <c r="L85" s="2" t="s">
        <v>49</v>
      </c>
      <c r="M85" s="17" t="s">
        <v>705</v>
      </c>
      <c r="N85" s="10"/>
      <c r="O85" s="10"/>
      <c r="P85" s="37" t="str">
        <f>IF(NETWORKDAYS(N85,O85,Feriados!$J$2:$J$22)-1&gt;=0,NETWORKDAYS(N85,O85,Feriados!$J$2:$J$22)-1,"NO APLICA")</f>
        <v>NO APLICA</v>
      </c>
      <c r="Q85" s="10">
        <v>46241</v>
      </c>
      <c r="R85" s="9">
        <f t="shared" si="10"/>
        <v>46251</v>
      </c>
      <c r="S85" s="43">
        <v>46262</v>
      </c>
      <c r="T85" s="2">
        <v>10</v>
      </c>
      <c r="U85" s="9">
        <f>WORKDAY(Q85,T85,Feriados!$J$2:$J$22)</f>
        <v>46255</v>
      </c>
      <c r="V85" s="2">
        <v>7</v>
      </c>
      <c r="W85" s="38">
        <v>4</v>
      </c>
      <c r="X85" s="13">
        <f t="shared" ca="1" si="11"/>
        <v>-41</v>
      </c>
      <c r="Y85" s="2" t="s">
        <v>831</v>
      </c>
      <c r="Z85" s="2" t="s">
        <v>824</v>
      </c>
      <c r="AA85" s="85"/>
      <c r="AB85" s="88" t="s">
        <v>32</v>
      </c>
      <c r="AC85" s="3" t="s">
        <v>820</v>
      </c>
    </row>
    <row r="86" spans="1:29" ht="28.5" hidden="1" x14ac:dyDescent="0.2">
      <c r="A86" s="105">
        <v>86</v>
      </c>
      <c r="B86" s="2">
        <v>31</v>
      </c>
      <c r="C86" s="36" t="str">
        <f>IF(ISERROR(VLOOKUP(I86,[1]DEP!$B$3:$E$583,1,FALSE)),"NO","SI")</f>
        <v>NO</v>
      </c>
      <c r="D86" s="2" t="str">
        <f>IF(ISERROR(VLOOKUP(I86,[2]FRG!$S$19:$U$288,1,FALSE)),"NO","SI")</f>
        <v>NO</v>
      </c>
      <c r="E86" s="2" t="str">
        <f>IF(ISERROR(VLOOKUP(I86,[3]DATOS_PREINVERSION!$O$3:$R$475,1,FALSE)),"NO","SI")</f>
        <v>SI</v>
      </c>
      <c r="F86" s="2" t="s">
        <v>47</v>
      </c>
      <c r="G86" s="2" t="s">
        <v>50</v>
      </c>
      <c r="H86" s="2" t="s">
        <v>921</v>
      </c>
      <c r="I86" s="7">
        <v>40076866</v>
      </c>
      <c r="J86" s="3" t="s">
        <v>920</v>
      </c>
      <c r="K86" s="131">
        <v>1081064000</v>
      </c>
      <c r="L86" s="2" t="s">
        <v>49</v>
      </c>
      <c r="M86" s="15" t="s">
        <v>698</v>
      </c>
      <c r="N86" s="10">
        <v>46252</v>
      </c>
      <c r="O86" s="10">
        <v>46287</v>
      </c>
      <c r="P86" s="37">
        <f>IF(NETWORKDAYS(N86,O86,Feriados!$J$2:$J$22)-1&gt;=0,NETWORKDAYS(N86,O86,Feriados!$J$2:$J$22)-1,"NO APLICA")</f>
        <v>24</v>
      </c>
      <c r="Q86" s="10">
        <v>46252</v>
      </c>
      <c r="R86" s="9">
        <f t="shared" si="10"/>
        <v>46267</v>
      </c>
      <c r="S86" s="43">
        <v>46287</v>
      </c>
      <c r="T86" s="2">
        <v>15</v>
      </c>
      <c r="U86" s="9">
        <f>WORKDAY(Q86,T86,Feriados!$J$2:$J$22)</f>
        <v>46273</v>
      </c>
      <c r="V86" s="2">
        <f>+S86-Q86</f>
        <v>35</v>
      </c>
      <c r="W86" s="38">
        <f>IF(NETWORKDAYS(Q86,S86,Feriados!$J$2:$J$22)-1&gt;=0,NETWORKDAYS(Q86,S86,Feriados!$J$2:$J$22)-1,"NO APLICA")</f>
        <v>24</v>
      </c>
      <c r="X86" s="13">
        <f t="shared" ca="1" si="11"/>
        <v>-23</v>
      </c>
      <c r="Y86" s="2"/>
      <c r="Z86" s="2"/>
      <c r="AA86" s="57"/>
      <c r="AB86" s="88" t="s">
        <v>31</v>
      </c>
      <c r="AC86" s="2"/>
    </row>
    <row r="87" spans="1:29" ht="48" hidden="1" customHeight="1" x14ac:dyDescent="0.2">
      <c r="A87" s="105">
        <v>87</v>
      </c>
      <c r="B87" s="2">
        <v>29</v>
      </c>
      <c r="C87" s="36" t="str">
        <f>IF(ISERROR(VLOOKUP(I87,[1]DEP!$B$3:$E$583,1,FALSE)),"NO","SI")</f>
        <v>NO</v>
      </c>
      <c r="D87" s="2" t="str">
        <f>IF(ISERROR(VLOOKUP(I87,[2]FRG!$S$19:$U$288,1,FALSE)),"NO","SI")</f>
        <v>SI</v>
      </c>
      <c r="E87" s="2" t="str">
        <f>IF(ISERROR(VLOOKUP(I87,[3]DATOS_PREINVERSION!$O$3:$R$475,1,FALSE)),"NO","SI")</f>
        <v>NO</v>
      </c>
      <c r="F87" s="2" t="s">
        <v>45</v>
      </c>
      <c r="G87" s="2" t="s">
        <v>70</v>
      </c>
      <c r="H87" s="2" t="s">
        <v>6</v>
      </c>
      <c r="I87" s="7">
        <v>40020478</v>
      </c>
      <c r="J87" s="3" t="s">
        <v>922</v>
      </c>
      <c r="K87" s="3">
        <v>629973000</v>
      </c>
      <c r="L87" s="2" t="s">
        <v>49</v>
      </c>
      <c r="M87" s="17" t="s">
        <v>74</v>
      </c>
      <c r="N87" s="10"/>
      <c r="O87" s="10"/>
      <c r="P87" s="37" t="str">
        <f>IF(NETWORKDAYS(N87,O87,Feriados!$J$2:$J$22)-1&gt;=0,NETWORKDAYS(N87,O87,Feriados!$J$2:$J$22)-1,"NO APLICA")</f>
        <v>NO APLICA</v>
      </c>
      <c r="Q87" s="10">
        <v>46252</v>
      </c>
      <c r="R87" s="9">
        <f t="shared" si="10"/>
        <v>46262</v>
      </c>
      <c r="S87" s="43">
        <v>46272</v>
      </c>
      <c r="T87" s="2">
        <v>10</v>
      </c>
      <c r="U87" s="9">
        <f>WORKDAY(Q87,T87,Feriados!$J$2:$J$22)</f>
        <v>46266</v>
      </c>
      <c r="V87" s="2">
        <v>7</v>
      </c>
      <c r="W87" s="38">
        <v>4</v>
      </c>
      <c r="X87" s="13">
        <f t="shared" ca="1" si="11"/>
        <v>-30</v>
      </c>
      <c r="Y87" s="2" t="s">
        <v>513</v>
      </c>
      <c r="Z87" s="2" t="s">
        <v>157</v>
      </c>
      <c r="AA87" s="64">
        <v>7494</v>
      </c>
      <c r="AB87" s="88" t="s">
        <v>32</v>
      </c>
      <c r="AC87" s="2" t="s">
        <v>366</v>
      </c>
    </row>
    <row r="88" spans="1:29" ht="28.5" hidden="1" x14ac:dyDescent="0.2">
      <c r="A88" s="105">
        <v>88</v>
      </c>
      <c r="B88" s="2">
        <v>31</v>
      </c>
      <c r="C88" s="36" t="str">
        <f>IF(ISERROR(VLOOKUP(I88,[1]DEP!$B$3:$E$583,1,FALSE)),"NO","SI")</f>
        <v>NO</v>
      </c>
      <c r="D88" s="2" t="str">
        <f>IF(ISERROR(VLOOKUP(I88,[2]FRG!$S$19:$U$288,1,FALSE)),"NO","SI")</f>
        <v>NO</v>
      </c>
      <c r="E88" s="61" t="s">
        <v>32</v>
      </c>
      <c r="F88" s="2" t="s">
        <v>45</v>
      </c>
      <c r="G88" s="2" t="s">
        <v>51</v>
      </c>
      <c r="H88" s="2" t="s">
        <v>11</v>
      </c>
      <c r="I88" s="7">
        <v>40082055</v>
      </c>
      <c r="J88" s="3" t="s">
        <v>923</v>
      </c>
      <c r="K88" s="131">
        <v>1217178000</v>
      </c>
      <c r="L88" s="2"/>
      <c r="M88" s="15" t="s">
        <v>698</v>
      </c>
      <c r="N88" s="10">
        <v>46258</v>
      </c>
      <c r="O88" s="10">
        <v>46290</v>
      </c>
      <c r="P88" s="37">
        <f>IF(NETWORKDAYS(N88,O88,Feriados!$J$2:$J$22)-1&gt;=0,NETWORKDAYS(N88,O88,Feriados!$J$2:$J$22)-1,"NO APLICA")</f>
        <v>23</v>
      </c>
      <c r="Q88" s="10">
        <v>46258</v>
      </c>
      <c r="R88" s="9">
        <f t="shared" si="10"/>
        <v>46273</v>
      </c>
      <c r="S88" s="43">
        <v>46290</v>
      </c>
      <c r="T88" s="2">
        <v>15</v>
      </c>
      <c r="U88" s="9">
        <f>WORKDAY(Q88,T88,Feriados!$J$2:$J$22)</f>
        <v>46279</v>
      </c>
      <c r="V88" s="2">
        <f>+S88-Q88</f>
        <v>32</v>
      </c>
      <c r="W88" s="38">
        <f>IF(NETWORKDAYS(Q88,S88,Feriados!$J$2:$J$22)-1&gt;=0,NETWORKDAYS(Q88,S88,Feriados!$J$2:$J$22)-1,"NO APLICA")</f>
        <v>23</v>
      </c>
      <c r="X88" s="13">
        <f t="shared" ca="1" si="11"/>
        <v>-17</v>
      </c>
      <c r="Y88" s="2"/>
      <c r="Z88" s="2"/>
      <c r="AA88" s="57"/>
      <c r="AB88" s="88"/>
      <c r="AC88" s="2"/>
    </row>
    <row r="89" spans="1:29" ht="28.5" hidden="1" x14ac:dyDescent="0.2">
      <c r="A89" s="105">
        <v>89</v>
      </c>
      <c r="B89" s="2">
        <v>31</v>
      </c>
      <c r="C89" s="36" t="str">
        <f>IF(ISERROR(VLOOKUP(I89,[1]DEP!$B$3:$E$583,1,FALSE)),"NO","SI")</f>
        <v>NO</v>
      </c>
      <c r="D89" s="2" t="str">
        <f>IF(ISERROR(VLOOKUP(I89,[2]FRG!$S$19:$U$288,1,FALSE)),"NO","SI")</f>
        <v>NO</v>
      </c>
      <c r="E89" s="2" t="str">
        <f>IF(ISERROR(VLOOKUP(I89,[3]DATOS_PREINVERSION!$O$3:$R$475,1,FALSE)),"NO","SI")</f>
        <v>SI</v>
      </c>
      <c r="F89" s="2" t="s">
        <v>568</v>
      </c>
      <c r="G89" s="2" t="s">
        <v>56</v>
      </c>
      <c r="H89" s="2" t="s">
        <v>13</v>
      </c>
      <c r="I89" s="7">
        <v>40005528</v>
      </c>
      <c r="J89" s="3" t="s">
        <v>103</v>
      </c>
      <c r="K89" s="3">
        <v>700908000</v>
      </c>
      <c r="L89" s="2" t="s">
        <v>49</v>
      </c>
      <c r="M89" s="17" t="s">
        <v>74</v>
      </c>
      <c r="N89" s="10"/>
      <c r="O89" s="10"/>
      <c r="P89" s="37" t="str">
        <f>IF(NETWORKDAYS(N89,O89,Feriados!$J$2:$J$22)-1&gt;=0,NETWORKDAYS(N89,O89,Feriados!$J$2:$J$22)-1,"NO APLICA")</f>
        <v>NO APLICA</v>
      </c>
      <c r="Q89" s="10">
        <v>46252</v>
      </c>
      <c r="R89" s="9">
        <f t="shared" si="10"/>
        <v>46262</v>
      </c>
      <c r="S89" s="43">
        <v>46273</v>
      </c>
      <c r="T89" s="2">
        <v>10</v>
      </c>
      <c r="U89" s="9">
        <f>WORKDAY(Q89,T89,Feriados!$J$2:$J$22)</f>
        <v>46266</v>
      </c>
      <c r="V89" s="2">
        <v>7</v>
      </c>
      <c r="W89" s="38">
        <v>4</v>
      </c>
      <c r="X89" s="13">
        <f t="shared" ca="1" si="11"/>
        <v>-30</v>
      </c>
      <c r="Y89" s="3" t="s">
        <v>774</v>
      </c>
      <c r="Z89" s="2" t="s">
        <v>314</v>
      </c>
      <c r="AA89" s="64"/>
      <c r="AB89" s="88" t="s">
        <v>942</v>
      </c>
      <c r="AC89" s="2" t="s">
        <v>694</v>
      </c>
    </row>
    <row r="90" spans="1:29" ht="28.5" x14ac:dyDescent="0.2">
      <c r="A90" s="105">
        <v>90</v>
      </c>
      <c r="B90" s="2">
        <v>29</v>
      </c>
      <c r="C90" s="36" t="str">
        <f>IF(ISERROR(VLOOKUP(I90,[1]DEP!$B$3:$E$583,1,FALSE)),"NO","SI")</f>
        <v>NO</v>
      </c>
      <c r="D90" s="2" t="str">
        <f>IF(ISERROR(VLOOKUP(I90,[2]FRG!$S$19:$U$288,1,FALSE)),"NO","SI")</f>
        <v>NO</v>
      </c>
      <c r="E90" s="2" t="str">
        <f>IF(ISERROR(VLOOKUP(I90,[3]DATOS_PREINVERSION!$O$3:$R$475,1,FALSE)),"NO","SI")</f>
        <v>NO</v>
      </c>
      <c r="F90" s="2" t="s">
        <v>45</v>
      </c>
      <c r="G90" s="2" t="s">
        <v>69</v>
      </c>
      <c r="H90" s="2" t="s">
        <v>78</v>
      </c>
      <c r="I90" s="7">
        <v>40060249</v>
      </c>
      <c r="J90" s="3" t="s">
        <v>924</v>
      </c>
      <c r="K90" s="3"/>
      <c r="L90" s="2"/>
      <c r="M90" s="15" t="s">
        <v>63</v>
      </c>
      <c r="N90" s="10">
        <v>46253</v>
      </c>
      <c r="O90" s="10"/>
      <c r="P90" s="37" t="str">
        <f>IF(NETWORKDAYS(N90,O90,Feriados!$J$2:$J$22)-1&gt;=0,NETWORKDAYS(N90,O90,Feriados!$J$2:$J$22)-1,"NO APLICA")</f>
        <v>NO APLICA</v>
      </c>
      <c r="Q90" s="10">
        <v>46253</v>
      </c>
      <c r="R90" s="9">
        <f t="shared" si="10"/>
        <v>46268</v>
      </c>
      <c r="S90" s="43"/>
      <c r="T90" s="2">
        <v>15</v>
      </c>
      <c r="U90" s="9">
        <f>WORKDAY(Q90,T90,Feriados!$J$2:$J$22)</f>
        <v>46274</v>
      </c>
      <c r="V90" s="2">
        <f t="shared" ref="V90:V103" si="12">+S90-Q90</f>
        <v>-46253</v>
      </c>
      <c r="W90" s="38" t="str">
        <f>IF(NETWORKDAYS(Q90,S90,Feriados!$J$2:$J$22)-1&gt;=0,NETWORKDAYS(Q90,S90,Feriados!$J$2:$J$22)-1,"NO APLICA")</f>
        <v>NO APLICA</v>
      </c>
      <c r="X90" s="13">
        <f t="shared" ca="1" si="11"/>
        <v>-22</v>
      </c>
      <c r="Y90" s="2"/>
      <c r="Z90" s="2"/>
      <c r="AA90" s="57"/>
      <c r="AB90" s="88"/>
      <c r="AC90" s="2"/>
    </row>
    <row r="91" spans="1:29" ht="28.5" hidden="1" x14ac:dyDescent="0.2">
      <c r="A91" s="105">
        <v>91</v>
      </c>
      <c r="B91" s="2">
        <v>29</v>
      </c>
      <c r="C91" s="36" t="str">
        <f>IF(ISERROR(VLOOKUP(I91,[1]DEP!$B$3:$E$583,1,FALSE)),"NO","SI")</f>
        <v>NO</v>
      </c>
      <c r="D91" s="2" t="str">
        <f>IF(ISERROR(VLOOKUP(I91,[2]FRG!$S$19:$U$288,1,FALSE)),"NO","SI")</f>
        <v>NO</v>
      </c>
      <c r="E91" s="2" t="str">
        <f>IF(ISERROR(VLOOKUP(I91,[3]DATOS_PREINVERSION!$O$3:$R$475,1,FALSE)),"NO","SI")</f>
        <v>NO</v>
      </c>
      <c r="F91" s="2" t="s">
        <v>45</v>
      </c>
      <c r="G91" s="2" t="s">
        <v>69</v>
      </c>
      <c r="H91" s="2" t="s">
        <v>78</v>
      </c>
      <c r="I91" s="7">
        <v>40011970</v>
      </c>
      <c r="J91" s="3" t="s">
        <v>925</v>
      </c>
      <c r="K91" s="131">
        <v>475989000</v>
      </c>
      <c r="L91" s="2"/>
      <c r="M91" s="15" t="s">
        <v>698</v>
      </c>
      <c r="N91" s="10">
        <v>46253</v>
      </c>
      <c r="O91" s="10">
        <v>46294</v>
      </c>
      <c r="P91" s="37">
        <f>IF(NETWORKDAYS(N91,O91,Feriados!$J$2:$J$22)-1&gt;=0,NETWORKDAYS(N91,O91,Feriados!$J$2:$J$22)-1,"NO APLICA")</f>
        <v>28</v>
      </c>
      <c r="Q91" s="10">
        <v>46253</v>
      </c>
      <c r="R91" s="9">
        <f t="shared" si="10"/>
        <v>46268</v>
      </c>
      <c r="S91" s="43">
        <v>46294</v>
      </c>
      <c r="T91" s="2">
        <v>15</v>
      </c>
      <c r="U91" s="9">
        <f>WORKDAY(Q91,T91,Feriados!$J$2:$J$22)</f>
        <v>46274</v>
      </c>
      <c r="V91" s="2">
        <f t="shared" si="12"/>
        <v>41</v>
      </c>
      <c r="W91" s="38">
        <f>IF(NETWORKDAYS(Q91,S91,Feriados!$J$2:$J$22)-1&gt;=0,NETWORKDAYS(Q91,S91,Feriados!$J$2:$J$22)-1,"NO APLICA")</f>
        <v>28</v>
      </c>
      <c r="X91" s="13">
        <f t="shared" ca="1" si="11"/>
        <v>-22</v>
      </c>
      <c r="Y91" s="2"/>
      <c r="Z91" s="2"/>
      <c r="AA91" s="57"/>
      <c r="AB91" s="88"/>
      <c r="AC91" s="2"/>
    </row>
    <row r="92" spans="1:29" ht="28.5" hidden="1" x14ac:dyDescent="0.2">
      <c r="A92" s="105">
        <v>92</v>
      </c>
      <c r="B92" s="2">
        <v>29</v>
      </c>
      <c r="C92" s="36" t="str">
        <f>IF(ISERROR(VLOOKUP(I92,[1]DEP!$B$3:$E$583,1,FALSE)),"NO","SI")</f>
        <v>NO</v>
      </c>
      <c r="D92" s="2" t="str">
        <f>IF(ISERROR(VLOOKUP(I92,[2]FRG!$S$19:$U$288,1,FALSE)),"NO","SI")</f>
        <v>NO</v>
      </c>
      <c r="E92" s="2" t="str">
        <f>IF(ISERROR(VLOOKUP(I92,[3]DATOS_PREINVERSION!$O$3:$R$475,1,FALSE)),"NO","SI")</f>
        <v>SI</v>
      </c>
      <c r="F92" s="2" t="s">
        <v>45</v>
      </c>
      <c r="G92" s="2" t="s">
        <v>51</v>
      </c>
      <c r="H92" s="2" t="s">
        <v>11</v>
      </c>
      <c r="I92" s="7">
        <v>40078794</v>
      </c>
      <c r="J92" s="3" t="s">
        <v>926</v>
      </c>
      <c r="K92" s="131">
        <v>532331000</v>
      </c>
      <c r="L92" s="2"/>
      <c r="M92" s="15" t="s">
        <v>698</v>
      </c>
      <c r="N92" s="10">
        <v>46259</v>
      </c>
      <c r="O92" s="10">
        <v>46287</v>
      </c>
      <c r="P92" s="37">
        <f>IF(NETWORKDAYS(N92,O92,Feriados!$J$2:$J$22)-1&gt;=0,NETWORKDAYS(N92,O92,Feriados!$J$2:$J$22)-1,"NO APLICA")</f>
        <v>19</v>
      </c>
      <c r="Q92" s="10">
        <v>46259</v>
      </c>
      <c r="R92" s="9">
        <f t="shared" si="10"/>
        <v>46274</v>
      </c>
      <c r="S92" s="43">
        <v>46287</v>
      </c>
      <c r="T92" s="2">
        <v>15</v>
      </c>
      <c r="U92" s="9">
        <f>WORKDAY(Q92,T92,Feriados!$J$2:$J$22)</f>
        <v>46280</v>
      </c>
      <c r="V92" s="2">
        <f t="shared" si="12"/>
        <v>28</v>
      </c>
      <c r="W92" s="38">
        <f>IF(NETWORKDAYS(Q92,S92,Feriados!$J$2:$J$22)-1&gt;=0,NETWORKDAYS(Q92,S92,Feriados!$J$2:$J$22)-1,"NO APLICA")</f>
        <v>19</v>
      </c>
      <c r="X92" s="13">
        <f t="shared" ca="1" si="11"/>
        <v>-16</v>
      </c>
      <c r="Y92" s="2"/>
      <c r="Z92" s="2"/>
      <c r="AA92" s="57"/>
      <c r="AB92" s="88"/>
      <c r="AC92" s="2"/>
    </row>
    <row r="93" spans="1:29" ht="28.5" hidden="1" x14ac:dyDescent="0.2">
      <c r="A93" s="105">
        <v>93</v>
      </c>
      <c r="B93" s="2">
        <v>29</v>
      </c>
      <c r="C93" s="36" t="str">
        <f>IF(ISERROR(VLOOKUP(I93,[1]DEP!$B$3:$E$583,1,FALSE)),"NO","SI")</f>
        <v>NO</v>
      </c>
      <c r="D93" s="2" t="str">
        <f>IF(ISERROR(VLOOKUP(I93,[2]FRG!$S$19:$U$288,1,FALSE)),"NO","SI")</f>
        <v>NO</v>
      </c>
      <c r="E93" s="2" t="str">
        <f>IF(ISERROR(VLOOKUP(I93,[3]DATOS_PREINVERSION!$O$3:$R$475,1,FALSE)),"NO","SI")</f>
        <v>SI</v>
      </c>
      <c r="F93" s="2" t="s">
        <v>568</v>
      </c>
      <c r="G93" s="2" t="s">
        <v>50</v>
      </c>
      <c r="H93" s="2" t="s">
        <v>9</v>
      </c>
      <c r="I93" s="7">
        <v>40077747</v>
      </c>
      <c r="J93" s="3" t="s">
        <v>927</v>
      </c>
      <c r="K93" s="131">
        <v>468357000</v>
      </c>
      <c r="L93" s="2"/>
      <c r="M93" s="15" t="s">
        <v>698</v>
      </c>
      <c r="N93" s="10">
        <v>46260</v>
      </c>
      <c r="O93" s="10">
        <v>46294</v>
      </c>
      <c r="P93" s="37">
        <f>IF(NETWORKDAYS(N93,O93,Feriados!$J$2:$J$22)-1&gt;=0,NETWORKDAYS(N93,O93,Feriados!$J$2:$J$22)-1,"NO APLICA")</f>
        <v>23</v>
      </c>
      <c r="Q93" s="10">
        <v>46260</v>
      </c>
      <c r="R93" s="9">
        <f t="shared" si="10"/>
        <v>46275</v>
      </c>
      <c r="S93" s="43">
        <v>46294</v>
      </c>
      <c r="T93" s="2">
        <v>15</v>
      </c>
      <c r="U93" s="9">
        <f>WORKDAY(Q93,T93,Feriados!$J$2:$J$22)</f>
        <v>46281</v>
      </c>
      <c r="V93" s="2">
        <f t="shared" si="12"/>
        <v>34</v>
      </c>
      <c r="W93" s="38">
        <f>IF(NETWORKDAYS(Q93,S93,Feriados!$J$2:$J$22)-1&gt;=0,NETWORKDAYS(Q93,S93,Feriados!$J$2:$J$22)-1,"NO APLICA")</f>
        <v>23</v>
      </c>
      <c r="X93" s="13">
        <f t="shared" ca="1" si="11"/>
        <v>-15</v>
      </c>
      <c r="Y93" s="2"/>
      <c r="Z93" s="2"/>
      <c r="AA93" s="57"/>
      <c r="AB93" s="88"/>
      <c r="AC93" s="2"/>
    </row>
    <row r="94" spans="1:29" ht="42.75" x14ac:dyDescent="0.2">
      <c r="A94" s="105">
        <v>94</v>
      </c>
      <c r="B94" s="2">
        <v>29</v>
      </c>
      <c r="C94" s="36" t="str">
        <f>IF(ISERROR(VLOOKUP(I94,[1]DEP!$B$3:$E$583,1,FALSE)),"NO","SI")</f>
        <v>NO</v>
      </c>
      <c r="D94" s="2" t="str">
        <f>IF(ISERROR(VLOOKUP(I94,[2]FRG!$S$19:$U$288,1,FALSE)),"NO","SI")</f>
        <v>NO</v>
      </c>
      <c r="E94" s="2" t="str">
        <f>IF(ISERROR(VLOOKUP(I94,[3]DATOS_PREINVERSION!$O$3:$R$475,1,FALSE)),"NO","SI")</f>
        <v>NO</v>
      </c>
      <c r="F94" s="2" t="s">
        <v>175</v>
      </c>
      <c r="G94" s="2" t="s">
        <v>175</v>
      </c>
      <c r="H94" s="2" t="s">
        <v>91</v>
      </c>
      <c r="I94" s="7" t="s">
        <v>929</v>
      </c>
      <c r="J94" s="3" t="s">
        <v>928</v>
      </c>
      <c r="K94" s="3"/>
      <c r="L94" s="2"/>
      <c r="M94" s="15" t="s">
        <v>63</v>
      </c>
      <c r="N94" s="10">
        <v>46261</v>
      </c>
      <c r="O94" s="10"/>
      <c r="P94" s="37" t="str">
        <f>IF(NETWORKDAYS(N94,O94,Feriados!$J$2:$J$22)-1&gt;=0,NETWORKDAYS(N94,O94,Feriados!$J$2:$J$22)-1,"NO APLICA")</f>
        <v>NO APLICA</v>
      </c>
      <c r="Q94" s="10">
        <v>46261</v>
      </c>
      <c r="R94" s="9">
        <f t="shared" si="10"/>
        <v>46276</v>
      </c>
      <c r="S94" s="43"/>
      <c r="T94" s="2">
        <v>15</v>
      </c>
      <c r="U94" s="9">
        <f>WORKDAY(Q94,T94,Feriados!$J$2:$J$22)</f>
        <v>46282</v>
      </c>
      <c r="V94" s="2">
        <f t="shared" si="12"/>
        <v>-46261</v>
      </c>
      <c r="W94" s="38" t="str">
        <f>IF(NETWORKDAYS(Q94,S94,Feriados!$J$2:$J$22)-1&gt;=0,NETWORKDAYS(Q94,S94,Feriados!$J$2:$J$22)-1,"NO APLICA")</f>
        <v>NO APLICA</v>
      </c>
      <c r="X94" s="13">
        <f t="shared" ca="1" si="11"/>
        <v>-14</v>
      </c>
      <c r="Y94" s="2"/>
      <c r="Z94" s="2"/>
      <c r="AA94" s="57"/>
      <c r="AB94" s="88"/>
      <c r="AC94" s="2"/>
    </row>
    <row r="95" spans="1:29" ht="28.5" hidden="1" x14ac:dyDescent="0.2">
      <c r="A95" s="105">
        <v>95</v>
      </c>
      <c r="B95" s="2">
        <v>22</v>
      </c>
      <c r="C95" s="36" t="str">
        <f>IF(ISERROR(VLOOKUP(I95,[1]DEP!$B$3:$E$583,1,FALSE)),"NO","SI")</f>
        <v>NO</v>
      </c>
      <c r="D95" s="2" t="str">
        <f>IF(ISERROR(VLOOKUP(I95,[2]FRG!$S$19:$U$288,1,FALSE)),"NO","SI")</f>
        <v>NO</v>
      </c>
      <c r="E95" s="2" t="str">
        <f>IF(ISERROR(VLOOKUP(I95,[3]DATOS_PREINVERSION!$O$3:$R$475,1,FALSE)),"NO","SI")</f>
        <v>SI</v>
      </c>
      <c r="F95" s="2" t="s">
        <v>45</v>
      </c>
      <c r="G95" s="2" t="s">
        <v>51</v>
      </c>
      <c r="H95" s="2" t="s">
        <v>11</v>
      </c>
      <c r="I95" s="7">
        <v>40078947</v>
      </c>
      <c r="J95" s="3" t="s">
        <v>930</v>
      </c>
      <c r="K95" s="131">
        <v>1639168000</v>
      </c>
      <c r="L95" s="2"/>
      <c r="M95" s="15" t="s">
        <v>698</v>
      </c>
      <c r="N95" s="10">
        <v>46266</v>
      </c>
      <c r="O95" s="10">
        <v>46287</v>
      </c>
      <c r="P95" s="37">
        <f>IF(NETWORKDAYS(N95,O95,Feriados!$J$2:$J$22)-1&gt;=0,NETWORKDAYS(N95,O95,Feriados!$J$2:$J$22)-1,"NO APLICA")</f>
        <v>14</v>
      </c>
      <c r="Q95" s="10">
        <v>46266</v>
      </c>
      <c r="R95" s="9">
        <f t="shared" si="10"/>
        <v>46281</v>
      </c>
      <c r="S95" s="43">
        <v>46287</v>
      </c>
      <c r="T95" s="2">
        <v>15</v>
      </c>
      <c r="U95" s="9">
        <f>WORKDAY(Q95,T95,Feriados!$J$2:$J$22)</f>
        <v>46288</v>
      </c>
      <c r="V95" s="2">
        <f t="shared" si="12"/>
        <v>21</v>
      </c>
      <c r="W95" s="38">
        <f>IF(NETWORKDAYS(Q95,S95,Feriados!$J$2:$J$22)-1&gt;=0,NETWORKDAYS(Q95,S95,Feriados!$J$2:$J$22)-1,"NO APLICA")</f>
        <v>14</v>
      </c>
      <c r="X95" s="13">
        <f t="shared" ca="1" si="11"/>
        <v>-8</v>
      </c>
      <c r="Y95" s="2"/>
      <c r="Z95" s="2"/>
      <c r="AA95" s="57"/>
      <c r="AB95" s="88"/>
      <c r="AC95" s="2"/>
    </row>
    <row r="96" spans="1:29" ht="28.5" hidden="1" x14ac:dyDescent="0.2">
      <c r="A96" s="105">
        <v>96</v>
      </c>
      <c r="B96" s="2">
        <v>31</v>
      </c>
      <c r="C96" s="36" t="str">
        <f>IF(ISERROR(VLOOKUP(I96,[1]DEP!$B$3:$E$583,1,FALSE)),"NO","SI")</f>
        <v>NO</v>
      </c>
      <c r="D96" s="2" t="str">
        <f>IF(ISERROR(VLOOKUP(I96,[2]FRG!$S$19:$U$288,1,FALSE)),"NO","SI")</f>
        <v>NO</v>
      </c>
      <c r="E96" s="2" t="str">
        <f>IF(ISERROR(VLOOKUP(I96,[3]DATOS_PREINVERSION!$O$3:$R$475,1,FALSE)),"NO","SI")</f>
        <v>SI</v>
      </c>
      <c r="F96" s="2" t="s">
        <v>42</v>
      </c>
      <c r="G96" s="2" t="s">
        <v>71</v>
      </c>
      <c r="H96" s="2" t="s">
        <v>20</v>
      </c>
      <c r="I96" s="7">
        <v>40081009</v>
      </c>
      <c r="J96" s="3" t="s">
        <v>932</v>
      </c>
      <c r="K96" s="131">
        <v>612030000</v>
      </c>
      <c r="L96" s="2"/>
      <c r="M96" s="15" t="s">
        <v>698</v>
      </c>
      <c r="N96" s="10">
        <v>46268</v>
      </c>
      <c r="O96" s="10">
        <v>46294</v>
      </c>
      <c r="P96" s="37">
        <f>IF(NETWORKDAYS(N96,O96,Feriados!$J$2:$J$22)-1&gt;=0,NETWORKDAYS(N96,O96,Feriados!$J$2:$J$22)-1,"NO APLICA")</f>
        <v>17</v>
      </c>
      <c r="Q96" s="10">
        <v>46268</v>
      </c>
      <c r="R96" s="9">
        <f t="shared" si="10"/>
        <v>46283</v>
      </c>
      <c r="S96" s="43">
        <v>46294</v>
      </c>
      <c r="T96" s="2">
        <v>15</v>
      </c>
      <c r="U96" s="9">
        <f>WORKDAY(Q96,T96,Feriados!$J$2:$J$22)</f>
        <v>46290</v>
      </c>
      <c r="V96" s="2">
        <f t="shared" si="12"/>
        <v>26</v>
      </c>
      <c r="W96" s="38">
        <f>IF(NETWORKDAYS(Q96,S96,Feriados!$J$2:$J$22)-1&gt;=0,NETWORKDAYS(Q96,S96,Feriados!$J$2:$J$22)-1,"NO APLICA")</f>
        <v>17</v>
      </c>
      <c r="X96" s="13">
        <f t="shared" ca="1" si="11"/>
        <v>-6</v>
      </c>
      <c r="Y96" s="2"/>
      <c r="Z96" s="2"/>
      <c r="AA96" s="57"/>
      <c r="AB96" s="88"/>
      <c r="AC96" s="2"/>
    </row>
    <row r="97" spans="1:29" ht="28.5" x14ac:dyDescent="0.2">
      <c r="A97" s="105">
        <v>97</v>
      </c>
      <c r="B97" s="2">
        <v>29</v>
      </c>
      <c r="C97" s="36" t="str">
        <f>IF(ISERROR(VLOOKUP(I97,[1]DEP!$B$3:$E$583,1,FALSE)),"NO","SI")</f>
        <v>NO</v>
      </c>
      <c r="D97" s="2" t="str">
        <f>IF(ISERROR(VLOOKUP(I97,[2]FRG!$S$19:$U$288,1,FALSE)),"NO","SI")</f>
        <v>NO</v>
      </c>
      <c r="E97" s="2" t="str">
        <f>IF(ISERROR(VLOOKUP(I97,[3]DATOS_PREINVERSION!$O$3:$R$475,1,FALSE)),"NO","SI")</f>
        <v>NO</v>
      </c>
      <c r="F97" s="2" t="s">
        <v>45</v>
      </c>
      <c r="G97" s="2" t="s">
        <v>854</v>
      </c>
      <c r="H97" s="2" t="s">
        <v>855</v>
      </c>
      <c r="I97" s="7">
        <v>40081874</v>
      </c>
      <c r="J97" s="3" t="s">
        <v>933</v>
      </c>
      <c r="K97" s="3"/>
      <c r="L97" s="2"/>
      <c r="M97" s="15" t="s">
        <v>63</v>
      </c>
      <c r="N97" s="10">
        <v>46269</v>
      </c>
      <c r="O97" s="10"/>
      <c r="P97" s="37" t="str">
        <f>IF(NETWORKDAYS(N97,O97,Feriados!$J$2:$J$22)-1&gt;=0,NETWORKDAYS(N97,O97,Feriados!$J$2:$J$22)-1,"NO APLICA")</f>
        <v>NO APLICA</v>
      </c>
      <c r="Q97" s="10">
        <v>46269</v>
      </c>
      <c r="R97" s="9">
        <f t="shared" si="10"/>
        <v>46284</v>
      </c>
      <c r="S97" s="43"/>
      <c r="T97" s="2">
        <v>15</v>
      </c>
      <c r="U97" s="9">
        <f>WORKDAY(Q97,T97,Feriados!$J$2:$J$22)</f>
        <v>46293</v>
      </c>
      <c r="V97" s="2">
        <f t="shared" si="12"/>
        <v>-46269</v>
      </c>
      <c r="W97" s="38" t="str">
        <f>IF(NETWORKDAYS(Q97,S97,Feriados!$J$2:$J$22)-1&gt;=0,NETWORKDAYS(Q97,S97,Feriados!$J$2:$J$22)-1,"NO APLICA")</f>
        <v>NO APLICA</v>
      </c>
      <c r="X97" s="13">
        <f t="shared" ca="1" si="11"/>
        <v>-3</v>
      </c>
      <c r="Y97" s="2"/>
      <c r="Z97" s="2"/>
      <c r="AA97" s="57"/>
      <c r="AB97" s="88"/>
      <c r="AC97" s="2"/>
    </row>
    <row r="98" spans="1:29" ht="28.5" x14ac:dyDescent="0.2">
      <c r="A98" s="105">
        <v>98</v>
      </c>
      <c r="B98" s="2">
        <v>29</v>
      </c>
      <c r="C98" s="36" t="str">
        <f>IF(ISERROR(VLOOKUP(I98,[1]DEP!$B$3:$E$583,1,FALSE)),"NO","SI")</f>
        <v>NO</v>
      </c>
      <c r="D98" s="2" t="str">
        <f>IF(ISERROR(VLOOKUP(I98,[2]FRG!$S$19:$U$288,1,FALSE)),"NO","SI")</f>
        <v>NO</v>
      </c>
      <c r="E98" s="2" t="str">
        <f>IF(ISERROR(VLOOKUP(I98,[3]DATOS_PREINVERSION!$O$3:$R$475,1,FALSE)),"NO","SI")</f>
        <v>SI</v>
      </c>
      <c r="F98" s="2" t="s">
        <v>568</v>
      </c>
      <c r="G98" s="2" t="s">
        <v>76</v>
      </c>
      <c r="H98" s="2" t="s">
        <v>12</v>
      </c>
      <c r="I98" s="44">
        <v>40072958</v>
      </c>
      <c r="J98" s="3" t="s">
        <v>934</v>
      </c>
      <c r="K98" s="3"/>
      <c r="L98" s="2"/>
      <c r="M98" s="15" t="s">
        <v>63</v>
      </c>
      <c r="N98" s="10">
        <v>46273</v>
      </c>
      <c r="O98" s="10"/>
      <c r="P98" s="37" t="str">
        <f>IF(NETWORKDAYS(N98,O98,Feriados!$J$2:$J$22)-1&gt;=0,NETWORKDAYS(N98,O98,Feriados!$J$2:$J$22)-1,"NO APLICA")</f>
        <v>NO APLICA</v>
      </c>
      <c r="Q98" s="10">
        <v>46273</v>
      </c>
      <c r="R98" s="9">
        <f t="shared" si="10"/>
        <v>46288</v>
      </c>
      <c r="S98" s="43"/>
      <c r="T98" s="2">
        <v>15</v>
      </c>
      <c r="U98" s="9">
        <f>WORKDAY(Q98,T98,Feriados!$J$2:$J$22)</f>
        <v>46295</v>
      </c>
      <c r="V98" s="2">
        <f t="shared" si="12"/>
        <v>-46273</v>
      </c>
      <c r="W98" s="38" t="str">
        <f>IF(NETWORKDAYS(Q98,S98,Feriados!$J$2:$J$22)-1&gt;=0,NETWORKDAYS(Q98,S98,Feriados!$J$2:$J$22)-1,"NO APLICA")</f>
        <v>NO APLICA</v>
      </c>
      <c r="X98" s="13">
        <f t="shared" ca="1" si="11"/>
        <v>-1</v>
      </c>
      <c r="Y98" s="2"/>
      <c r="Z98" s="2"/>
      <c r="AA98" s="57"/>
      <c r="AB98" s="88"/>
      <c r="AC98" s="2"/>
    </row>
    <row r="99" spans="1:29" ht="28.5" x14ac:dyDescent="0.2">
      <c r="A99" s="105">
        <v>99</v>
      </c>
      <c r="B99" s="2">
        <v>29</v>
      </c>
      <c r="C99" s="36" t="str">
        <f>IF(ISERROR(VLOOKUP(I99,[1]DEP!$B$3:$E$583,1,FALSE)),"NO","SI")</f>
        <v>NO</v>
      </c>
      <c r="D99" s="2" t="str">
        <f>IF(ISERROR(VLOOKUP(I99,[2]FRG!$S$19:$U$288,1,FALSE)),"NO","SI")</f>
        <v>NO</v>
      </c>
      <c r="E99" s="2" t="str">
        <f>IF(ISERROR(VLOOKUP(I99,[3]DATOS_PREINVERSION!$O$3:$R$475,1,FALSE)),"NO","SI")</f>
        <v>NO</v>
      </c>
      <c r="F99" s="2" t="s">
        <v>48</v>
      </c>
      <c r="G99" s="2" t="s">
        <v>393</v>
      </c>
      <c r="H99" s="2" t="s">
        <v>397</v>
      </c>
      <c r="I99" s="7">
        <v>40081458</v>
      </c>
      <c r="J99" s="3" t="s">
        <v>935</v>
      </c>
      <c r="K99" s="3"/>
      <c r="L99" s="2"/>
      <c r="M99" s="15" t="s">
        <v>63</v>
      </c>
      <c r="N99" s="10">
        <v>46272</v>
      </c>
      <c r="O99" s="10"/>
      <c r="P99" s="37" t="str">
        <f>IF(NETWORKDAYS(N99,O99,Feriados!$J$2:$J$22)-1&gt;=0,NETWORKDAYS(N99,O99,Feriados!$J$2:$J$22)-1,"NO APLICA")</f>
        <v>NO APLICA</v>
      </c>
      <c r="Q99" s="10">
        <v>46272</v>
      </c>
      <c r="R99" s="9">
        <f t="shared" si="10"/>
        <v>46287</v>
      </c>
      <c r="S99" s="43"/>
      <c r="T99" s="2">
        <v>15</v>
      </c>
      <c r="U99" s="9">
        <f>WORKDAY(Q99,T99,Feriados!$J$2:$J$22)</f>
        <v>46294</v>
      </c>
      <c r="V99" s="2">
        <f t="shared" si="12"/>
        <v>-46272</v>
      </c>
      <c r="W99" s="38" t="str">
        <f>IF(NETWORKDAYS(Q99,S99,Feriados!$J$2:$J$22)-1&gt;=0,NETWORKDAYS(Q99,S99,Feriados!$J$2:$J$22)-1,"NO APLICA")</f>
        <v>NO APLICA</v>
      </c>
      <c r="X99" s="13">
        <f t="shared" ca="1" si="11"/>
        <v>-2</v>
      </c>
      <c r="Y99" s="2"/>
      <c r="Z99" s="2"/>
      <c r="AA99" s="57"/>
      <c r="AB99" s="88"/>
      <c r="AC99" s="2"/>
    </row>
    <row r="100" spans="1:29" ht="42.75" x14ac:dyDescent="0.2">
      <c r="A100" s="105">
        <v>100</v>
      </c>
      <c r="B100" s="2">
        <v>29</v>
      </c>
      <c r="C100" s="36" t="str">
        <f>IF(ISERROR(VLOOKUP(I100,[1]DEP!$B$3:$E$583,1,FALSE)),"NO","SI")</f>
        <v>NO</v>
      </c>
      <c r="D100" s="2" t="str">
        <f>IF(ISERROR(VLOOKUP(I100,[2]FRG!$S$19:$U$288,1,FALSE)),"NO","SI")</f>
        <v>NO</v>
      </c>
      <c r="E100" s="2" t="str">
        <f>IF(ISERROR(VLOOKUP(I100,[3]DATOS_PREINVERSION!$O$3:$R$475,1,FALSE)),"NO","SI")</f>
        <v>NO</v>
      </c>
      <c r="F100" s="2" t="s">
        <v>48</v>
      </c>
      <c r="G100" s="2" t="s">
        <v>393</v>
      </c>
      <c r="H100" s="2" t="s">
        <v>397</v>
      </c>
      <c r="I100" s="7">
        <v>40083053</v>
      </c>
      <c r="J100" s="3" t="s">
        <v>936</v>
      </c>
      <c r="K100" s="3"/>
      <c r="L100" s="2"/>
      <c r="M100" s="15" t="s">
        <v>63</v>
      </c>
      <c r="N100" s="10">
        <v>46272</v>
      </c>
      <c r="O100" s="10"/>
      <c r="P100" s="37" t="str">
        <f>IF(NETWORKDAYS(N100,O100,Feriados!$J$2:$J$22)-1&gt;=0,NETWORKDAYS(N100,O100,Feriados!$J$2:$J$22)-1,"NO APLICA")</f>
        <v>NO APLICA</v>
      </c>
      <c r="Q100" s="10">
        <v>46272</v>
      </c>
      <c r="R100" s="9">
        <f t="shared" si="10"/>
        <v>46287</v>
      </c>
      <c r="S100" s="43"/>
      <c r="T100" s="2">
        <v>15</v>
      </c>
      <c r="U100" s="9">
        <f>WORKDAY(Q100,T100,Feriados!$J$2:$J$22)</f>
        <v>46294</v>
      </c>
      <c r="V100" s="2">
        <f t="shared" si="12"/>
        <v>-46272</v>
      </c>
      <c r="W100" s="38" t="str">
        <f>IF(NETWORKDAYS(Q100,S100,Feriados!$J$2:$J$22)-1&gt;=0,NETWORKDAYS(Q100,S100,Feriados!$J$2:$J$22)-1,"NO APLICA")</f>
        <v>NO APLICA</v>
      </c>
      <c r="X100" s="13">
        <f t="shared" ca="1" si="11"/>
        <v>-2</v>
      </c>
      <c r="Y100" s="2"/>
      <c r="Z100" s="2"/>
      <c r="AA100" s="57"/>
      <c r="AB100" s="88"/>
      <c r="AC100" s="2"/>
    </row>
    <row r="101" spans="1:29" ht="28.5" x14ac:dyDescent="0.2">
      <c r="A101" s="105">
        <v>101</v>
      </c>
      <c r="B101" s="2">
        <v>29</v>
      </c>
      <c r="C101" s="36" t="str">
        <f>IF(ISERROR(VLOOKUP(I101,[1]DEP!$B$3:$E$583,1,FALSE)),"NO","SI")</f>
        <v>NO</v>
      </c>
      <c r="D101" s="2" t="str">
        <f>IF(ISERROR(VLOOKUP(I101,[2]FRG!$S$19:$U$288,1,FALSE)),"NO","SI")</f>
        <v>NO</v>
      </c>
      <c r="E101" s="2" t="str">
        <f>IF(ISERROR(VLOOKUP(I101,[3]DATOS_PREINVERSION!$O$3:$R$475,1,FALSE)),"NO","SI")</f>
        <v>NO</v>
      </c>
      <c r="F101" s="2" t="s">
        <v>48</v>
      </c>
      <c r="G101" s="2" t="s">
        <v>393</v>
      </c>
      <c r="H101" s="2" t="s">
        <v>397</v>
      </c>
      <c r="I101" s="7">
        <v>40083052</v>
      </c>
      <c r="J101" s="3" t="s">
        <v>937</v>
      </c>
      <c r="K101" s="3"/>
      <c r="L101" s="2"/>
      <c r="M101" s="15" t="s">
        <v>63</v>
      </c>
      <c r="N101" s="10">
        <v>46272</v>
      </c>
      <c r="O101" s="10"/>
      <c r="P101" s="37" t="str">
        <f>IF(NETWORKDAYS(N101,O101,Feriados!$J$2:$J$22)-1&gt;=0,NETWORKDAYS(N101,O101,Feriados!$J$2:$J$22)-1,"NO APLICA")</f>
        <v>NO APLICA</v>
      </c>
      <c r="Q101" s="10">
        <v>46272</v>
      </c>
      <c r="R101" s="9">
        <f t="shared" si="10"/>
        <v>46287</v>
      </c>
      <c r="S101" s="43"/>
      <c r="T101" s="2">
        <v>15</v>
      </c>
      <c r="U101" s="9">
        <f>WORKDAY(Q101,T101,Feriados!$J$2:$J$22)</f>
        <v>46294</v>
      </c>
      <c r="V101" s="2">
        <f t="shared" si="12"/>
        <v>-46272</v>
      </c>
      <c r="W101" s="38" t="str">
        <f>IF(NETWORKDAYS(Q101,S101,Feriados!$J$2:$J$22)-1&gt;=0,NETWORKDAYS(Q101,S101,Feriados!$J$2:$J$22)-1,"NO APLICA")</f>
        <v>NO APLICA</v>
      </c>
      <c r="X101" s="13">
        <f t="shared" ca="1" si="11"/>
        <v>-2</v>
      </c>
      <c r="Y101" s="2"/>
      <c r="Z101" s="2"/>
      <c r="AA101" s="57"/>
      <c r="AB101" s="88"/>
      <c r="AC101" s="2"/>
    </row>
    <row r="102" spans="1:29" ht="28.5" x14ac:dyDescent="0.2">
      <c r="A102" s="105">
        <v>102</v>
      </c>
      <c r="B102" s="2">
        <v>29</v>
      </c>
      <c r="C102" s="36" t="str">
        <f>IF(ISERROR(VLOOKUP(I102,[1]DEP!$B$3:$E$583,1,FALSE)),"NO","SI")</f>
        <v>NO</v>
      </c>
      <c r="D102" s="2" t="str">
        <f>IF(ISERROR(VLOOKUP(I102,[2]FRG!$S$19:$U$288,1,FALSE)),"NO","SI")</f>
        <v>NO</v>
      </c>
      <c r="E102" s="2" t="str">
        <f>IF(ISERROR(VLOOKUP(I102,[3]DATOS_PREINVERSION!$O$3:$R$475,1,FALSE)),"NO","SI")</f>
        <v>NO</v>
      </c>
      <c r="F102" s="2" t="s">
        <v>48</v>
      </c>
      <c r="G102" s="2" t="s">
        <v>393</v>
      </c>
      <c r="H102" s="2" t="s">
        <v>397</v>
      </c>
      <c r="I102" s="7">
        <v>40083055</v>
      </c>
      <c r="J102" s="3" t="s">
        <v>938</v>
      </c>
      <c r="K102" s="3"/>
      <c r="L102" s="2"/>
      <c r="M102" s="15" t="s">
        <v>63</v>
      </c>
      <c r="N102" s="10">
        <v>46272</v>
      </c>
      <c r="O102" s="10"/>
      <c r="P102" s="37" t="str">
        <f>IF(NETWORKDAYS(N102,O102,Feriados!$J$2:$J$22)-1&gt;=0,NETWORKDAYS(N102,O102,Feriados!$J$2:$J$22)-1,"NO APLICA")</f>
        <v>NO APLICA</v>
      </c>
      <c r="Q102" s="10">
        <v>46272</v>
      </c>
      <c r="R102" s="9">
        <f t="shared" si="10"/>
        <v>46287</v>
      </c>
      <c r="S102" s="43"/>
      <c r="T102" s="2">
        <v>15</v>
      </c>
      <c r="U102" s="9">
        <f>WORKDAY(Q102,T102,Feriados!$J$2:$J$22)</f>
        <v>46294</v>
      </c>
      <c r="V102" s="2">
        <f t="shared" si="12"/>
        <v>-46272</v>
      </c>
      <c r="W102" s="38" t="str">
        <f>IF(NETWORKDAYS(Q102,S102,Feriados!$J$2:$J$22)-1&gt;=0,NETWORKDAYS(Q102,S102,Feriados!$J$2:$J$22)-1,"NO APLICA")</f>
        <v>NO APLICA</v>
      </c>
      <c r="X102" s="13">
        <f t="shared" ca="1" si="11"/>
        <v>-2</v>
      </c>
      <c r="Y102" s="2"/>
      <c r="Z102" s="2"/>
      <c r="AA102" s="57"/>
      <c r="AB102" s="88"/>
      <c r="AC102" s="2"/>
    </row>
    <row r="103" spans="1:29" ht="28.5" x14ac:dyDescent="0.2">
      <c r="A103" s="105">
        <v>103</v>
      </c>
      <c r="B103" s="2">
        <v>31</v>
      </c>
      <c r="C103" s="36" t="str">
        <f>IF(ISERROR(VLOOKUP(I103,[1]DEP!$B$3:$E$583,1,FALSE)),"NO","SI")</f>
        <v>NO</v>
      </c>
      <c r="D103" s="2" t="str">
        <f>IF(ISERROR(VLOOKUP(I103,[2]FRG!$S$19:$U$288,1,FALSE)),"NO","SI")</f>
        <v>NO</v>
      </c>
      <c r="E103" s="2" t="str">
        <f>IF(ISERROR(VLOOKUP(I103,[3]DATOS_PREINVERSION!$O$3:$R$475,1,FALSE)),"NO","SI")</f>
        <v>NO</v>
      </c>
      <c r="F103" s="2" t="s">
        <v>568</v>
      </c>
      <c r="G103" s="2" t="s">
        <v>877</v>
      </c>
      <c r="H103" s="2" t="s">
        <v>18</v>
      </c>
      <c r="I103" s="7">
        <v>40081688</v>
      </c>
      <c r="J103" s="3" t="s">
        <v>939</v>
      </c>
      <c r="K103" s="3"/>
      <c r="L103" s="2"/>
      <c r="M103" s="15" t="s">
        <v>63</v>
      </c>
      <c r="N103" s="10">
        <v>46273</v>
      </c>
      <c r="O103" s="10"/>
      <c r="P103" s="37" t="str">
        <f>IF(NETWORKDAYS(N103,O103,Feriados!$J$2:$J$22)-1&gt;=0,NETWORKDAYS(N103,O103,Feriados!$J$2:$J$22)-1,"NO APLICA")</f>
        <v>NO APLICA</v>
      </c>
      <c r="Q103" s="10">
        <v>46273</v>
      </c>
      <c r="R103" s="9">
        <f t="shared" si="10"/>
        <v>46288</v>
      </c>
      <c r="S103" s="43"/>
      <c r="T103" s="2">
        <v>15</v>
      </c>
      <c r="U103" s="9">
        <f>WORKDAY(Q103,T103,Feriados!$J$2:$J$22)</f>
        <v>46295</v>
      </c>
      <c r="V103" s="2">
        <f t="shared" si="12"/>
        <v>-46273</v>
      </c>
      <c r="W103" s="38" t="str">
        <f>IF(NETWORKDAYS(Q103,S103,Feriados!$J$2:$J$22)-1&gt;=0,NETWORKDAYS(Q103,S103,Feriados!$J$2:$J$22)-1,"NO APLICA")</f>
        <v>NO APLICA</v>
      </c>
      <c r="X103" s="13">
        <f t="shared" ca="1" si="11"/>
        <v>-1</v>
      </c>
      <c r="Y103" s="2"/>
      <c r="Z103" s="2"/>
      <c r="AA103" s="57"/>
      <c r="AB103" s="88"/>
      <c r="AC103" s="2"/>
    </row>
    <row r="104" spans="1:29" ht="28.5" x14ac:dyDescent="0.2">
      <c r="A104" s="105">
        <v>104</v>
      </c>
      <c r="B104" s="2">
        <v>29</v>
      </c>
      <c r="C104" s="36" t="str">
        <f>IF(ISERROR(VLOOKUP(I104,[1]DEP!$B$3:$E$583,1,FALSE)),"NO","SI")</f>
        <v>NO</v>
      </c>
      <c r="D104" s="2" t="str">
        <f>IF(ISERROR(VLOOKUP(I104,[2]FRG!$S$19:$U$288,1,FALSE)),"NO","SI")</f>
        <v>NO</v>
      </c>
      <c r="E104" s="2" t="str">
        <f>IF(ISERROR(VLOOKUP(I104,[3]DATOS_PREINVERSION!$O$3:$R$475,1,FALSE)),"NO","SI")</f>
        <v>NO</v>
      </c>
      <c r="F104" s="2" t="s">
        <v>42</v>
      </c>
      <c r="G104" s="2" t="s">
        <v>65</v>
      </c>
      <c r="H104" s="2" t="s">
        <v>29</v>
      </c>
      <c r="I104" s="7">
        <v>40077708</v>
      </c>
      <c r="J104" s="3" t="s">
        <v>943</v>
      </c>
      <c r="K104" s="3"/>
      <c r="L104" s="2"/>
      <c r="M104" s="15" t="s">
        <v>63</v>
      </c>
      <c r="N104" s="10">
        <v>46287</v>
      </c>
      <c r="O104" s="10"/>
      <c r="P104" s="37" t="str">
        <f>IF(NETWORKDAYS(N104,O104,Feriados!$J$2:$J$22)-1&gt;=0,NETWORKDAYS(N104,O104,Feriados!$J$2:$J$22)-1,"NO APLICA")</f>
        <v>NO APLICA</v>
      </c>
      <c r="Q104" s="10">
        <v>46287</v>
      </c>
      <c r="R104" s="9">
        <f t="shared" si="10"/>
        <v>46302</v>
      </c>
      <c r="S104" s="43"/>
      <c r="T104" s="2">
        <v>15</v>
      </c>
      <c r="U104" s="9">
        <f>WORKDAY(Q104,T104,Feriados!$J$2:$J$22)</f>
        <v>46309</v>
      </c>
      <c r="V104" s="2">
        <f t="shared" ref="V104:V110" si="13">+S104-Q104</f>
        <v>-46287</v>
      </c>
      <c r="W104" s="38" t="str">
        <f>IF(NETWORKDAYS(Q104,S104,Feriados!$J$2:$J$22)-1&gt;=0,NETWORKDAYS(Q104,S104,Feriados!$J$2:$J$22)-1,"NO APLICA")</f>
        <v>NO APLICA</v>
      </c>
      <c r="X104" s="13">
        <f t="shared" ref="X104:X110" ca="1" si="14">SUM(U104-TODAY())</f>
        <v>13</v>
      </c>
      <c r="Y104" s="2"/>
      <c r="Z104" s="2"/>
      <c r="AA104" s="57"/>
      <c r="AB104" s="88"/>
      <c r="AC104" s="2"/>
    </row>
    <row r="105" spans="1:29" ht="28.5" x14ac:dyDescent="0.2">
      <c r="A105" s="105">
        <v>105</v>
      </c>
      <c r="B105" s="2">
        <v>29</v>
      </c>
      <c r="C105" s="36" t="str">
        <f>IF(ISERROR(VLOOKUP(I105,[1]DEP!$B$3:$E$583,1,FALSE)),"NO","SI")</f>
        <v>NO</v>
      </c>
      <c r="D105" s="2" t="str">
        <f>IF(ISERROR(VLOOKUP(I105,[2]FRG!$S$19:$U$288,1,FALSE)),"NO","SI")</f>
        <v>NO</v>
      </c>
      <c r="E105" s="2" t="str">
        <f>IF(ISERROR(VLOOKUP(I105,[3]DATOS_PREINVERSION!$O$3:$R$475,1,FALSE)),"NO","SI")</f>
        <v>NO</v>
      </c>
      <c r="F105" s="2" t="s">
        <v>175</v>
      </c>
      <c r="G105" s="2" t="s">
        <v>51</v>
      </c>
      <c r="H105" s="2" t="s">
        <v>78</v>
      </c>
      <c r="I105" s="7">
        <v>40066926</v>
      </c>
      <c r="J105" s="3" t="s">
        <v>946</v>
      </c>
      <c r="K105" s="3"/>
      <c r="L105" s="2"/>
      <c r="M105" s="15" t="s">
        <v>63</v>
      </c>
      <c r="N105" s="10">
        <v>46294</v>
      </c>
      <c r="O105" s="10"/>
      <c r="P105" s="37" t="str">
        <f>IF(NETWORKDAYS(N105,O105,Feriados!$J$2:$J$22)-1&gt;=0,NETWORKDAYS(N105,O105,Feriados!$J$2:$J$22)-1,"NO APLICA")</f>
        <v>NO APLICA</v>
      </c>
      <c r="Q105" s="10">
        <v>46294</v>
      </c>
      <c r="R105" s="9">
        <f t="shared" ref="R105" si="15">+Q105+T105</f>
        <v>46309</v>
      </c>
      <c r="S105" s="43"/>
      <c r="T105" s="2">
        <v>15</v>
      </c>
      <c r="U105" s="9">
        <f>WORKDAY(Q105,T105,Feriados!$J$2:$J$22)</f>
        <v>46316</v>
      </c>
      <c r="V105" s="2">
        <f t="shared" si="13"/>
        <v>-46294</v>
      </c>
      <c r="W105" s="38" t="str">
        <f>IF(NETWORKDAYS(Q105,S105,Feriados!$J$2:$J$22)-1&gt;=0,NETWORKDAYS(Q105,S105,Feriados!$J$2:$J$22)-1,"NO APLICA")</f>
        <v>NO APLICA</v>
      </c>
      <c r="X105" s="13">
        <f t="shared" ca="1" si="14"/>
        <v>20</v>
      </c>
      <c r="Y105" s="2"/>
      <c r="Z105" s="2"/>
      <c r="AA105" s="57"/>
      <c r="AB105" s="88"/>
      <c r="AC105" s="2"/>
    </row>
    <row r="106" spans="1:29" ht="28.5" x14ac:dyDescent="0.2">
      <c r="A106" s="105">
        <v>106</v>
      </c>
      <c r="B106" s="2">
        <v>29</v>
      </c>
      <c r="C106" s="36" t="str">
        <f>IF(ISERROR(VLOOKUP(I106,[1]DEP!$B$3:$E$583,1,FALSE)),"NO","SI")</f>
        <v>NO</v>
      </c>
      <c r="D106" s="2" t="str">
        <f>IF(ISERROR(VLOOKUP(I106,[2]FRG!$S$19:$U$288,1,FALSE)),"NO","SI")</f>
        <v>NO</v>
      </c>
      <c r="E106" s="2" t="str">
        <f>IF(ISERROR(VLOOKUP(I106,[3]DATOS_PREINVERSION!$O$3:$R$475,1,FALSE)),"NO","SI")</f>
        <v>SI</v>
      </c>
      <c r="F106" s="2" t="s">
        <v>42</v>
      </c>
      <c r="G106" s="2" t="s">
        <v>42</v>
      </c>
      <c r="H106" s="2" t="s">
        <v>837</v>
      </c>
      <c r="I106" s="7">
        <v>40079211</v>
      </c>
      <c r="J106" s="3" t="s">
        <v>947</v>
      </c>
      <c r="K106" s="3"/>
      <c r="L106" s="2"/>
      <c r="M106" s="15" t="s">
        <v>63</v>
      </c>
      <c r="N106" s="10">
        <v>46293</v>
      </c>
      <c r="O106" s="10"/>
      <c r="P106" s="37" t="str">
        <f>IF(NETWORKDAYS(N106,O106,Feriados!$J$2:$J$22)-1&gt;=0,NETWORKDAYS(N106,O106,Feriados!$J$2:$J$22)-1,"NO APLICA")</f>
        <v>NO APLICA</v>
      </c>
      <c r="Q106" s="10">
        <v>46293</v>
      </c>
      <c r="R106" s="9">
        <f t="shared" ref="R106" si="16">+Q106+T106</f>
        <v>46308</v>
      </c>
      <c r="S106" s="43"/>
      <c r="T106" s="2">
        <v>15</v>
      </c>
      <c r="U106" s="9">
        <f>WORKDAY(Q106,T106,Feriados!$J$2:$J$22)</f>
        <v>46315</v>
      </c>
      <c r="V106" s="2">
        <f t="shared" si="13"/>
        <v>-46293</v>
      </c>
      <c r="W106" s="38" t="str">
        <f>IF(NETWORKDAYS(Q106,S106,Feriados!$J$2:$J$22)-1&gt;=0,NETWORKDAYS(Q106,S106,Feriados!$J$2:$J$22)-1,"NO APLICA")</f>
        <v>NO APLICA</v>
      </c>
      <c r="X106" s="13">
        <f t="shared" ca="1" si="14"/>
        <v>19</v>
      </c>
      <c r="Y106" s="2"/>
      <c r="Z106" s="2"/>
      <c r="AA106" s="57"/>
      <c r="AB106" s="88"/>
      <c r="AC106" s="2"/>
    </row>
    <row r="107" spans="1:29" ht="28.5" x14ac:dyDescent="0.2">
      <c r="A107" s="105">
        <v>107</v>
      </c>
      <c r="B107" s="2">
        <v>31</v>
      </c>
      <c r="C107" s="36" t="str">
        <f>IF(ISERROR(VLOOKUP(I107,[1]DEP!$B$3:$E$583,1,FALSE)),"NO","SI")</f>
        <v>NO</v>
      </c>
      <c r="D107" s="2" t="str">
        <f>IF(ISERROR(VLOOKUP(I107,[2]FRG!$S$19:$U$288,1,FALSE)),"NO","SI")</f>
        <v>NO</v>
      </c>
      <c r="E107" s="2" t="str">
        <f>IF(ISERROR(VLOOKUP(I107,[3]DATOS_PREINVERSION!$O$3:$R$475,1,FALSE)),"NO","SI")</f>
        <v>NO</v>
      </c>
      <c r="F107" s="2" t="s">
        <v>45</v>
      </c>
      <c r="G107" s="2" t="s">
        <v>51</v>
      </c>
      <c r="H107" s="2" t="s">
        <v>11</v>
      </c>
      <c r="I107" s="7">
        <v>40083508</v>
      </c>
      <c r="J107" s="3" t="s">
        <v>948</v>
      </c>
      <c r="K107" s="3"/>
      <c r="L107" s="2"/>
      <c r="M107" s="15" t="s">
        <v>63</v>
      </c>
      <c r="N107" s="10">
        <v>46286</v>
      </c>
      <c r="O107" s="10"/>
      <c r="P107" s="37" t="str">
        <f>IF(NETWORKDAYS(N107,O107,Feriados!$J$2:$J$22)-1&gt;=0,NETWORKDAYS(N107,O107,Feriados!$J$2:$J$22)-1,"NO APLICA")</f>
        <v>NO APLICA</v>
      </c>
      <c r="Q107" s="10">
        <v>46286</v>
      </c>
      <c r="R107" s="9">
        <f t="shared" ref="R107" si="17">+Q107+T107</f>
        <v>46301</v>
      </c>
      <c r="S107" s="43"/>
      <c r="T107" s="2">
        <v>15</v>
      </c>
      <c r="U107" s="9">
        <f>WORKDAY(Q107,T107,Feriados!$J$2:$J$22)</f>
        <v>46308</v>
      </c>
      <c r="V107" s="2">
        <f t="shared" si="13"/>
        <v>-46286</v>
      </c>
      <c r="W107" s="38" t="str">
        <f>IF(NETWORKDAYS(Q107,S107,Feriados!$J$2:$J$22)-1&gt;=0,NETWORKDAYS(Q107,S107,Feriados!$J$2:$J$22)-1,"NO APLICA")</f>
        <v>NO APLICA</v>
      </c>
      <c r="X107" s="13">
        <f t="shared" ca="1" si="14"/>
        <v>12</v>
      </c>
      <c r="Y107" s="2"/>
      <c r="Z107" s="2"/>
      <c r="AA107" s="57"/>
      <c r="AB107" s="88"/>
      <c r="AC107" s="2"/>
    </row>
    <row r="108" spans="1:29" ht="28.5" x14ac:dyDescent="0.2">
      <c r="A108" s="105">
        <v>108</v>
      </c>
      <c r="B108" s="2">
        <v>31</v>
      </c>
      <c r="C108" s="36" t="str">
        <f>IF(ISERROR(VLOOKUP(I108,[1]DEP!$B$3:$E$583,1,FALSE)),"NO","SI")</f>
        <v>NO</v>
      </c>
      <c r="D108" s="2" t="str">
        <f>IF(ISERROR(VLOOKUP(I108,[2]FRG!$S$19:$U$288,1,FALSE)),"NO","SI")</f>
        <v>NO</v>
      </c>
      <c r="E108" s="2" t="str">
        <f>IF(ISERROR(VLOOKUP(I108,[3]DATOS_PREINVERSION!$O$3:$R$475,1,FALSE)),"NO","SI")</f>
        <v>NO</v>
      </c>
      <c r="F108" s="2" t="s">
        <v>45</v>
      </c>
      <c r="G108" s="2" t="s">
        <v>51</v>
      </c>
      <c r="H108" s="2" t="s">
        <v>11</v>
      </c>
      <c r="I108" s="7">
        <v>40083283</v>
      </c>
      <c r="J108" s="3" t="s">
        <v>949</v>
      </c>
      <c r="K108" s="3"/>
      <c r="L108" s="2"/>
      <c r="M108" s="15" t="s">
        <v>63</v>
      </c>
      <c r="N108" s="10">
        <v>46288</v>
      </c>
      <c r="O108" s="10"/>
      <c r="P108" s="37" t="str">
        <f>IF(NETWORKDAYS(N108,O108,Feriados!$J$2:$J$22)-1&gt;=0,NETWORKDAYS(N108,O108,Feriados!$J$2:$J$22)-1,"NO APLICA")</f>
        <v>NO APLICA</v>
      </c>
      <c r="Q108" s="10">
        <v>46288</v>
      </c>
      <c r="R108" s="9">
        <f t="shared" ref="R108" si="18">+Q108+T108</f>
        <v>46303</v>
      </c>
      <c r="S108" s="43"/>
      <c r="T108" s="2">
        <v>15</v>
      </c>
      <c r="U108" s="9">
        <f>WORKDAY(Q108,T108,Feriados!$J$2:$J$22)</f>
        <v>46310</v>
      </c>
      <c r="V108" s="2">
        <f t="shared" si="13"/>
        <v>-46288</v>
      </c>
      <c r="W108" s="38" t="str">
        <f>IF(NETWORKDAYS(Q108,S108,Feriados!$J$2:$J$22)-1&gt;=0,NETWORKDAYS(Q108,S108,Feriados!$J$2:$J$22)-1,"NO APLICA")</f>
        <v>NO APLICA</v>
      </c>
      <c r="X108" s="13">
        <f t="shared" ca="1" si="14"/>
        <v>14</v>
      </c>
      <c r="Y108" s="2"/>
      <c r="Z108" s="2"/>
      <c r="AA108" s="57"/>
      <c r="AB108" s="88"/>
      <c r="AC108" s="2"/>
    </row>
    <row r="109" spans="1:29" ht="28.5" x14ac:dyDescent="0.2">
      <c r="A109" s="105">
        <v>109</v>
      </c>
      <c r="B109" s="2">
        <v>29</v>
      </c>
      <c r="C109" s="36" t="str">
        <f>IF(ISERROR(VLOOKUP(I109,[1]DEP!$B$3:$E$583,1,FALSE)),"NO","SI")</f>
        <v>NO</v>
      </c>
      <c r="D109" s="2" t="str">
        <f>IF(ISERROR(VLOOKUP(I109,[2]FRG!$S$19:$U$288,1,FALSE)),"NO","SI")</f>
        <v>NO</v>
      </c>
      <c r="E109" s="2" t="str">
        <f>IF(ISERROR(VLOOKUP(I109,[3]DATOS_PREINVERSION!$O$3:$R$475,1,FALSE)),"NO","SI")</f>
        <v>NO</v>
      </c>
      <c r="F109" s="2" t="s">
        <v>45</v>
      </c>
      <c r="G109" s="2" t="s">
        <v>55</v>
      </c>
      <c r="H109" s="2" t="s">
        <v>78</v>
      </c>
      <c r="I109" s="7">
        <v>40073582</v>
      </c>
      <c r="J109" s="3" t="s">
        <v>950</v>
      </c>
      <c r="K109" s="3"/>
      <c r="L109" s="2"/>
      <c r="M109" s="15" t="s">
        <v>63</v>
      </c>
      <c r="N109" s="10">
        <v>46288</v>
      </c>
      <c r="O109" s="10"/>
      <c r="P109" s="37" t="str">
        <f>IF(NETWORKDAYS(N109,O109,Feriados!$J$2:$J$22)-1&gt;=0,NETWORKDAYS(N109,O109,Feriados!$J$2:$J$22)-1,"NO APLICA")</f>
        <v>NO APLICA</v>
      </c>
      <c r="Q109" s="10">
        <v>46288</v>
      </c>
      <c r="R109" s="9">
        <f t="shared" ref="R109" si="19">+Q109+T109</f>
        <v>46303</v>
      </c>
      <c r="S109" s="43"/>
      <c r="T109" s="2">
        <v>15</v>
      </c>
      <c r="U109" s="9">
        <f>WORKDAY(Q109,T109,Feriados!$J$2:$J$22)</f>
        <v>46310</v>
      </c>
      <c r="V109" s="2">
        <f t="shared" si="13"/>
        <v>-46288</v>
      </c>
      <c r="W109" s="38" t="str">
        <f>IF(NETWORKDAYS(Q109,S109,Feriados!$J$2:$J$22)-1&gt;=0,NETWORKDAYS(Q109,S109,Feriados!$J$2:$J$22)-1,"NO APLICA")</f>
        <v>NO APLICA</v>
      </c>
      <c r="X109" s="13">
        <f t="shared" ca="1" si="14"/>
        <v>14</v>
      </c>
      <c r="Y109" s="2"/>
      <c r="Z109" s="2"/>
      <c r="AA109" s="57"/>
      <c r="AB109" s="88"/>
      <c r="AC109" s="2"/>
    </row>
    <row r="110" spans="1:29" ht="28.5" x14ac:dyDescent="0.2">
      <c r="A110" s="105">
        <v>110</v>
      </c>
      <c r="B110" s="2">
        <v>31</v>
      </c>
      <c r="C110" s="36" t="str">
        <f>IF(ISERROR(VLOOKUP(I110,[1]DEP!$B$3:$E$583,1,FALSE)),"NO","SI")</f>
        <v>SI</v>
      </c>
      <c r="D110" s="2" t="str">
        <f>IF(ISERROR(VLOOKUP(I110,[2]FRG!$S$19:$U$288,1,FALSE)),"NO","SI")</f>
        <v>NO</v>
      </c>
      <c r="E110" s="2" t="str">
        <f>IF(ISERROR(VLOOKUP(I110,[3]DATOS_PREINVERSION!$O$3:$R$475,1,FALSE)),"NO","SI")</f>
        <v>SI</v>
      </c>
      <c r="F110" s="2" t="s">
        <v>45</v>
      </c>
      <c r="G110" s="2" t="s">
        <v>70</v>
      </c>
      <c r="H110" s="2" t="s">
        <v>6</v>
      </c>
      <c r="I110" s="7">
        <v>40038210</v>
      </c>
      <c r="J110" s="3" t="s">
        <v>951</v>
      </c>
      <c r="K110" s="3"/>
      <c r="L110" s="2"/>
      <c r="M110" s="15" t="s">
        <v>63</v>
      </c>
      <c r="N110" s="10">
        <v>46295</v>
      </c>
      <c r="O110" s="10"/>
      <c r="P110" s="37" t="str">
        <f>IF(NETWORKDAYS(N110,O110,Feriados!$J$2:$J$22)-1&gt;=0,NETWORKDAYS(N110,O110,Feriados!$J$2:$J$22)-1,"NO APLICA")</f>
        <v>NO APLICA</v>
      </c>
      <c r="Q110" s="10">
        <v>46295</v>
      </c>
      <c r="R110" s="9">
        <f t="shared" ref="R110" si="20">+Q110+T110</f>
        <v>46310</v>
      </c>
      <c r="S110" s="43"/>
      <c r="T110" s="2">
        <v>15</v>
      </c>
      <c r="U110" s="9">
        <f>WORKDAY(Q110,T110,Feriados!$J$2:$J$22)</f>
        <v>46317</v>
      </c>
      <c r="V110" s="2">
        <f t="shared" si="13"/>
        <v>-46295</v>
      </c>
      <c r="W110" s="38" t="str">
        <f>IF(NETWORKDAYS(Q110,S110,Feriados!$J$2:$J$22)-1&gt;=0,NETWORKDAYS(Q110,S110,Feriados!$J$2:$J$22)-1,"NO APLICA")</f>
        <v>NO APLICA</v>
      </c>
      <c r="X110" s="13">
        <f t="shared" ca="1" si="14"/>
        <v>21</v>
      </c>
      <c r="Y110" s="2"/>
      <c r="Z110" s="2"/>
      <c r="AA110" s="57"/>
      <c r="AB110" s="88"/>
      <c r="AC110" s="2"/>
    </row>
    <row r="111" spans="1:29" ht="28.5" x14ac:dyDescent="0.2">
      <c r="A111" s="105">
        <v>111</v>
      </c>
      <c r="B111" s="2">
        <v>29</v>
      </c>
      <c r="C111" s="36" t="str">
        <f>IF(ISERROR(VLOOKUP(I111,[1]DEP!$B$3:$E$583,1,FALSE)),"NO","SI")</f>
        <v>NO</v>
      </c>
      <c r="D111" s="2" t="str">
        <f>IF(ISERROR(VLOOKUP(I111,[2]FRG!$S$19:$U$288,1,FALSE)),"NO","SI")</f>
        <v>NO</v>
      </c>
      <c r="E111" s="2" t="str">
        <f>IF(ISERROR(VLOOKUP(I111,[3]DATOS_PREINVERSION!$O$3:$R$475,1,FALSE)),"NO","SI")</f>
        <v>NO</v>
      </c>
      <c r="F111" s="2" t="s">
        <v>45</v>
      </c>
      <c r="G111" s="2" t="s">
        <v>70</v>
      </c>
      <c r="H111" s="2" t="s">
        <v>6</v>
      </c>
      <c r="I111" s="7">
        <v>40073084</v>
      </c>
      <c r="J111" s="3" t="s">
        <v>952</v>
      </c>
      <c r="K111" s="3"/>
      <c r="L111" s="2"/>
      <c r="M111" s="15" t="s">
        <v>63</v>
      </c>
      <c r="N111" s="10">
        <v>46295</v>
      </c>
      <c r="O111" s="10"/>
      <c r="P111" s="37" t="str">
        <f>IF(NETWORKDAYS(N111,O111,Feriados!$J$2:$J$22)-1&gt;=0,NETWORKDAYS(N111,O111,Feriados!$J$2:$J$22)-1,"NO APLICA")</f>
        <v>NO APLICA</v>
      </c>
      <c r="Q111" s="10">
        <v>46295</v>
      </c>
      <c r="R111" s="9">
        <f t="shared" ref="R111" si="21">+Q111+T111</f>
        <v>46310</v>
      </c>
      <c r="S111" s="43"/>
      <c r="T111" s="2">
        <v>15</v>
      </c>
      <c r="U111" s="9">
        <f>WORKDAY(Q111,T111,Feriados!$J$2:$J$22)</f>
        <v>46317</v>
      </c>
      <c r="V111" s="2">
        <f t="shared" ref="V111" si="22">+S111-Q111</f>
        <v>-46295</v>
      </c>
      <c r="W111" s="38" t="str">
        <f>IF(NETWORKDAYS(Q111,S111,Feriados!$J$2:$J$22)-1&gt;=0,NETWORKDAYS(Q111,S111,Feriados!$J$2:$J$22)-1,"NO APLICA")</f>
        <v>NO APLICA</v>
      </c>
      <c r="X111" s="13">
        <f t="shared" ref="X111" ca="1" si="23">SUM(U111-TODAY())</f>
        <v>21</v>
      </c>
      <c r="Y111" s="2"/>
      <c r="Z111" s="2"/>
      <c r="AA111" s="57"/>
      <c r="AB111" s="88"/>
      <c r="AC111" s="2"/>
    </row>
    <row r="112" spans="1:29" hidden="1" x14ac:dyDescent="0.2">
      <c r="A112" s="105"/>
      <c r="B112" s="141"/>
      <c r="C112" s="142"/>
      <c r="D112" s="141"/>
      <c r="E112" s="141"/>
      <c r="F112" s="141"/>
      <c r="G112" s="141"/>
      <c r="H112" s="141"/>
      <c r="I112" s="143"/>
      <c r="J112" s="144"/>
      <c r="K112" s="144"/>
      <c r="L112" s="141"/>
      <c r="M112" s="145"/>
      <c r="N112" s="146"/>
      <c r="O112" s="146"/>
      <c r="P112" s="147"/>
      <c r="Q112" s="146"/>
      <c r="R112" s="148"/>
      <c r="S112" s="149"/>
      <c r="T112" s="141"/>
      <c r="U112" s="148"/>
      <c r="V112" s="141"/>
      <c r="W112" s="150"/>
      <c r="X112" s="151"/>
      <c r="Y112" s="141"/>
      <c r="Z112" s="2"/>
      <c r="AA112" s="152"/>
      <c r="AB112" s="153"/>
      <c r="AC112" s="12"/>
    </row>
    <row r="113" spans="1:29" hidden="1" x14ac:dyDescent="0.2">
      <c r="A113" s="105"/>
      <c r="B113" s="141"/>
      <c r="C113" s="142"/>
      <c r="D113" s="141"/>
      <c r="E113" s="141"/>
      <c r="F113" s="141"/>
      <c r="G113" s="141"/>
      <c r="H113" s="141"/>
      <c r="I113" s="143"/>
      <c r="J113" s="144"/>
      <c r="K113" s="144"/>
      <c r="L113" s="141"/>
      <c r="M113" s="145"/>
      <c r="N113" s="146"/>
      <c r="O113" s="146"/>
      <c r="P113" s="147"/>
      <c r="Q113" s="146"/>
      <c r="R113" s="148"/>
      <c r="S113" s="149"/>
      <c r="T113" s="141"/>
      <c r="U113" s="148"/>
      <c r="V113" s="141"/>
      <c r="W113" s="150"/>
      <c r="X113" s="151"/>
      <c r="Y113" s="141"/>
      <c r="Z113" s="2"/>
      <c r="AA113" s="152"/>
      <c r="AB113" s="153"/>
      <c r="AC113" s="12"/>
    </row>
    <row r="114" spans="1:29" hidden="1" x14ac:dyDescent="0.2">
      <c r="A114" s="105"/>
      <c r="B114" s="141"/>
      <c r="C114" s="142"/>
      <c r="D114" s="141"/>
      <c r="E114" s="141"/>
      <c r="F114" s="141"/>
      <c r="G114" s="141"/>
      <c r="H114" s="141"/>
      <c r="I114" s="143"/>
      <c r="J114" s="144"/>
      <c r="K114" s="144"/>
      <c r="L114" s="141"/>
      <c r="M114" s="145"/>
      <c r="N114" s="146"/>
      <c r="O114" s="146"/>
      <c r="P114" s="147"/>
      <c r="Q114" s="146"/>
      <c r="R114" s="148"/>
      <c r="S114" s="149"/>
      <c r="T114" s="141"/>
      <c r="U114" s="148"/>
      <c r="V114" s="141"/>
      <c r="W114" s="150"/>
      <c r="X114" s="151"/>
      <c r="Y114" s="141"/>
      <c r="Z114" s="2"/>
      <c r="AA114" s="152"/>
      <c r="AB114" s="153"/>
      <c r="AC114" s="12"/>
    </row>
    <row r="115" spans="1:29" hidden="1" x14ac:dyDescent="0.2">
      <c r="A115" s="105"/>
      <c r="B115" s="141"/>
      <c r="C115" s="142"/>
      <c r="D115" s="141"/>
      <c r="E115" s="141"/>
      <c r="F115" s="141"/>
      <c r="G115" s="141"/>
      <c r="H115" s="141"/>
      <c r="I115" s="143"/>
      <c r="J115" s="144"/>
      <c r="K115" s="144"/>
      <c r="L115" s="141"/>
      <c r="M115" s="145"/>
      <c r="N115" s="146"/>
      <c r="O115" s="146"/>
      <c r="P115" s="147"/>
      <c r="Q115" s="146"/>
      <c r="R115" s="148"/>
      <c r="S115" s="149"/>
      <c r="T115" s="141"/>
      <c r="U115" s="148"/>
      <c r="V115" s="141"/>
      <c r="W115" s="150"/>
      <c r="X115" s="151"/>
      <c r="Y115" s="141"/>
      <c r="Z115" s="2"/>
      <c r="AA115" s="152"/>
      <c r="AB115" s="153"/>
      <c r="AC115" s="12"/>
    </row>
    <row r="116" spans="1:29" hidden="1" x14ac:dyDescent="0.2">
      <c r="A116" s="105">
        <v>108</v>
      </c>
      <c r="C116" s="39" t="s">
        <v>944</v>
      </c>
      <c r="Z116" s="2"/>
      <c r="AC116" s="107"/>
    </row>
    <row r="117" spans="1:29" hidden="1" x14ac:dyDescent="0.2">
      <c r="A117" s="105">
        <v>109</v>
      </c>
      <c r="J117" s="53"/>
      <c r="M117" s="15" t="s">
        <v>698</v>
      </c>
      <c r="Z117" s="2" t="s">
        <v>157</v>
      </c>
      <c r="AC117" s="107" t="s">
        <v>366</v>
      </c>
    </row>
    <row r="118" spans="1:29" ht="57" hidden="1" x14ac:dyDescent="0.2">
      <c r="A118" s="105">
        <v>110</v>
      </c>
      <c r="J118" s="53"/>
      <c r="K118" s="132"/>
      <c r="M118" s="15" t="s">
        <v>705</v>
      </c>
      <c r="Z118" s="2" t="s">
        <v>152</v>
      </c>
      <c r="AC118" s="107" t="s">
        <v>542</v>
      </c>
    </row>
    <row r="119" spans="1:29" hidden="1" x14ac:dyDescent="0.2">
      <c r="A119" s="105">
        <v>42</v>
      </c>
      <c r="M119" s="15" t="s">
        <v>860</v>
      </c>
      <c r="Z119" s="2" t="s">
        <v>338</v>
      </c>
      <c r="AC119" s="107" t="s">
        <v>820</v>
      </c>
    </row>
    <row r="120" spans="1:29" ht="28.5" hidden="1" x14ac:dyDescent="0.2">
      <c r="A120" s="105">
        <v>43</v>
      </c>
      <c r="M120" s="15" t="s">
        <v>62</v>
      </c>
      <c r="Z120" s="2" t="s">
        <v>314</v>
      </c>
      <c r="AC120" s="107" t="s">
        <v>694</v>
      </c>
    </row>
    <row r="121" spans="1:29" hidden="1" x14ac:dyDescent="0.2">
      <c r="A121" s="105">
        <v>44</v>
      </c>
      <c r="M121" s="15" t="s">
        <v>74</v>
      </c>
      <c r="Z121" s="2" t="s">
        <v>154</v>
      </c>
      <c r="AC121" s="3" t="s">
        <v>366</v>
      </c>
    </row>
    <row r="122" spans="1:29" hidden="1" x14ac:dyDescent="0.2">
      <c r="A122" s="105">
        <v>45</v>
      </c>
      <c r="M122" s="15" t="s">
        <v>867</v>
      </c>
      <c r="Z122" s="2" t="s">
        <v>154</v>
      </c>
      <c r="AC122" s="2" t="s">
        <v>366</v>
      </c>
    </row>
    <row r="123" spans="1:29" hidden="1" x14ac:dyDescent="0.2">
      <c r="A123" s="105">
        <v>46</v>
      </c>
      <c r="Z123" s="2" t="s">
        <v>338</v>
      </c>
      <c r="AC123" s="3" t="s">
        <v>366</v>
      </c>
    </row>
    <row r="124" spans="1:29" hidden="1" x14ac:dyDescent="0.2">
      <c r="A124" s="105">
        <v>47</v>
      </c>
      <c r="Z124" s="2" t="s">
        <v>154</v>
      </c>
      <c r="AC124" s="3" t="s">
        <v>366</v>
      </c>
    </row>
    <row r="125" spans="1:29" hidden="1" x14ac:dyDescent="0.2">
      <c r="A125" s="105">
        <v>48</v>
      </c>
      <c r="Z125" s="2" t="s">
        <v>154</v>
      </c>
      <c r="AC125" s="2" t="s">
        <v>366</v>
      </c>
    </row>
    <row r="126" spans="1:29" ht="28.5" hidden="1" x14ac:dyDescent="0.2">
      <c r="A126" s="105">
        <v>49</v>
      </c>
      <c r="Z126" s="2" t="s">
        <v>314</v>
      </c>
      <c r="AC126" s="2" t="s">
        <v>694</v>
      </c>
    </row>
    <row r="127" spans="1:29" ht="28.5" hidden="1" x14ac:dyDescent="0.2">
      <c r="A127" s="105">
        <v>50</v>
      </c>
      <c r="Z127" s="2" t="s">
        <v>314</v>
      </c>
      <c r="AC127" s="2" t="s">
        <v>694</v>
      </c>
    </row>
    <row r="128" spans="1:29" ht="57" hidden="1" x14ac:dyDescent="0.2">
      <c r="A128" s="105">
        <v>51</v>
      </c>
      <c r="Z128" s="2" t="s">
        <v>157</v>
      </c>
      <c r="AC128" s="2" t="s">
        <v>542</v>
      </c>
    </row>
    <row r="129" spans="1:29" hidden="1" x14ac:dyDescent="0.2">
      <c r="A129" s="105">
        <v>52</v>
      </c>
      <c r="Z129" s="2" t="s">
        <v>154</v>
      </c>
      <c r="AC129" s="2" t="s">
        <v>366</v>
      </c>
    </row>
    <row r="130" spans="1:29" hidden="1" x14ac:dyDescent="0.2">
      <c r="A130" s="105">
        <v>53</v>
      </c>
      <c r="J130" s="128" t="s">
        <v>849</v>
      </c>
      <c r="K130" s="130">
        <v>305704</v>
      </c>
      <c r="N130" s="19">
        <v>488099</v>
      </c>
      <c r="Z130" s="2" t="s">
        <v>157</v>
      </c>
      <c r="AC130" s="3" t="s">
        <v>366</v>
      </c>
    </row>
    <row r="131" spans="1:29" hidden="1" x14ac:dyDescent="0.2">
      <c r="A131" s="105">
        <v>54</v>
      </c>
      <c r="J131" s="129" t="s">
        <v>850</v>
      </c>
      <c r="K131" s="130">
        <v>1091574</v>
      </c>
      <c r="N131" s="19">
        <v>15000</v>
      </c>
      <c r="Z131" s="2" t="s">
        <v>697</v>
      </c>
      <c r="AC131" s="2" t="s">
        <v>786</v>
      </c>
    </row>
    <row r="132" spans="1:29" hidden="1" x14ac:dyDescent="0.25">
      <c r="A132" s="105">
        <v>55</v>
      </c>
      <c r="J132" s="127"/>
      <c r="K132" s="130">
        <f>SUBTOTAL(9,K130:K131)</f>
        <v>0</v>
      </c>
      <c r="N132" s="19">
        <f>SUM(N130:N131)</f>
        <v>503099</v>
      </c>
      <c r="Z132" s="2" t="s">
        <v>157</v>
      </c>
      <c r="AC132" s="2" t="s">
        <v>366</v>
      </c>
    </row>
    <row r="133" spans="1:29" hidden="1" x14ac:dyDescent="0.25">
      <c r="A133" s="105">
        <v>56</v>
      </c>
      <c r="J133" s="127"/>
      <c r="Z133" s="2" t="s">
        <v>161</v>
      </c>
      <c r="AC133" s="2" t="s">
        <v>786</v>
      </c>
    </row>
    <row r="134" spans="1:29" hidden="1" x14ac:dyDescent="0.2">
      <c r="A134" s="105">
        <v>57</v>
      </c>
      <c r="J134" s="130">
        <v>266000000</v>
      </c>
      <c r="Z134" s="2" t="s">
        <v>157</v>
      </c>
      <c r="AC134" s="3" t="s">
        <v>366</v>
      </c>
    </row>
    <row r="135" spans="1:29" hidden="1" x14ac:dyDescent="0.2">
      <c r="A135" s="105">
        <v>58</v>
      </c>
      <c r="J135" s="130"/>
      <c r="Z135" s="2" t="s">
        <v>164</v>
      </c>
      <c r="AC135" s="3" t="s">
        <v>757</v>
      </c>
    </row>
    <row r="136" spans="1:29" hidden="1" x14ac:dyDescent="0.2">
      <c r="A136" s="105">
        <v>59</v>
      </c>
      <c r="J136" s="130">
        <f>+J134/5.65</f>
        <v>47079646.017699115</v>
      </c>
      <c r="Z136" s="2" t="s">
        <v>172</v>
      </c>
      <c r="AC136" s="3" t="s">
        <v>757</v>
      </c>
    </row>
    <row r="137" spans="1:29" ht="28.5" hidden="1" x14ac:dyDescent="0.2">
      <c r="A137" s="105">
        <v>60</v>
      </c>
      <c r="J137" s="130"/>
      <c r="Z137" s="2" t="s">
        <v>314</v>
      </c>
      <c r="AC137" s="3" t="s">
        <v>366</v>
      </c>
    </row>
    <row r="138" spans="1:29" ht="28.5" hidden="1" x14ac:dyDescent="0.2">
      <c r="A138" s="105">
        <v>61</v>
      </c>
      <c r="Z138" s="2" t="s">
        <v>314</v>
      </c>
      <c r="AC138" s="2" t="s">
        <v>694</v>
      </c>
    </row>
    <row r="139" spans="1:29" hidden="1" x14ac:dyDescent="0.2">
      <c r="A139" s="105">
        <v>62</v>
      </c>
      <c r="Z139" s="2" t="s">
        <v>155</v>
      </c>
      <c r="AC139" s="2" t="s">
        <v>366</v>
      </c>
    </row>
    <row r="140" spans="1:29" hidden="1" x14ac:dyDescent="0.2">
      <c r="A140" s="105">
        <v>63</v>
      </c>
      <c r="Z140" s="2" t="s">
        <v>778</v>
      </c>
      <c r="AC140" s="2" t="s">
        <v>779</v>
      </c>
    </row>
    <row r="141" spans="1:29" hidden="1" x14ac:dyDescent="0.2">
      <c r="A141" s="105">
        <v>64</v>
      </c>
      <c r="Z141" s="2" t="s">
        <v>164</v>
      </c>
      <c r="AC141" s="2" t="s">
        <v>757</v>
      </c>
    </row>
    <row r="142" spans="1:29" hidden="1" x14ac:dyDescent="0.2">
      <c r="A142" s="105">
        <v>65</v>
      </c>
      <c r="Z142" s="2" t="s">
        <v>152</v>
      </c>
      <c r="AC142" s="2" t="s">
        <v>366</v>
      </c>
    </row>
    <row r="143" spans="1:29" hidden="1" x14ac:dyDescent="0.2">
      <c r="A143" s="105">
        <v>66</v>
      </c>
      <c r="Z143" s="2" t="s">
        <v>152</v>
      </c>
      <c r="AC143" s="2" t="s">
        <v>820</v>
      </c>
    </row>
    <row r="144" spans="1:29" ht="57" hidden="1" x14ac:dyDescent="0.2">
      <c r="A144" s="105">
        <v>67</v>
      </c>
      <c r="Z144" s="2" t="s">
        <v>152</v>
      </c>
      <c r="AC144" s="3" t="s">
        <v>542</v>
      </c>
    </row>
    <row r="145" spans="1:29" hidden="1" x14ac:dyDescent="0.2">
      <c r="A145" s="105">
        <v>68</v>
      </c>
      <c r="Z145" s="2" t="s">
        <v>642</v>
      </c>
      <c r="AC145" s="2" t="s">
        <v>757</v>
      </c>
    </row>
    <row r="146" spans="1:29" hidden="1" x14ac:dyDescent="0.2">
      <c r="A146" s="105">
        <v>69</v>
      </c>
      <c r="Z146" s="2" t="s">
        <v>642</v>
      </c>
      <c r="AC146" s="3" t="s">
        <v>366</v>
      </c>
    </row>
    <row r="147" spans="1:29" hidden="1" x14ac:dyDescent="0.2">
      <c r="A147" s="105">
        <v>70</v>
      </c>
      <c r="Z147" s="2" t="s">
        <v>157</v>
      </c>
      <c r="AC147" s="3" t="s">
        <v>366</v>
      </c>
    </row>
    <row r="148" spans="1:29" hidden="1" x14ac:dyDescent="0.2">
      <c r="A148" s="105">
        <v>71</v>
      </c>
      <c r="Z148" s="2" t="s">
        <v>157</v>
      </c>
      <c r="AC148" s="3" t="s">
        <v>366</v>
      </c>
    </row>
    <row r="149" spans="1:29" hidden="1" x14ac:dyDescent="0.2">
      <c r="A149" s="105">
        <v>72</v>
      </c>
      <c r="Z149" s="2" t="s">
        <v>164</v>
      </c>
      <c r="AC149" s="3" t="s">
        <v>757</v>
      </c>
    </row>
    <row r="150" spans="1:29" hidden="1" x14ac:dyDescent="0.2">
      <c r="A150" s="105">
        <v>73</v>
      </c>
      <c r="Z150" s="2" t="s">
        <v>164</v>
      </c>
      <c r="AC150" s="3" t="s">
        <v>757</v>
      </c>
    </row>
    <row r="151" spans="1:29" ht="28.5" hidden="1" x14ac:dyDescent="0.2">
      <c r="A151" s="105">
        <v>74</v>
      </c>
      <c r="Z151" s="2" t="s">
        <v>824</v>
      </c>
      <c r="AC151" s="3" t="s">
        <v>821</v>
      </c>
    </row>
    <row r="152" spans="1:29" hidden="1" x14ac:dyDescent="0.2">
      <c r="A152" s="105">
        <v>75</v>
      </c>
      <c r="Z152" s="2" t="s">
        <v>766</v>
      </c>
      <c r="AC152" s="3" t="s">
        <v>820</v>
      </c>
    </row>
    <row r="153" spans="1:29" hidden="1" x14ac:dyDescent="0.2">
      <c r="A153" s="105">
        <v>76</v>
      </c>
      <c r="Z153" s="2" t="s">
        <v>766</v>
      </c>
      <c r="AC153" s="3" t="s">
        <v>820</v>
      </c>
    </row>
    <row r="154" spans="1:29" hidden="1" x14ac:dyDescent="0.2">
      <c r="A154" s="105">
        <v>77</v>
      </c>
      <c r="Z154" s="2" t="s">
        <v>642</v>
      </c>
      <c r="AC154" s="3" t="s">
        <v>757</v>
      </c>
    </row>
    <row r="155" spans="1:29" hidden="1" x14ac:dyDescent="0.2">
      <c r="A155" s="105">
        <v>78</v>
      </c>
      <c r="Z155" s="2" t="s">
        <v>642</v>
      </c>
      <c r="AC155" s="3" t="s">
        <v>757</v>
      </c>
    </row>
    <row r="156" spans="1:29" hidden="1" x14ac:dyDescent="0.2">
      <c r="A156" s="105">
        <v>79</v>
      </c>
      <c r="Z156" s="2" t="s">
        <v>155</v>
      </c>
      <c r="AC156" s="3" t="s">
        <v>820</v>
      </c>
    </row>
    <row r="157" spans="1:29" hidden="1" x14ac:dyDescent="0.2">
      <c r="A157" s="105">
        <v>80</v>
      </c>
      <c r="Z157" s="2" t="s">
        <v>155</v>
      </c>
      <c r="AC157" s="3" t="s">
        <v>366</v>
      </c>
    </row>
    <row r="158" spans="1:29" hidden="1" x14ac:dyDescent="0.2">
      <c r="A158" s="105">
        <v>81</v>
      </c>
      <c r="Z158" s="2" t="s">
        <v>154</v>
      </c>
      <c r="AC158" s="3" t="s">
        <v>366</v>
      </c>
    </row>
    <row r="159" spans="1:29" hidden="1" x14ac:dyDescent="0.2">
      <c r="A159" s="105">
        <v>82</v>
      </c>
      <c r="Z159" s="2" t="s">
        <v>157</v>
      </c>
      <c r="AC159" s="3" t="s">
        <v>366</v>
      </c>
    </row>
    <row r="160" spans="1:29" hidden="1" x14ac:dyDescent="0.2">
      <c r="A160" s="105">
        <v>83</v>
      </c>
      <c r="Z160" s="2" t="s">
        <v>157</v>
      </c>
      <c r="AC160" s="3" t="s">
        <v>366</v>
      </c>
    </row>
    <row r="161" spans="1:29" hidden="1" x14ac:dyDescent="0.2">
      <c r="A161" s="105">
        <v>84</v>
      </c>
      <c r="Z161" s="2" t="s">
        <v>164</v>
      </c>
      <c r="AC161" s="3" t="s">
        <v>757</v>
      </c>
    </row>
    <row r="162" spans="1:29" hidden="1" x14ac:dyDescent="0.2">
      <c r="A162" s="105">
        <v>85</v>
      </c>
      <c r="Z162" s="2" t="s">
        <v>164</v>
      </c>
      <c r="AC162" s="3" t="s">
        <v>366</v>
      </c>
    </row>
    <row r="163" spans="1:29" hidden="1" x14ac:dyDescent="0.2">
      <c r="A163" s="105">
        <v>86</v>
      </c>
      <c r="Z163" s="2" t="s">
        <v>164</v>
      </c>
      <c r="AC163" s="3" t="s">
        <v>757</v>
      </c>
    </row>
    <row r="164" spans="1:29" hidden="1" x14ac:dyDescent="0.2">
      <c r="A164" s="105">
        <v>87</v>
      </c>
      <c r="Z164" s="2" t="s">
        <v>338</v>
      </c>
      <c r="AC164" s="3" t="s">
        <v>786</v>
      </c>
    </row>
    <row r="165" spans="1:29" hidden="1" x14ac:dyDescent="0.2">
      <c r="A165" s="105">
        <v>88</v>
      </c>
      <c r="Z165" s="2" t="s">
        <v>166</v>
      </c>
      <c r="AC165" s="3" t="s">
        <v>820</v>
      </c>
    </row>
    <row r="166" spans="1:29" hidden="1" x14ac:dyDescent="0.2">
      <c r="A166" s="105">
        <v>89</v>
      </c>
      <c r="Z166" s="2" t="s">
        <v>157</v>
      </c>
      <c r="AC166" s="3" t="s">
        <v>366</v>
      </c>
    </row>
    <row r="167" spans="1:29" ht="57" hidden="1" x14ac:dyDescent="0.2">
      <c r="A167" s="105">
        <v>90</v>
      </c>
      <c r="Z167" s="2" t="s">
        <v>825</v>
      </c>
      <c r="AC167" s="3" t="s">
        <v>542</v>
      </c>
    </row>
    <row r="168" spans="1:29" hidden="1" x14ac:dyDescent="0.2">
      <c r="A168" s="105">
        <v>91</v>
      </c>
      <c r="Z168" s="2" t="s">
        <v>825</v>
      </c>
      <c r="AC168" s="3" t="s">
        <v>366</v>
      </c>
    </row>
    <row r="169" spans="1:29" hidden="1" x14ac:dyDescent="0.2">
      <c r="A169" s="105">
        <v>92</v>
      </c>
      <c r="Z169" s="2" t="s">
        <v>825</v>
      </c>
      <c r="AC169" s="3" t="s">
        <v>366</v>
      </c>
    </row>
    <row r="170" spans="1:29" hidden="1" x14ac:dyDescent="0.2">
      <c r="A170" s="105">
        <v>93</v>
      </c>
      <c r="Z170" s="2" t="s">
        <v>825</v>
      </c>
      <c r="AC170" s="3" t="s">
        <v>822</v>
      </c>
    </row>
    <row r="171" spans="1:29" hidden="1" x14ac:dyDescent="0.2">
      <c r="A171" s="105">
        <v>94</v>
      </c>
      <c r="Z171" s="2"/>
      <c r="AC171" s="3" t="s">
        <v>822</v>
      </c>
    </row>
    <row r="172" spans="1:29" ht="57" hidden="1" x14ac:dyDescent="0.2">
      <c r="A172" s="105">
        <v>95</v>
      </c>
      <c r="AC172" s="3" t="s">
        <v>542</v>
      </c>
    </row>
    <row r="173" spans="1:29" hidden="1" x14ac:dyDescent="0.2">
      <c r="A173" s="105">
        <v>96</v>
      </c>
      <c r="AC173" s="2" t="s">
        <v>366</v>
      </c>
    </row>
    <row r="174" spans="1:29" hidden="1" x14ac:dyDescent="0.2">
      <c r="A174" s="105">
        <v>97</v>
      </c>
      <c r="AC174" s="3" t="s">
        <v>366</v>
      </c>
    </row>
    <row r="175" spans="1:29" ht="57" hidden="1" x14ac:dyDescent="0.2">
      <c r="A175" s="105">
        <v>98</v>
      </c>
      <c r="AC175" s="3" t="s">
        <v>542</v>
      </c>
    </row>
    <row r="176" spans="1:29" hidden="1" x14ac:dyDescent="0.2">
      <c r="A176" s="105">
        <v>99</v>
      </c>
      <c r="AC176" s="3" t="s">
        <v>366</v>
      </c>
    </row>
    <row r="177" spans="1:29" hidden="1" x14ac:dyDescent="0.2">
      <c r="A177" s="105">
        <v>100</v>
      </c>
      <c r="AC177" s="3" t="s">
        <v>757</v>
      </c>
    </row>
    <row r="178" spans="1:29" ht="28.5" hidden="1" x14ac:dyDescent="0.2">
      <c r="A178" s="105">
        <v>101</v>
      </c>
      <c r="AC178" s="3" t="s">
        <v>821</v>
      </c>
    </row>
    <row r="179" spans="1:29" hidden="1" x14ac:dyDescent="0.2">
      <c r="A179" s="105">
        <v>102</v>
      </c>
      <c r="AC179" s="3" t="s">
        <v>820</v>
      </c>
    </row>
    <row r="180" spans="1:29" ht="28.5" hidden="1" x14ac:dyDescent="0.2">
      <c r="A180" s="105">
        <v>103</v>
      </c>
      <c r="AC180" s="3" t="s">
        <v>821</v>
      </c>
    </row>
    <row r="181" spans="1:29" hidden="1" x14ac:dyDescent="0.2">
      <c r="A181" s="105">
        <v>104</v>
      </c>
      <c r="AC181" s="3" t="s">
        <v>757</v>
      </c>
    </row>
    <row r="182" spans="1:29" hidden="1" x14ac:dyDescent="0.2">
      <c r="A182" s="105">
        <v>105</v>
      </c>
      <c r="AC182" s="2" t="s">
        <v>366</v>
      </c>
    </row>
    <row r="183" spans="1:29" hidden="1" x14ac:dyDescent="0.2">
      <c r="A183" s="105">
        <v>106</v>
      </c>
      <c r="AC183" s="2" t="s">
        <v>366</v>
      </c>
    </row>
    <row r="184" spans="1:29" hidden="1" x14ac:dyDescent="0.2">
      <c r="A184" s="105">
        <v>107</v>
      </c>
      <c r="AC184" s="2" t="s">
        <v>366</v>
      </c>
    </row>
    <row r="185" spans="1:29" hidden="1" x14ac:dyDescent="0.2">
      <c r="A185" s="105">
        <v>108</v>
      </c>
      <c r="AC185" s="2" t="s">
        <v>786</v>
      </c>
    </row>
    <row r="186" spans="1:29" hidden="1" x14ac:dyDescent="0.2">
      <c r="A186" s="105">
        <v>109</v>
      </c>
      <c r="AC186" s="2" t="s">
        <v>366</v>
      </c>
    </row>
    <row r="187" spans="1:29" ht="28.5" hidden="1" x14ac:dyDescent="0.2">
      <c r="A187" s="105">
        <v>110</v>
      </c>
      <c r="AC187" s="2" t="s">
        <v>821</v>
      </c>
    </row>
    <row r="188" spans="1:29" hidden="1" x14ac:dyDescent="0.2">
      <c r="A188" s="105">
        <v>111</v>
      </c>
      <c r="AC188" s="2" t="s">
        <v>786</v>
      </c>
    </row>
    <row r="189" spans="1:29" hidden="1" x14ac:dyDescent="0.2">
      <c r="A189" s="105">
        <v>112</v>
      </c>
      <c r="AC189" s="2" t="s">
        <v>823</v>
      </c>
    </row>
    <row r="190" spans="1:29" hidden="1" x14ac:dyDescent="0.2">
      <c r="A190" s="105">
        <v>113</v>
      </c>
      <c r="AC190" s="2" t="s">
        <v>757</v>
      </c>
    </row>
    <row r="191" spans="1:29" hidden="1" x14ac:dyDescent="0.2">
      <c r="A191" s="105">
        <v>114</v>
      </c>
      <c r="AC191" s="2" t="s">
        <v>366</v>
      </c>
    </row>
    <row r="192" spans="1:29" hidden="1" x14ac:dyDescent="0.2">
      <c r="A192" s="105">
        <v>115</v>
      </c>
      <c r="AC192" s="2" t="s">
        <v>366</v>
      </c>
    </row>
    <row r="193" spans="1:29" hidden="1" x14ac:dyDescent="0.2">
      <c r="A193" s="105">
        <v>116</v>
      </c>
      <c r="AC193" s="2" t="s">
        <v>757</v>
      </c>
    </row>
    <row r="194" spans="1:29" hidden="1" x14ac:dyDescent="0.2">
      <c r="A194" s="105">
        <v>117</v>
      </c>
      <c r="AC194" s="2" t="s">
        <v>366</v>
      </c>
    </row>
    <row r="195" spans="1:29" hidden="1" x14ac:dyDescent="0.2">
      <c r="A195" s="105">
        <v>118</v>
      </c>
      <c r="AC195" s="2" t="s">
        <v>757</v>
      </c>
    </row>
    <row r="196" spans="1:29" hidden="1" x14ac:dyDescent="0.2">
      <c r="A196" s="105">
        <v>119</v>
      </c>
      <c r="AC196" s="2" t="s">
        <v>820</v>
      </c>
    </row>
    <row r="197" spans="1:29" hidden="1" x14ac:dyDescent="0.2">
      <c r="A197" s="105">
        <v>120</v>
      </c>
      <c r="AC197" s="2" t="s">
        <v>757</v>
      </c>
    </row>
    <row r="198" spans="1:29" hidden="1" x14ac:dyDescent="0.2">
      <c r="A198" s="105">
        <v>121</v>
      </c>
      <c r="AC198" s="2" t="s">
        <v>786</v>
      </c>
    </row>
    <row r="199" spans="1:29" hidden="1" x14ac:dyDescent="0.2">
      <c r="A199" s="105">
        <v>122</v>
      </c>
      <c r="AC199" s="2" t="s">
        <v>757</v>
      </c>
    </row>
    <row r="200" spans="1:29" hidden="1" x14ac:dyDescent="0.2">
      <c r="A200" s="105">
        <v>123</v>
      </c>
      <c r="AC200" s="2" t="s">
        <v>366</v>
      </c>
    </row>
    <row r="201" spans="1:29" ht="28.5" hidden="1" x14ac:dyDescent="0.2">
      <c r="A201" s="105">
        <v>124</v>
      </c>
      <c r="AC201" s="3" t="s">
        <v>821</v>
      </c>
    </row>
    <row r="202" spans="1:29" hidden="1" x14ac:dyDescent="0.2">
      <c r="A202" s="105">
        <v>125</v>
      </c>
      <c r="AC202" s="2" t="s">
        <v>820</v>
      </c>
    </row>
    <row r="203" spans="1:29" hidden="1" x14ac:dyDescent="0.2">
      <c r="A203" s="105">
        <v>126</v>
      </c>
      <c r="AC203" s="2" t="s">
        <v>366</v>
      </c>
    </row>
    <row r="204" spans="1:29" hidden="1" x14ac:dyDescent="0.2">
      <c r="A204" s="105">
        <v>127</v>
      </c>
      <c r="AC204" s="2" t="s">
        <v>757</v>
      </c>
    </row>
    <row r="205" spans="1:29" hidden="1" x14ac:dyDescent="0.2">
      <c r="A205" s="105">
        <v>128</v>
      </c>
      <c r="AC205" s="2" t="s">
        <v>757</v>
      </c>
    </row>
    <row r="210" spans="8:15" x14ac:dyDescent="0.2">
      <c r="H210" s="19">
        <f>21850000/12</f>
        <v>1820833.3333333333</v>
      </c>
      <c r="J210" s="19">
        <v>17.015599999999999</v>
      </c>
      <c r="K210" s="19">
        <f>+J210*2</f>
        <v>34.031199999999998</v>
      </c>
    </row>
    <row r="211" spans="8:15" x14ac:dyDescent="0.2">
      <c r="J211" s="135">
        <v>4.4408000000000003</v>
      </c>
      <c r="K211" s="19">
        <f>+J211*2</f>
        <v>8.8816000000000006</v>
      </c>
    </row>
    <row r="212" spans="8:15" x14ac:dyDescent="0.2">
      <c r="K212" s="19">
        <f>SUBTOTAL(9,K210:K211)</f>
        <v>42.912799999999997</v>
      </c>
    </row>
    <row r="213" spans="8:15" x14ac:dyDescent="0.2">
      <c r="J213" s="53">
        <v>196172</v>
      </c>
      <c r="M213" s="53">
        <v>46365</v>
      </c>
    </row>
    <row r="214" spans="8:15" x14ac:dyDescent="0.2">
      <c r="H214" s="134">
        <v>129254921</v>
      </c>
      <c r="J214" s="53">
        <f>+J213*0.6</f>
        <v>117703.2</v>
      </c>
    </row>
    <row r="215" spans="8:15" x14ac:dyDescent="0.2">
      <c r="H215" s="134">
        <v>129540521</v>
      </c>
    </row>
    <row r="217" spans="8:15" x14ac:dyDescent="0.2">
      <c r="H217" s="47">
        <f>+H215-H214</f>
        <v>285600</v>
      </c>
      <c r="M217" s="19">
        <f>90000/12</f>
        <v>7500</v>
      </c>
    </row>
    <row r="219" spans="8:15" x14ac:dyDescent="0.2">
      <c r="J219" s="19" t="s">
        <v>869</v>
      </c>
    </row>
    <row r="220" spans="8:15" x14ac:dyDescent="0.2">
      <c r="J220" s="19">
        <v>25</v>
      </c>
      <c r="M220" s="136">
        <v>1309000000</v>
      </c>
    </row>
    <row r="221" spans="8:15" x14ac:dyDescent="0.2">
      <c r="J221" s="19">
        <v>25</v>
      </c>
      <c r="M221" s="136">
        <v>2014670000</v>
      </c>
      <c r="O221" s="47">
        <f>+M221-M220</f>
        <v>705670000</v>
      </c>
    </row>
    <row r="222" spans="8:15" x14ac:dyDescent="0.2">
      <c r="J222" s="19">
        <v>40</v>
      </c>
    </row>
    <row r="223" spans="8:15" x14ac:dyDescent="0.2">
      <c r="J223" s="19">
        <f>SUBTOTAL(9,J220:J222)</f>
        <v>90</v>
      </c>
      <c r="O223" s="112">
        <f>+O221/M220</f>
        <v>0.53909090909090907</v>
      </c>
    </row>
    <row r="225" spans="8:11" x14ac:dyDescent="0.2">
      <c r="H225" s="19">
        <v>19200</v>
      </c>
    </row>
    <row r="226" spans="8:11" x14ac:dyDescent="0.2">
      <c r="H226" s="19">
        <v>18059</v>
      </c>
      <c r="J226" s="19">
        <f>11.5/0.15</f>
        <v>76.666666666666671</v>
      </c>
    </row>
    <row r="227" spans="8:11" x14ac:dyDescent="0.2">
      <c r="H227" s="19">
        <v>6890</v>
      </c>
      <c r="J227" s="53">
        <f>20000000/8</f>
        <v>2500000</v>
      </c>
    </row>
    <row r="228" spans="8:11" x14ac:dyDescent="0.2">
      <c r="H228" s="19">
        <v>568</v>
      </c>
    </row>
    <row r="230" spans="8:11" x14ac:dyDescent="0.2">
      <c r="J230" s="118">
        <f>0.1/1.95</f>
        <v>5.1282051282051287E-2</v>
      </c>
    </row>
    <row r="232" spans="8:11" x14ac:dyDescent="0.2">
      <c r="J232" s="118">
        <f>1.95/8.4</f>
        <v>0.23214285714285712</v>
      </c>
    </row>
    <row r="234" spans="8:11" x14ac:dyDescent="0.2">
      <c r="J234"/>
      <c r="K234" s="137"/>
    </row>
    <row r="235" spans="8:11" x14ac:dyDescent="0.2">
      <c r="J235"/>
      <c r="K235"/>
    </row>
    <row r="236" spans="8:11" x14ac:dyDescent="0.2">
      <c r="J236"/>
      <c r="K236" s="137"/>
    </row>
    <row r="237" spans="8:11" x14ac:dyDescent="0.2">
      <c r="J237"/>
      <c r="K237" s="137"/>
    </row>
    <row r="238" spans="8:11" x14ac:dyDescent="0.2">
      <c r="J238"/>
      <c r="K238" s="138"/>
    </row>
    <row r="239" spans="8:11" x14ac:dyDescent="0.2">
      <c r="J239"/>
      <c r="K239" s="137"/>
    </row>
    <row r="240" spans="8:11" x14ac:dyDescent="0.2">
      <c r="J240" s="139"/>
      <c r="K240" s="140"/>
    </row>
  </sheetData>
  <autoFilter ref="A1:AC205" xr:uid="{00000000-0009-0000-0000-000000000000}">
    <filterColumn colId="12">
      <filters>
        <filter val="EN EVALUACIÓN"/>
      </filters>
    </filterColumn>
  </autoFilter>
  <conditionalFormatting sqref="C1:C65543">
    <cfRule type="containsText" dxfId="1247" priority="109" operator="containsText" text="NO">
      <formula>NOT(ISERROR(SEARCH("NO",C1)))</formula>
    </cfRule>
    <cfRule type="containsText" dxfId="1246" priority="110" operator="containsText" text="SI">
      <formula>NOT(ISERROR(SEARCH("SI",C1)))</formula>
    </cfRule>
  </conditionalFormatting>
  <conditionalFormatting sqref="C2:E115">
    <cfRule type="cellIs" dxfId="1245" priority="111" operator="equal">
      <formula>"SI"</formula>
    </cfRule>
    <cfRule type="cellIs" dxfId="1244" priority="112" operator="equal">
      <formula>"NO"</formula>
    </cfRule>
  </conditionalFormatting>
  <conditionalFormatting sqref="I1">
    <cfRule type="duplicateValues" dxfId="1243" priority="1934"/>
    <cfRule type="duplicateValues" dxfId="1242" priority="1935"/>
  </conditionalFormatting>
  <conditionalFormatting sqref="I116:I65543 I1:I92">
    <cfRule type="duplicateValues" dxfId="1241" priority="236"/>
  </conditionalFormatting>
  <conditionalFormatting sqref="I2">
    <cfRule type="duplicateValues" dxfId="1240" priority="1620"/>
    <cfRule type="duplicateValues" dxfId="1239" priority="1621"/>
    <cfRule type="duplicateValues" dxfId="1238" priority="1622"/>
    <cfRule type="duplicateValues" dxfId="1237" priority="1623"/>
    <cfRule type="duplicateValues" dxfId="1236" priority="1624"/>
    <cfRule type="duplicateValues" dxfId="1235" priority="1625"/>
    <cfRule type="duplicateValues" dxfId="1234" priority="1626"/>
    <cfRule type="duplicateValues" dxfId="1233" priority="1627"/>
  </conditionalFormatting>
  <conditionalFormatting sqref="I3">
    <cfRule type="duplicateValues" dxfId="1232" priority="1635"/>
    <cfRule type="duplicateValues" dxfId="1231" priority="1636"/>
    <cfRule type="duplicateValues" dxfId="1230" priority="1637"/>
  </conditionalFormatting>
  <conditionalFormatting sqref="I4">
    <cfRule type="duplicateValues" dxfId="1229" priority="1921"/>
    <cfRule type="duplicateValues" dxfId="1228" priority="1922"/>
    <cfRule type="duplicateValues" dxfId="1227" priority="1923"/>
    <cfRule type="duplicateValues" dxfId="1226" priority="6643"/>
  </conditionalFormatting>
  <conditionalFormatting sqref="I5">
    <cfRule type="duplicateValues" dxfId="1225" priority="1604"/>
    <cfRule type="duplicateValues" dxfId="1224" priority="1605"/>
  </conditionalFormatting>
  <conditionalFormatting sqref="I6">
    <cfRule type="duplicateValues" dxfId="1223" priority="1592"/>
    <cfRule type="duplicateValues" dxfId="1222" priority="1593"/>
  </conditionalFormatting>
  <conditionalFormatting sqref="I7">
    <cfRule type="duplicateValues" dxfId="1221" priority="1576"/>
    <cfRule type="duplicateValues" dxfId="1220" priority="1577"/>
  </conditionalFormatting>
  <conditionalFormatting sqref="I8">
    <cfRule type="duplicateValues" dxfId="1219" priority="1564"/>
    <cfRule type="duplicateValues" dxfId="1218" priority="1565"/>
  </conditionalFormatting>
  <conditionalFormatting sqref="I9">
    <cfRule type="duplicateValues" dxfId="1217" priority="1549"/>
    <cfRule type="duplicateValues" dxfId="1216" priority="1550"/>
    <cfRule type="duplicateValues" dxfId="1215" priority="1551"/>
    <cfRule type="duplicateValues" dxfId="1214" priority="1552"/>
    <cfRule type="duplicateValues" dxfId="1213" priority="1553"/>
  </conditionalFormatting>
  <conditionalFormatting sqref="I10">
    <cfRule type="duplicateValues" dxfId="1212" priority="1518"/>
    <cfRule type="duplicateValues" dxfId="1211" priority="1519"/>
    <cfRule type="duplicateValues" dxfId="1210" priority="1522"/>
  </conditionalFormatting>
  <conditionalFormatting sqref="I11">
    <cfRule type="duplicateValues" dxfId="1209" priority="1510"/>
    <cfRule type="duplicateValues" dxfId="1208" priority="1511"/>
    <cfRule type="duplicateValues" dxfId="1207" priority="1512"/>
  </conditionalFormatting>
  <conditionalFormatting sqref="I12">
    <cfRule type="duplicateValues" dxfId="1206" priority="1497"/>
    <cfRule type="duplicateValues" dxfId="1205" priority="1498"/>
    <cfRule type="duplicateValues" dxfId="1204" priority="1499"/>
  </conditionalFormatting>
  <conditionalFormatting sqref="I13">
    <cfRule type="duplicateValues" dxfId="1203" priority="1482"/>
    <cfRule type="duplicateValues" dxfId="1202" priority="1483"/>
    <cfRule type="duplicateValues" dxfId="1201" priority="1484"/>
    <cfRule type="duplicateValues" dxfId="1200" priority="1485"/>
    <cfRule type="duplicateValues" dxfId="1199" priority="1486"/>
    <cfRule type="duplicateValues" dxfId="1198" priority="1487"/>
    <cfRule type="duplicateValues" dxfId="1197" priority="1488"/>
    <cfRule type="duplicateValues" dxfId="1196" priority="1489"/>
  </conditionalFormatting>
  <conditionalFormatting sqref="I14">
    <cfRule type="duplicateValues" dxfId="1195" priority="1460"/>
    <cfRule type="duplicateValues" dxfId="1194" priority="1461"/>
    <cfRule type="duplicateValues" dxfId="1193" priority="1462"/>
    <cfRule type="duplicateValues" dxfId="1192" priority="1463"/>
    <cfRule type="duplicateValues" dxfId="1191" priority="1464"/>
    <cfRule type="duplicateValues" dxfId="1190" priority="1465"/>
    <cfRule type="duplicateValues" dxfId="1189" priority="1466"/>
    <cfRule type="duplicateValues" dxfId="1188" priority="1467"/>
  </conditionalFormatting>
  <conditionalFormatting sqref="I15">
    <cfRule type="duplicateValues" dxfId="1187" priority="1443"/>
    <cfRule type="duplicateValues" dxfId="1186" priority="1444"/>
    <cfRule type="duplicateValues" dxfId="1185" priority="1445"/>
  </conditionalFormatting>
  <conditionalFormatting sqref="I16">
    <cfRule type="duplicateValues" dxfId="1184" priority="1429"/>
    <cfRule type="duplicateValues" dxfId="1183" priority="1430"/>
    <cfRule type="duplicateValues" dxfId="1182" priority="1431"/>
    <cfRule type="duplicateValues" dxfId="1181" priority="1432"/>
    <cfRule type="duplicateValues" dxfId="1180" priority="1433"/>
    <cfRule type="duplicateValues" dxfId="1179" priority="1434"/>
    <cfRule type="duplicateValues" dxfId="1178" priority="1435"/>
  </conditionalFormatting>
  <conditionalFormatting sqref="I17">
    <cfRule type="duplicateValues" dxfId="1177" priority="1412"/>
    <cfRule type="duplicateValues" dxfId="1176" priority="1413"/>
    <cfRule type="duplicateValues" dxfId="1175" priority="1414"/>
  </conditionalFormatting>
  <conditionalFormatting sqref="I18">
    <cfRule type="duplicateValues" dxfId="1174" priority="1399"/>
    <cfRule type="duplicateValues" dxfId="1173" priority="1400"/>
    <cfRule type="duplicateValues" dxfId="1172" priority="1401"/>
  </conditionalFormatting>
  <conditionalFormatting sqref="I19">
    <cfRule type="duplicateValues" dxfId="1171" priority="1390"/>
    <cfRule type="duplicateValues" dxfId="1170" priority="1391"/>
    <cfRule type="duplicateValues" dxfId="1169" priority="1392"/>
  </conditionalFormatting>
  <conditionalFormatting sqref="I20">
    <cfRule type="duplicateValues" dxfId="1168" priority="1363"/>
    <cfRule type="duplicateValues" dxfId="1167" priority="1364"/>
    <cfRule type="duplicateValues" dxfId="1166" priority="1365"/>
  </conditionalFormatting>
  <conditionalFormatting sqref="I21">
    <cfRule type="duplicateValues" dxfId="1165" priority="1352"/>
    <cfRule type="duplicateValues" dxfId="1164" priority="1353"/>
    <cfRule type="duplicateValues" dxfId="1163" priority="1354"/>
    <cfRule type="duplicateValues" dxfId="1162" priority="1355"/>
    <cfRule type="duplicateValues" dxfId="1161" priority="1356"/>
  </conditionalFormatting>
  <conditionalFormatting sqref="I22">
    <cfRule type="duplicateValues" dxfId="1160" priority="1328"/>
    <cfRule type="duplicateValues" dxfId="1159" priority="1332"/>
    <cfRule type="duplicateValues" dxfId="1158" priority="1333"/>
    <cfRule type="duplicateValues" dxfId="1157" priority="1334"/>
    <cfRule type="duplicateValues" dxfId="1156" priority="1335"/>
    <cfRule type="duplicateValues" dxfId="1155" priority="1336"/>
  </conditionalFormatting>
  <conditionalFormatting sqref="I23">
    <cfRule type="duplicateValues" dxfId="1154" priority="1322"/>
    <cfRule type="duplicateValues" dxfId="1153" priority="1323"/>
    <cfRule type="duplicateValues" dxfId="1152" priority="1324"/>
  </conditionalFormatting>
  <conditionalFormatting sqref="I24">
    <cfRule type="duplicateValues" dxfId="1151" priority="1308"/>
    <cfRule type="duplicateValues" dxfId="1150" priority="1309"/>
    <cfRule type="duplicateValues" dxfId="1149" priority="1310"/>
  </conditionalFormatting>
  <conditionalFormatting sqref="I25">
    <cfRule type="duplicateValues" dxfId="1148" priority="1295"/>
    <cfRule type="duplicateValues" dxfId="1147" priority="1296"/>
    <cfRule type="duplicateValues" dxfId="1146" priority="1297"/>
  </conditionalFormatting>
  <conditionalFormatting sqref="I26">
    <cfRule type="duplicateValues" dxfId="1145" priority="1282"/>
    <cfRule type="duplicateValues" dxfId="1144" priority="1283"/>
    <cfRule type="duplicateValues" dxfId="1143" priority="1284"/>
  </conditionalFormatting>
  <conditionalFormatting sqref="I27">
    <cfRule type="duplicateValues" dxfId="1142" priority="1270"/>
    <cfRule type="duplicateValues" dxfId="1141" priority="1271"/>
    <cfRule type="duplicateValues" dxfId="1140" priority="1272"/>
  </conditionalFormatting>
  <conditionalFormatting sqref="I28">
    <cfRule type="duplicateValues" dxfId="1139" priority="1257"/>
    <cfRule type="duplicateValues" dxfId="1138" priority="1258"/>
    <cfRule type="duplicateValues" dxfId="1137" priority="1259"/>
  </conditionalFormatting>
  <conditionalFormatting sqref="I29">
    <cfRule type="duplicateValues" dxfId="1136" priority="1231"/>
    <cfRule type="duplicateValues" dxfId="1135" priority="1232"/>
    <cfRule type="duplicateValues" dxfId="1134" priority="1233"/>
  </conditionalFormatting>
  <conditionalFormatting sqref="I30">
    <cfRule type="duplicateValues" dxfId="1133" priority="1209"/>
    <cfRule type="duplicateValues" dxfId="1132" priority="1210"/>
    <cfRule type="duplicateValues" dxfId="1131" priority="1211"/>
  </conditionalFormatting>
  <conditionalFormatting sqref="I31">
    <cfRule type="duplicateValues" dxfId="1130" priority="1202"/>
    <cfRule type="duplicateValues" dxfId="1129" priority="1203"/>
    <cfRule type="duplicateValues" dxfId="1128" priority="1204"/>
  </conditionalFormatting>
  <conditionalFormatting sqref="I32">
    <cfRule type="duplicateValues" dxfId="1127" priority="1189"/>
    <cfRule type="duplicateValues" dxfId="1126" priority="1190"/>
    <cfRule type="duplicateValues" dxfId="1125" priority="1191"/>
  </conditionalFormatting>
  <conditionalFormatting sqref="I33">
    <cfRule type="duplicateValues" dxfId="1124" priority="1165"/>
    <cfRule type="duplicateValues" dxfId="1123" priority="1166"/>
    <cfRule type="duplicateValues" dxfId="1122" priority="1167"/>
    <cfRule type="duplicateValues" dxfId="1121" priority="1171"/>
    <cfRule type="duplicateValues" dxfId="1120" priority="1172"/>
    <cfRule type="duplicateValues" dxfId="1119" priority="1173"/>
    <cfRule type="duplicateValues" dxfId="1118" priority="1174"/>
    <cfRule type="duplicateValues" dxfId="1117" priority="1175"/>
    <cfRule type="duplicateValues" dxfId="1116" priority="1176"/>
    <cfRule type="duplicateValues" dxfId="1115" priority="1177"/>
    <cfRule type="duplicateValues" dxfId="1114" priority="1178"/>
  </conditionalFormatting>
  <conditionalFormatting sqref="I34">
    <cfRule type="duplicateValues" dxfId="1113" priority="1143"/>
    <cfRule type="duplicateValues" dxfId="1112" priority="1144"/>
    <cfRule type="duplicateValues" dxfId="1111" priority="1145"/>
    <cfRule type="duplicateValues" dxfId="1110" priority="1146"/>
    <cfRule type="duplicateValues" dxfId="1109" priority="1147"/>
    <cfRule type="duplicateValues" dxfId="1108" priority="1148"/>
    <cfRule type="duplicateValues" dxfId="1107" priority="1149"/>
    <cfRule type="duplicateValues" dxfId="1106" priority="1150"/>
    <cfRule type="duplicateValues" dxfId="1105" priority="1151"/>
    <cfRule type="duplicateValues" dxfId="1104" priority="1152"/>
    <cfRule type="duplicateValues" dxfId="1103" priority="1153"/>
  </conditionalFormatting>
  <conditionalFormatting sqref="I35">
    <cfRule type="duplicateValues" dxfId="1102" priority="442"/>
    <cfRule type="duplicateValues" dxfId="1101" priority="443"/>
    <cfRule type="duplicateValues" dxfId="1100" priority="444"/>
    <cfRule type="duplicateValues" dxfId="1099" priority="445"/>
    <cfRule type="duplicateValues" dxfId="1098" priority="446"/>
    <cfRule type="duplicateValues" dxfId="1097" priority="447"/>
  </conditionalFormatting>
  <conditionalFormatting sqref="I36">
    <cfRule type="duplicateValues" dxfId="1096" priority="1095"/>
    <cfRule type="duplicateValues" dxfId="1095" priority="1096"/>
    <cfRule type="duplicateValues" dxfId="1094" priority="1097"/>
  </conditionalFormatting>
  <conditionalFormatting sqref="I37">
    <cfRule type="duplicateValues" dxfId="1093" priority="1081"/>
    <cfRule type="duplicateValues" dxfId="1092" priority="1082"/>
    <cfRule type="duplicateValues" dxfId="1091" priority="1083"/>
    <cfRule type="duplicateValues" dxfId="1090" priority="1084"/>
  </conditionalFormatting>
  <conditionalFormatting sqref="I38">
    <cfRule type="duplicateValues" dxfId="1089" priority="1064"/>
    <cfRule type="duplicateValues" dxfId="1088" priority="1065"/>
    <cfRule type="duplicateValues" dxfId="1087" priority="1066"/>
  </conditionalFormatting>
  <conditionalFormatting sqref="I39">
    <cfRule type="duplicateValues" dxfId="1086" priority="1051"/>
    <cfRule type="duplicateValues" dxfId="1085" priority="1052"/>
    <cfRule type="duplicateValues" dxfId="1084" priority="1053"/>
  </conditionalFormatting>
  <conditionalFormatting sqref="I40">
    <cfRule type="duplicateValues" dxfId="1083" priority="1031"/>
    <cfRule type="duplicateValues" dxfId="1082" priority="1032"/>
    <cfRule type="duplicateValues" dxfId="1081" priority="1033"/>
  </conditionalFormatting>
  <conditionalFormatting sqref="I41">
    <cfRule type="duplicateValues" dxfId="1080" priority="1001"/>
    <cfRule type="duplicateValues" dxfId="1079" priority="1002"/>
    <cfRule type="duplicateValues" dxfId="1078" priority="1003"/>
    <cfRule type="duplicateValues" dxfId="1077" priority="1004"/>
  </conditionalFormatting>
  <conditionalFormatting sqref="I42">
    <cfRule type="duplicateValues" dxfId="1076" priority="990"/>
    <cfRule type="duplicateValues" dxfId="1075" priority="991"/>
    <cfRule type="duplicateValues" dxfId="1074" priority="992"/>
    <cfRule type="duplicateValues" dxfId="1073" priority="993"/>
    <cfRule type="duplicateValues" dxfId="1072" priority="994"/>
  </conditionalFormatting>
  <conditionalFormatting sqref="I43">
    <cfRule type="duplicateValues" dxfId="1071" priority="972"/>
    <cfRule type="duplicateValues" dxfId="1070" priority="973"/>
    <cfRule type="duplicateValues" dxfId="1069" priority="974"/>
    <cfRule type="duplicateValues" dxfId="1068" priority="975"/>
  </conditionalFormatting>
  <conditionalFormatting sqref="I44">
    <cfRule type="duplicateValues" dxfId="1067" priority="957"/>
    <cfRule type="duplicateValues" dxfId="1066" priority="958"/>
    <cfRule type="duplicateValues" dxfId="1065" priority="959"/>
    <cfRule type="duplicateValues" dxfId="1064" priority="960"/>
    <cfRule type="duplicateValues" dxfId="1063" priority="961"/>
  </conditionalFormatting>
  <conditionalFormatting sqref="I45">
    <cfRule type="duplicateValues" dxfId="1062" priority="902"/>
    <cfRule type="duplicateValues" dxfId="1061" priority="903"/>
    <cfRule type="duplicateValues" dxfId="1060" priority="904"/>
  </conditionalFormatting>
  <conditionalFormatting sqref="I46">
    <cfRule type="duplicateValues" dxfId="1059" priority="930"/>
    <cfRule type="duplicateValues" dxfId="1058" priority="931"/>
    <cfRule type="duplicateValues" dxfId="1057" priority="932"/>
    <cfRule type="duplicateValues" dxfId="1056" priority="933"/>
    <cfRule type="duplicateValues" dxfId="1055" priority="934"/>
  </conditionalFormatting>
  <conditionalFormatting sqref="I47">
    <cfRule type="duplicateValues" dxfId="1054" priority="908"/>
    <cfRule type="duplicateValues" dxfId="1053" priority="909"/>
    <cfRule type="duplicateValues" dxfId="1052" priority="910"/>
    <cfRule type="duplicateValues" dxfId="1051" priority="911"/>
    <cfRule type="duplicateValues" dxfId="1050" priority="912"/>
  </conditionalFormatting>
  <conditionalFormatting sqref="I48">
    <cfRule type="duplicateValues" dxfId="1049" priority="885"/>
    <cfRule type="duplicateValues" dxfId="1048" priority="886"/>
    <cfRule type="duplicateValues" dxfId="1047" priority="887"/>
    <cfRule type="duplicateValues" dxfId="1046" priority="888"/>
    <cfRule type="duplicateValues" dxfId="1045" priority="889"/>
  </conditionalFormatting>
  <conditionalFormatting sqref="I49">
    <cfRule type="duplicateValues" dxfId="1044" priority="866"/>
    <cfRule type="duplicateValues" dxfId="1043" priority="867"/>
    <cfRule type="duplicateValues" dxfId="1042" priority="868"/>
    <cfRule type="duplicateValues" dxfId="1041" priority="869"/>
    <cfRule type="duplicateValues" dxfId="1040" priority="870"/>
  </conditionalFormatting>
  <conditionalFormatting sqref="I50">
    <cfRule type="duplicateValues" dxfId="1039" priority="861"/>
    <cfRule type="duplicateValues" dxfId="1038" priority="862"/>
    <cfRule type="duplicateValues" dxfId="1037" priority="863"/>
    <cfRule type="duplicateValues" dxfId="1036" priority="864"/>
    <cfRule type="duplicateValues" dxfId="1035" priority="865"/>
  </conditionalFormatting>
  <conditionalFormatting sqref="I51">
    <cfRule type="duplicateValues" dxfId="1034" priority="840"/>
    <cfRule type="duplicateValues" dxfId="1033" priority="841"/>
    <cfRule type="duplicateValues" dxfId="1032" priority="842"/>
    <cfRule type="duplicateValues" dxfId="1031" priority="846"/>
    <cfRule type="duplicateValues" dxfId="1030" priority="847"/>
    <cfRule type="duplicateValues" dxfId="1029" priority="848"/>
    <cfRule type="duplicateValues" dxfId="1028" priority="849"/>
    <cfRule type="duplicateValues" dxfId="1027" priority="850"/>
  </conditionalFormatting>
  <conditionalFormatting sqref="I52">
    <cfRule type="duplicateValues" dxfId="1026" priority="821"/>
    <cfRule type="duplicateValues" dxfId="1025" priority="822"/>
    <cfRule type="duplicateValues" dxfId="1024" priority="823"/>
    <cfRule type="duplicateValues" dxfId="1023" priority="824"/>
    <cfRule type="duplicateValues" dxfId="1022" priority="825"/>
    <cfRule type="duplicateValues" dxfId="1021" priority="826"/>
    <cfRule type="duplicateValues" dxfId="1020" priority="827"/>
    <cfRule type="duplicateValues" dxfId="1019" priority="828"/>
  </conditionalFormatting>
  <conditionalFormatting sqref="I53">
    <cfRule type="duplicateValues" dxfId="1018" priority="810"/>
    <cfRule type="duplicateValues" dxfId="1017" priority="811"/>
    <cfRule type="duplicateValues" dxfId="1016" priority="812"/>
    <cfRule type="duplicateValues" dxfId="1015" priority="813"/>
    <cfRule type="duplicateValues" dxfId="1014" priority="814"/>
  </conditionalFormatting>
  <conditionalFormatting sqref="I54">
    <cfRule type="duplicateValues" dxfId="1013" priority="783"/>
    <cfRule type="duplicateValues" dxfId="1012" priority="784"/>
    <cfRule type="duplicateValues" dxfId="1011" priority="785"/>
    <cfRule type="duplicateValues" dxfId="1010" priority="786"/>
    <cfRule type="duplicateValues" dxfId="1009" priority="787"/>
    <cfRule type="duplicateValues" dxfId="1008" priority="788"/>
    <cfRule type="duplicateValues" dxfId="1007" priority="789"/>
  </conditionalFormatting>
  <conditionalFormatting sqref="I55">
    <cfRule type="duplicateValues" dxfId="1006" priority="766"/>
    <cfRule type="duplicateValues" dxfId="1005" priority="767"/>
    <cfRule type="duplicateValues" dxfId="1004" priority="768"/>
    <cfRule type="duplicateValues" dxfId="1003" priority="769"/>
    <cfRule type="duplicateValues" dxfId="1002" priority="770"/>
    <cfRule type="duplicateValues" dxfId="1001" priority="771"/>
    <cfRule type="duplicateValues" dxfId="1000" priority="772"/>
  </conditionalFormatting>
  <conditionalFormatting sqref="I56">
    <cfRule type="duplicateValues" dxfId="999" priority="736"/>
    <cfRule type="duplicateValues" dxfId="998" priority="737"/>
    <cfRule type="duplicateValues" dxfId="997" priority="738"/>
    <cfRule type="duplicateValues" dxfId="996" priority="739"/>
    <cfRule type="duplicateValues" dxfId="995" priority="740"/>
    <cfRule type="duplicateValues" dxfId="994" priority="741"/>
    <cfRule type="duplicateValues" dxfId="993" priority="742"/>
  </conditionalFormatting>
  <conditionalFormatting sqref="I58:I59">
    <cfRule type="duplicateValues" dxfId="992" priority="715"/>
    <cfRule type="duplicateValues" dxfId="991" priority="716"/>
    <cfRule type="duplicateValues" dxfId="990" priority="717"/>
    <cfRule type="duplicateValues" dxfId="989" priority="718"/>
    <cfRule type="duplicateValues" dxfId="988" priority="719"/>
    <cfRule type="duplicateValues" dxfId="987" priority="720"/>
    <cfRule type="duplicateValues" dxfId="986" priority="721"/>
  </conditionalFormatting>
  <conditionalFormatting sqref="I60">
    <cfRule type="duplicateValues" dxfId="985" priority="692"/>
    <cfRule type="duplicateValues" dxfId="984" priority="693"/>
    <cfRule type="duplicateValues" dxfId="983" priority="694"/>
    <cfRule type="duplicateValues" dxfId="982" priority="695"/>
    <cfRule type="duplicateValues" dxfId="981" priority="696"/>
    <cfRule type="duplicateValues" dxfId="980" priority="697"/>
    <cfRule type="duplicateValues" dxfId="979" priority="698"/>
  </conditionalFormatting>
  <conditionalFormatting sqref="I61">
    <cfRule type="duplicateValues" dxfId="978" priority="669"/>
    <cfRule type="duplicateValues" dxfId="977" priority="670"/>
    <cfRule type="duplicateValues" dxfId="976" priority="671"/>
  </conditionalFormatting>
  <conditionalFormatting sqref="I62">
    <cfRule type="duplicateValues" dxfId="975" priority="657"/>
    <cfRule type="duplicateValues" dxfId="974" priority="658"/>
    <cfRule type="duplicateValues" dxfId="973" priority="659"/>
    <cfRule type="duplicateValues" dxfId="972" priority="660"/>
    <cfRule type="duplicateValues" dxfId="971" priority="661"/>
  </conditionalFormatting>
  <conditionalFormatting sqref="I63">
    <cfRule type="duplicateValues" dxfId="970" priority="638"/>
    <cfRule type="duplicateValues" dxfId="969" priority="639"/>
    <cfRule type="duplicateValues" dxfId="968" priority="640"/>
    <cfRule type="duplicateValues" dxfId="967" priority="641"/>
    <cfRule type="duplicateValues" dxfId="966" priority="642"/>
  </conditionalFormatting>
  <conditionalFormatting sqref="I64:I65">
    <cfRule type="duplicateValues" dxfId="965" priority="623"/>
    <cfRule type="duplicateValues" dxfId="964" priority="624"/>
    <cfRule type="duplicateValues" dxfId="963" priority="625"/>
    <cfRule type="duplicateValues" dxfId="962" priority="626"/>
    <cfRule type="duplicateValues" dxfId="961" priority="627"/>
  </conditionalFormatting>
  <conditionalFormatting sqref="I66">
    <cfRule type="duplicateValues" dxfId="960" priority="612"/>
    <cfRule type="duplicateValues" dxfId="959" priority="613"/>
    <cfRule type="duplicateValues" dxfId="958" priority="614"/>
  </conditionalFormatting>
  <conditionalFormatting sqref="I67">
    <cfRule type="duplicateValues" dxfId="957" priority="585"/>
    <cfRule type="duplicateValues" dxfId="956" priority="586"/>
    <cfRule type="duplicateValues" dxfId="955" priority="587"/>
    <cfRule type="duplicateValues" dxfId="954" priority="588"/>
    <cfRule type="duplicateValues" dxfId="953" priority="589"/>
  </conditionalFormatting>
  <conditionalFormatting sqref="I68">
    <cfRule type="duplicateValues" dxfId="952" priority="570"/>
    <cfRule type="duplicateValues" dxfId="951" priority="571"/>
    <cfRule type="duplicateValues" dxfId="950" priority="572"/>
    <cfRule type="duplicateValues" dxfId="949" priority="573"/>
    <cfRule type="duplicateValues" dxfId="948" priority="574"/>
  </conditionalFormatting>
  <conditionalFormatting sqref="I69">
    <cfRule type="duplicateValues" dxfId="947" priority="548"/>
    <cfRule type="duplicateValues" dxfId="946" priority="549"/>
    <cfRule type="duplicateValues" dxfId="945" priority="550"/>
    <cfRule type="duplicateValues" dxfId="944" priority="551"/>
    <cfRule type="duplicateValues" dxfId="943" priority="552"/>
  </conditionalFormatting>
  <conditionalFormatting sqref="I70:I72">
    <cfRule type="duplicateValues" dxfId="942" priority="521"/>
    <cfRule type="duplicateValues" dxfId="941" priority="522"/>
    <cfRule type="duplicateValues" dxfId="940" priority="523"/>
    <cfRule type="duplicateValues" dxfId="939" priority="524"/>
    <cfRule type="duplicateValues" dxfId="938" priority="525"/>
  </conditionalFormatting>
  <conditionalFormatting sqref="I73">
    <cfRule type="duplicateValues" dxfId="937" priority="503"/>
    <cfRule type="duplicateValues" dxfId="936" priority="504"/>
    <cfRule type="duplicateValues" dxfId="935" priority="505"/>
    <cfRule type="duplicateValues" dxfId="934" priority="506"/>
    <cfRule type="duplicateValues" dxfId="933" priority="507"/>
  </conditionalFormatting>
  <conditionalFormatting sqref="I74">
    <cfRule type="duplicateValues" dxfId="932" priority="486"/>
    <cfRule type="duplicateValues" dxfId="931" priority="487"/>
    <cfRule type="duplicateValues" dxfId="930" priority="490"/>
  </conditionalFormatting>
  <conditionalFormatting sqref="I76">
    <cfRule type="duplicateValues" dxfId="929" priority="452"/>
    <cfRule type="duplicateValues" dxfId="928" priority="453"/>
    <cfRule type="duplicateValues" dxfId="927" priority="454"/>
  </conditionalFormatting>
  <conditionalFormatting sqref="I78">
    <cfRule type="duplicateValues" dxfId="926" priority="428"/>
    <cfRule type="duplicateValues" dxfId="925" priority="429"/>
    <cfRule type="duplicateValues" dxfId="924" priority="430"/>
  </conditionalFormatting>
  <conditionalFormatting sqref="I79">
    <cfRule type="duplicateValues" dxfId="923" priority="407"/>
    <cfRule type="duplicateValues" dxfId="922" priority="408"/>
    <cfRule type="duplicateValues" dxfId="921" priority="409"/>
  </conditionalFormatting>
  <conditionalFormatting sqref="I80">
    <cfRule type="duplicateValues" dxfId="920" priority="390"/>
    <cfRule type="duplicateValues" dxfId="919" priority="391"/>
    <cfRule type="duplicateValues" dxfId="918" priority="392"/>
    <cfRule type="duplicateValues" dxfId="917" priority="393"/>
    <cfRule type="duplicateValues" dxfId="916" priority="394"/>
  </conditionalFormatting>
  <conditionalFormatting sqref="I81">
    <cfRule type="duplicateValues" dxfId="915" priority="383"/>
    <cfRule type="duplicateValues" dxfId="914" priority="384"/>
    <cfRule type="duplicateValues" dxfId="913" priority="385"/>
  </conditionalFormatting>
  <conditionalFormatting sqref="I82:I83">
    <cfRule type="duplicateValues" dxfId="912" priority="373"/>
    <cfRule type="duplicateValues" dxfId="911" priority="374"/>
    <cfRule type="duplicateValues" dxfId="910" priority="375"/>
  </conditionalFormatting>
  <conditionalFormatting sqref="I84">
    <cfRule type="duplicateValues" dxfId="909" priority="355"/>
    <cfRule type="duplicateValues" dxfId="908" priority="356"/>
    <cfRule type="duplicateValues" dxfId="907" priority="357"/>
  </conditionalFormatting>
  <conditionalFormatting sqref="I85">
    <cfRule type="duplicateValues" dxfId="906" priority="344"/>
    <cfRule type="duplicateValues" dxfId="905" priority="345"/>
    <cfRule type="duplicateValues" dxfId="904" priority="346"/>
    <cfRule type="duplicateValues" dxfId="903" priority="347"/>
    <cfRule type="duplicateValues" dxfId="902" priority="348"/>
  </conditionalFormatting>
  <conditionalFormatting sqref="I86">
    <cfRule type="duplicateValues" dxfId="901" priority="327"/>
    <cfRule type="duplicateValues" dxfId="900" priority="328"/>
    <cfRule type="duplicateValues" dxfId="899" priority="329"/>
  </conditionalFormatting>
  <conditionalFormatting sqref="I87">
    <cfRule type="duplicateValues" dxfId="898" priority="315"/>
    <cfRule type="duplicateValues" dxfId="897" priority="316"/>
  </conditionalFormatting>
  <conditionalFormatting sqref="I88">
    <cfRule type="duplicateValues" dxfId="896" priority="304"/>
    <cfRule type="duplicateValues" dxfId="895" priority="305"/>
    <cfRule type="duplicateValues" dxfId="894" priority="306"/>
  </conditionalFormatting>
  <conditionalFormatting sqref="I89">
    <cfRule type="duplicateValues" dxfId="893" priority="299"/>
    <cfRule type="duplicateValues" dxfId="892" priority="300"/>
    <cfRule type="duplicateValues" dxfId="891" priority="301"/>
    <cfRule type="duplicateValues" dxfId="890" priority="302"/>
    <cfRule type="duplicateValues" dxfId="889" priority="303"/>
  </conditionalFormatting>
  <conditionalFormatting sqref="I90">
    <cfRule type="duplicateValues" dxfId="888" priority="279"/>
    <cfRule type="duplicateValues" dxfId="887" priority="280"/>
    <cfRule type="duplicateValues" dxfId="886" priority="281"/>
  </conditionalFormatting>
  <conditionalFormatting sqref="I91">
    <cfRule type="duplicateValues" dxfId="885" priority="269"/>
    <cfRule type="duplicateValues" dxfId="884" priority="270"/>
    <cfRule type="duplicateValues" dxfId="883" priority="271"/>
  </conditionalFormatting>
  <conditionalFormatting sqref="I92">
    <cfRule type="duplicateValues" dxfId="882" priority="256"/>
    <cfRule type="duplicateValues" dxfId="881" priority="257"/>
    <cfRule type="duplicateValues" dxfId="880" priority="258"/>
  </conditionalFormatting>
  <conditionalFormatting sqref="I93">
    <cfRule type="duplicateValues" dxfId="879" priority="225"/>
    <cfRule type="duplicateValues" dxfId="878" priority="229"/>
    <cfRule type="duplicateValues" dxfId="877" priority="230"/>
    <cfRule type="duplicateValues" dxfId="876" priority="231"/>
  </conditionalFormatting>
  <conditionalFormatting sqref="I94">
    <cfRule type="duplicateValues" dxfId="875" priority="214"/>
    <cfRule type="duplicateValues" dxfId="874" priority="215"/>
    <cfRule type="duplicateValues" dxfId="873" priority="216"/>
    <cfRule type="duplicateValues" dxfId="872" priority="217"/>
  </conditionalFormatting>
  <conditionalFormatting sqref="I95">
    <cfRule type="duplicateValues" dxfId="871" priority="200"/>
    <cfRule type="duplicateValues" dxfId="870" priority="201"/>
    <cfRule type="duplicateValues" dxfId="869" priority="202"/>
    <cfRule type="duplicateValues" dxfId="868" priority="203"/>
  </conditionalFormatting>
  <conditionalFormatting sqref="I96">
    <cfRule type="duplicateValues" dxfId="867" priority="172"/>
    <cfRule type="duplicateValues" dxfId="866" priority="173"/>
    <cfRule type="duplicateValues" dxfId="865" priority="174"/>
    <cfRule type="duplicateValues" dxfId="864" priority="175"/>
  </conditionalFormatting>
  <conditionalFormatting sqref="I97">
    <cfRule type="duplicateValues" dxfId="863" priority="158"/>
    <cfRule type="duplicateValues" dxfId="862" priority="159"/>
    <cfRule type="duplicateValues" dxfId="861" priority="160"/>
    <cfRule type="duplicateValues" dxfId="860" priority="161"/>
  </conditionalFormatting>
  <conditionalFormatting sqref="I98">
    <cfRule type="duplicateValues" dxfId="859" priority="144"/>
    <cfRule type="duplicateValues" dxfId="858" priority="145"/>
    <cfRule type="duplicateValues" dxfId="857" priority="146"/>
    <cfRule type="duplicateValues" dxfId="856" priority="147"/>
  </conditionalFormatting>
  <conditionalFormatting sqref="I99:I102">
    <cfRule type="duplicateValues" dxfId="855" priority="130"/>
    <cfRule type="duplicateValues" dxfId="854" priority="131"/>
    <cfRule type="duplicateValues" dxfId="853" priority="132"/>
    <cfRule type="duplicateValues" dxfId="852" priority="133"/>
  </conditionalFormatting>
  <conditionalFormatting sqref="I103">
    <cfRule type="duplicateValues" dxfId="851" priority="119"/>
    <cfRule type="duplicateValues" dxfId="850" priority="120"/>
    <cfRule type="duplicateValues" dxfId="849" priority="121"/>
    <cfRule type="duplicateValues" dxfId="848" priority="122"/>
  </conditionalFormatting>
  <conditionalFormatting sqref="I104">
    <cfRule type="duplicateValues" dxfId="847" priority="105"/>
    <cfRule type="duplicateValues" dxfId="846" priority="106"/>
    <cfRule type="duplicateValues" dxfId="845" priority="107"/>
    <cfRule type="duplicateValues" dxfId="844" priority="108"/>
  </conditionalFormatting>
  <conditionalFormatting sqref="I116">
    <cfRule type="duplicateValues" dxfId="843" priority="6657"/>
  </conditionalFormatting>
  <conditionalFormatting sqref="I116:I65543 I1:I34 I36:I49">
    <cfRule type="duplicateValues" dxfId="842" priority="873"/>
    <cfRule type="duplicateValues" dxfId="841" priority="881"/>
  </conditionalFormatting>
  <conditionalFormatting sqref="I116:I65543 I1:I34 I36:I74 I76">
    <cfRule type="duplicateValues" dxfId="840" priority="448"/>
  </conditionalFormatting>
  <conditionalFormatting sqref="I116:I65543 I1:I74 I76">
    <cfRule type="duplicateValues" dxfId="839" priority="441"/>
  </conditionalFormatting>
  <conditionalFormatting sqref="I117:I119 I1 I4 I132:I65543">
    <cfRule type="duplicateValues" dxfId="838" priority="1770"/>
  </conditionalFormatting>
  <conditionalFormatting sqref="I117:I119 I1:I9 I132:I65543">
    <cfRule type="duplicateValues" dxfId="837" priority="1529"/>
  </conditionalFormatting>
  <conditionalFormatting sqref="I117:I119 I132:I65543">
    <cfRule type="duplicateValues" dxfId="836" priority="1761"/>
  </conditionalFormatting>
  <conditionalFormatting sqref="I117:I65543 I1:I21">
    <cfRule type="duplicateValues" dxfId="835" priority="1341"/>
  </conditionalFormatting>
  <conditionalFormatting sqref="I116:J116">
    <cfRule type="duplicateValues" dxfId="834" priority="6654"/>
  </conditionalFormatting>
  <conditionalFormatting sqref="I120:J129 I130:I131">
    <cfRule type="duplicateValues" dxfId="833" priority="1448"/>
  </conditionalFormatting>
  <conditionalFormatting sqref="I120:J129">
    <cfRule type="duplicateValues" dxfId="832" priority="1446"/>
    <cfRule type="duplicateValues" dxfId="831" priority="1447"/>
  </conditionalFormatting>
  <conditionalFormatting sqref="X2:X104">
    <cfRule type="cellIs" dxfId="830" priority="99" operator="greaterThan">
      <formula>5</formula>
    </cfRule>
    <cfRule type="cellIs" dxfId="829" priority="100" operator="between">
      <formula>0</formula>
      <formula>5</formula>
    </cfRule>
    <cfRule type="cellIs" dxfId="828" priority="101" operator="lessThan">
      <formula>0</formula>
    </cfRule>
  </conditionalFormatting>
  <conditionalFormatting sqref="I105">
    <cfRule type="duplicateValues" dxfId="827" priority="91"/>
    <cfRule type="duplicateValues" dxfId="826" priority="92"/>
    <cfRule type="duplicateValues" dxfId="825" priority="93"/>
    <cfRule type="duplicateValues" dxfId="824" priority="94"/>
  </conditionalFormatting>
  <conditionalFormatting sqref="X105">
    <cfRule type="cellIs" dxfId="823" priority="85" operator="greaterThan">
      <formula>5</formula>
    </cfRule>
    <cfRule type="cellIs" dxfId="822" priority="86" operator="between">
      <formula>0</formula>
      <formula>5</formula>
    </cfRule>
    <cfRule type="cellIs" dxfId="821" priority="87" operator="lessThan">
      <formula>0</formula>
    </cfRule>
  </conditionalFormatting>
  <conditionalFormatting sqref="I106">
    <cfRule type="duplicateValues" dxfId="820" priority="77"/>
    <cfRule type="duplicateValues" dxfId="819" priority="78"/>
    <cfRule type="duplicateValues" dxfId="818" priority="79"/>
    <cfRule type="duplicateValues" dxfId="817" priority="80"/>
  </conditionalFormatting>
  <conditionalFormatting sqref="X109">
    <cfRule type="cellIs" dxfId="816" priority="29" operator="greaterThan">
      <formula>5</formula>
    </cfRule>
    <cfRule type="cellIs" dxfId="815" priority="30" operator="between">
      <formula>0</formula>
      <formula>5</formula>
    </cfRule>
    <cfRule type="cellIs" dxfId="814" priority="31" operator="lessThan">
      <formula>0</formula>
    </cfRule>
  </conditionalFormatting>
  <conditionalFormatting sqref="I107">
    <cfRule type="duplicateValues" dxfId="813" priority="66"/>
    <cfRule type="duplicateValues" dxfId="812" priority="67"/>
    <cfRule type="duplicateValues" dxfId="811" priority="68"/>
    <cfRule type="duplicateValues" dxfId="810" priority="69"/>
  </conditionalFormatting>
  <conditionalFormatting sqref="X107">
    <cfRule type="cellIs" dxfId="809" priority="60" operator="greaterThan">
      <formula>5</formula>
    </cfRule>
    <cfRule type="cellIs" dxfId="808" priority="61" operator="between">
      <formula>0</formula>
      <formula>5</formula>
    </cfRule>
    <cfRule type="cellIs" dxfId="807" priority="62" operator="lessThan">
      <formula>0</formula>
    </cfRule>
  </conditionalFormatting>
  <conditionalFormatting sqref="X106">
    <cfRule type="cellIs" dxfId="806" priority="57" operator="greaterThan">
      <formula>5</formula>
    </cfRule>
    <cfRule type="cellIs" dxfId="805" priority="58" operator="between">
      <formula>0</formula>
      <formula>5</formula>
    </cfRule>
    <cfRule type="cellIs" dxfId="804" priority="59" operator="lessThan">
      <formula>0</formula>
    </cfRule>
  </conditionalFormatting>
  <conditionalFormatting sqref="I108">
    <cfRule type="duplicateValues" dxfId="803" priority="49"/>
    <cfRule type="duplicateValues" dxfId="802" priority="50"/>
    <cfRule type="duplicateValues" dxfId="801" priority="51"/>
    <cfRule type="duplicateValues" dxfId="800" priority="52"/>
  </conditionalFormatting>
  <conditionalFormatting sqref="X110 X112:X115">
    <cfRule type="cellIs" dxfId="799" priority="15" operator="greaterThan">
      <formula>5</formula>
    </cfRule>
    <cfRule type="cellIs" dxfId="798" priority="16" operator="between">
      <formula>0</formula>
      <formula>5</formula>
    </cfRule>
    <cfRule type="cellIs" dxfId="797" priority="17" operator="lessThan">
      <formula>0</formula>
    </cfRule>
  </conditionalFormatting>
  <conditionalFormatting sqref="X108">
    <cfRule type="cellIs" dxfId="796" priority="43" operator="greaterThan">
      <formula>5</formula>
    </cfRule>
    <cfRule type="cellIs" dxfId="795" priority="44" operator="between">
      <formula>0</formula>
      <formula>5</formula>
    </cfRule>
    <cfRule type="cellIs" dxfId="794" priority="45" operator="lessThan">
      <formula>0</formula>
    </cfRule>
  </conditionalFormatting>
  <conditionalFormatting sqref="I109">
    <cfRule type="duplicateValues" dxfId="793" priority="35"/>
    <cfRule type="duplicateValues" dxfId="792" priority="36"/>
    <cfRule type="duplicateValues" dxfId="791" priority="37"/>
    <cfRule type="duplicateValues" dxfId="790" priority="38"/>
  </conditionalFormatting>
  <conditionalFormatting sqref="I110 I112:I115">
    <cfRule type="duplicateValues" dxfId="789" priority="21"/>
    <cfRule type="duplicateValues" dxfId="788" priority="22"/>
    <cfRule type="duplicateValues" dxfId="787" priority="23"/>
    <cfRule type="duplicateValues" dxfId="786" priority="24"/>
  </conditionalFormatting>
  <conditionalFormatting sqref="I111">
    <cfRule type="duplicateValues" dxfId="6" priority="7"/>
    <cfRule type="duplicateValues" dxfId="5" priority="8"/>
    <cfRule type="duplicateValues" dxfId="4" priority="9"/>
    <cfRule type="duplicateValues" dxfId="3" priority="10"/>
  </conditionalFormatting>
  <conditionalFormatting sqref="X111">
    <cfRule type="cellIs" dxfId="2" priority="1" operator="greaterThan">
      <formula>5</formula>
    </cfRule>
    <cfRule type="cellIs" dxfId="1" priority="2" operator="between">
      <formula>0</formula>
      <formula>5</formula>
    </cfRule>
    <cfRule type="cellIs" dxfId="0" priority="3" operator="lessThan">
      <formula>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74" orientation="landscape" r:id="rId1"/>
  <colBreaks count="1" manualBreakCount="1">
    <brk id="13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47"/>
  <sheetViews>
    <sheetView topLeftCell="G1" zoomScale="85" zoomScaleNormal="85" zoomScaleSheetLayoutView="80" workbookViewId="0">
      <pane ySplit="1" topLeftCell="A2" activePane="bottomLeft" state="frozen"/>
      <selection pane="bottomLeft" activeCell="J27" sqref="J27"/>
    </sheetView>
  </sheetViews>
  <sheetFormatPr baseColWidth="10" defaultColWidth="11.42578125" defaultRowHeight="14.25" x14ac:dyDescent="0.2"/>
  <cols>
    <col min="1" max="1" width="4.5703125" style="19" customWidth="1"/>
    <col min="2" max="2" width="5.28515625" style="19" customWidth="1"/>
    <col min="3" max="3" width="6.7109375" style="39" customWidth="1"/>
    <col min="4" max="5" width="6.7109375" style="19" customWidth="1"/>
    <col min="6" max="6" width="12.85546875" style="19" bestFit="1" customWidth="1"/>
    <col min="7" max="7" width="12.85546875" style="19" customWidth="1"/>
    <col min="8" max="8" width="12.42578125" style="19" customWidth="1"/>
    <col min="9" max="9" width="11.42578125" style="19" customWidth="1"/>
    <col min="10" max="10" width="35.28515625" style="19" customWidth="1"/>
    <col min="11" max="11" width="14" style="19" customWidth="1"/>
    <col min="12" max="12" width="9.140625" style="19" customWidth="1"/>
    <col min="13" max="13" width="15.7109375" style="19" bestFit="1" customWidth="1"/>
    <col min="14" max="14" width="11.5703125" style="19" customWidth="1"/>
    <col min="15" max="15" width="10.85546875" style="19" customWidth="1"/>
    <col min="16" max="16" width="7.28515625" style="19" customWidth="1"/>
    <col min="17" max="17" width="11.140625" style="19" customWidth="1"/>
    <col min="18" max="18" width="11.28515625" style="19" customWidth="1"/>
    <col min="19" max="19" width="13.5703125" style="19" customWidth="1"/>
    <col min="20" max="20" width="7.85546875" style="19" customWidth="1"/>
    <col min="21" max="21" width="13" style="19" bestFit="1" customWidth="1"/>
    <col min="22" max="22" width="6.28515625" style="19" customWidth="1"/>
    <col min="23" max="23" width="7.85546875" style="19" customWidth="1"/>
    <col min="24" max="24" width="8.85546875" style="19" customWidth="1"/>
    <col min="25" max="26" width="13.42578125" style="19" customWidth="1"/>
    <col min="27" max="27" width="11.42578125" style="19"/>
    <col min="28" max="28" width="12" style="39" customWidth="1"/>
    <col min="29" max="29" width="19.28515625" style="8" bestFit="1" customWidth="1"/>
    <col min="30" max="16384" width="11.42578125" style="19"/>
  </cols>
  <sheetData>
    <row r="1" spans="1:29" s="1" customFormat="1" ht="57" x14ac:dyDescent="0.2">
      <c r="A1" s="94" t="s">
        <v>82</v>
      </c>
      <c r="B1" s="95" t="s">
        <v>33</v>
      </c>
      <c r="C1" s="96" t="s">
        <v>254</v>
      </c>
      <c r="D1" s="96" t="s">
        <v>683</v>
      </c>
      <c r="E1" s="97" t="s">
        <v>719</v>
      </c>
      <c r="F1" s="95" t="s">
        <v>35</v>
      </c>
      <c r="G1" s="95" t="s">
        <v>36</v>
      </c>
      <c r="H1" s="95" t="s">
        <v>75</v>
      </c>
      <c r="I1" s="95" t="s">
        <v>37</v>
      </c>
      <c r="J1" s="95" t="s">
        <v>342</v>
      </c>
      <c r="K1" s="95" t="s">
        <v>39</v>
      </c>
      <c r="L1" s="95" t="s">
        <v>40</v>
      </c>
      <c r="M1" s="95" t="s">
        <v>34</v>
      </c>
      <c r="N1" s="95" t="s">
        <v>93</v>
      </c>
      <c r="O1" s="95" t="s">
        <v>94</v>
      </c>
      <c r="P1" s="98" t="s">
        <v>99</v>
      </c>
      <c r="Q1" s="95" t="s">
        <v>83</v>
      </c>
      <c r="R1" s="95" t="s">
        <v>98</v>
      </c>
      <c r="S1" s="99" t="s">
        <v>41</v>
      </c>
      <c r="T1" s="100" t="s">
        <v>80</v>
      </c>
      <c r="U1" s="100" t="s">
        <v>95</v>
      </c>
      <c r="V1" s="95" t="s">
        <v>81</v>
      </c>
      <c r="W1" s="95" t="s">
        <v>97</v>
      </c>
      <c r="X1" s="101" t="s">
        <v>85</v>
      </c>
      <c r="Y1" s="95" t="s">
        <v>90</v>
      </c>
      <c r="Z1" s="95" t="s">
        <v>150</v>
      </c>
      <c r="AA1" s="102" t="s">
        <v>229</v>
      </c>
      <c r="AB1" s="103" t="s">
        <v>343</v>
      </c>
      <c r="AC1" s="104" t="s">
        <v>688</v>
      </c>
    </row>
    <row r="2" spans="1:29" ht="28.5" hidden="1" x14ac:dyDescent="0.2">
      <c r="A2" s="105">
        <v>1</v>
      </c>
      <c r="B2" s="2">
        <v>31</v>
      </c>
      <c r="C2" s="36" t="str">
        <f>IF(ISERROR(VLOOKUP(I2,[1]DEP!$B$3:$E$583,1,FALSE)),"NO","SI")</f>
        <v>SI</v>
      </c>
      <c r="D2" s="2" t="str">
        <f>IF(ISERROR(VLOOKUP(I2,[2]FRG!$S$19:$U$288,1,FALSE)),"NO","SI")</f>
        <v>SI</v>
      </c>
      <c r="E2" s="2" t="str">
        <f>IF(ISERROR(VLOOKUP(I2,'[4]ARI 26 C33'!$C$1:$D$490,1,FALSE)),"NO","SI")</f>
        <v>NO</v>
      </c>
      <c r="F2" s="2" t="s">
        <v>42</v>
      </c>
      <c r="G2" s="2" t="s">
        <v>3</v>
      </c>
      <c r="H2" s="2" t="s">
        <v>16</v>
      </c>
      <c r="I2" s="7">
        <v>40018788</v>
      </c>
      <c r="J2" s="3" t="s">
        <v>678</v>
      </c>
      <c r="K2" s="3">
        <v>633888000</v>
      </c>
      <c r="L2" s="2" t="s">
        <v>49</v>
      </c>
      <c r="M2" s="17" t="s">
        <v>685</v>
      </c>
      <c r="N2" s="10"/>
      <c r="O2" s="10"/>
      <c r="P2" s="37" t="str">
        <f>IF(NETWORKDAYS(N2,O2,Feriados!$I$2:$I$22)-1&gt;=0,NETWORKDAYS(N2,O2,Feriados!$I$2:$I$22)-1,"NO APLICA")</f>
        <v>NO APLICA</v>
      </c>
      <c r="Q2" s="10">
        <v>45649</v>
      </c>
      <c r="R2" s="9">
        <f t="shared" ref="R2:R33" si="0">+Q2+T2</f>
        <v>45659</v>
      </c>
      <c r="S2" s="43">
        <v>45665</v>
      </c>
      <c r="T2" s="2">
        <v>10</v>
      </c>
      <c r="U2" s="9">
        <f>WORKDAY(Q2,T2,Feriados!$I$2:$I$22)</f>
        <v>45664</v>
      </c>
      <c r="V2" s="2">
        <f t="shared" ref="V2:V33" si="1">+S2-Q2</f>
        <v>16</v>
      </c>
      <c r="W2" s="38">
        <f>IF(NETWORKDAYS(Q2,S2,Feriados!$I$2:$I$22)-1&gt;=0,NETWORKDAYS(Q2,S2,Feriados!$I$2:$I$22)-1,"NO APLICA")</f>
        <v>11</v>
      </c>
      <c r="X2" s="13">
        <f t="shared" ref="X2:X9" ca="1" si="2">SUM(U2-TODAY())</f>
        <v>-632</v>
      </c>
      <c r="Y2" s="2" t="s">
        <v>341</v>
      </c>
      <c r="Z2" s="2" t="s">
        <v>154</v>
      </c>
      <c r="AA2" s="65">
        <v>608</v>
      </c>
      <c r="AB2" s="88" t="s">
        <v>32</v>
      </c>
      <c r="AC2" s="106" t="s">
        <v>366</v>
      </c>
    </row>
    <row r="3" spans="1:29" ht="28.5" hidden="1" x14ac:dyDescent="0.2">
      <c r="A3" s="105">
        <v>2</v>
      </c>
      <c r="B3" s="2">
        <v>29</v>
      </c>
      <c r="C3" s="36" t="str">
        <f>IF(ISERROR(VLOOKUP(I3,[1]DEP!$B$3:$E$583,1,FALSE)),"NO","SI")</f>
        <v>NO</v>
      </c>
      <c r="D3" s="2" t="str">
        <f>IF(ISERROR(VLOOKUP(I3,[2]FRG!$S$19:$U$288,1,FALSE)),"NO","SI")</f>
        <v>NO</v>
      </c>
      <c r="E3" s="2" t="str">
        <f>IF(ISERROR(VLOOKUP(I3,'[4]ARI 26 C33'!$C$1:$D$490,1,FALSE)),"NO","SI")</f>
        <v>NO</v>
      </c>
      <c r="F3" s="2" t="str">
        <f>+IFERROR(VLOOKUP(G3,Feriados!$M$1:$N$36,2,FALSE),"")</f>
        <v>REGIONAL</v>
      </c>
      <c r="G3" s="2" t="s">
        <v>179</v>
      </c>
      <c r="H3" s="2" t="s">
        <v>185</v>
      </c>
      <c r="I3" s="7">
        <v>40062961</v>
      </c>
      <c r="J3" s="3" t="s">
        <v>553</v>
      </c>
      <c r="K3" s="3"/>
      <c r="L3" s="2" t="s">
        <v>49</v>
      </c>
      <c r="M3" s="15" t="s">
        <v>685</v>
      </c>
      <c r="N3" s="10">
        <v>45664</v>
      </c>
      <c r="O3" s="10">
        <v>45673</v>
      </c>
      <c r="P3" s="37">
        <f>IF(NETWORKDAYS(N3,O3,Feriados!$I$2:$I$22)-1&gt;=0,NETWORKDAYS(N3,O3,Feriados!$I$2:$I$22)-1,"NO APLICA")</f>
        <v>7</v>
      </c>
      <c r="Q3" s="10">
        <v>45664</v>
      </c>
      <c r="R3" s="9">
        <f t="shared" si="0"/>
        <v>45679</v>
      </c>
      <c r="S3" s="43">
        <v>45673</v>
      </c>
      <c r="T3" s="2">
        <v>15</v>
      </c>
      <c r="U3" s="9">
        <f>WORKDAY(Q3,T3,Feriados!$I$2:$I$22)</f>
        <v>45685</v>
      </c>
      <c r="V3" s="2">
        <f t="shared" si="1"/>
        <v>9</v>
      </c>
      <c r="W3" s="38">
        <f>IF(NETWORKDAYS(Q3,S3,Feriados!$I$2:$I$22)-1&gt;=0,NETWORKDAYS(Q3,S3,Feriados!$I$2:$I$22)-1,"NO APLICA")</f>
        <v>7</v>
      </c>
      <c r="X3" s="13">
        <f t="shared" ca="1" si="2"/>
        <v>-611</v>
      </c>
      <c r="Y3" s="3"/>
      <c r="Z3" s="48" t="s">
        <v>476</v>
      </c>
      <c r="AA3" s="65"/>
      <c r="AB3" s="88" t="s">
        <v>31</v>
      </c>
      <c r="AC3" s="107" t="s">
        <v>476</v>
      </c>
    </row>
    <row r="4" spans="1:29" ht="28.5" hidden="1" x14ac:dyDescent="0.2">
      <c r="A4" s="105">
        <v>3</v>
      </c>
      <c r="B4" s="2">
        <v>29</v>
      </c>
      <c r="C4" s="36" t="str">
        <f>IF(ISERROR(VLOOKUP(I4,[1]DEP!$B$3:$E$583,1,FALSE)),"NO","SI")</f>
        <v>NO</v>
      </c>
      <c r="D4" s="2" t="str">
        <f>IF(ISERROR(VLOOKUP(I4,[2]FRG!$S$19:$U$288,1,FALSE)),"NO","SI")</f>
        <v>NO</v>
      </c>
      <c r="E4" s="2" t="str">
        <f>IF(ISERROR(VLOOKUP(I4,'[4]ARI 26 C33'!$C$1:$D$490,1,FALSE)),"NO","SI")</f>
        <v>NO</v>
      </c>
      <c r="F4" s="2" t="str">
        <f>+IFERROR(VLOOKUP(G4,Feriados!$M$1:$N$36,2,FALSE),"")</f>
        <v>REGIONAL</v>
      </c>
      <c r="G4" s="2" t="s">
        <v>179</v>
      </c>
      <c r="H4" s="2" t="s">
        <v>185</v>
      </c>
      <c r="I4" s="7">
        <v>40066004</v>
      </c>
      <c r="J4" s="3" t="s">
        <v>632</v>
      </c>
      <c r="K4" s="3">
        <v>354012000</v>
      </c>
      <c r="L4" s="2" t="s">
        <v>49</v>
      </c>
      <c r="M4" s="15" t="s">
        <v>62</v>
      </c>
      <c r="N4" s="10">
        <v>45664</v>
      </c>
      <c r="O4" s="10">
        <v>45673</v>
      </c>
      <c r="P4" s="37">
        <f>IF(NETWORKDAYS(N4,O4,Feriados!$I$2:$I$22)-1&gt;=0,NETWORKDAYS(N4,O4,Feriados!$I$2:$I$22)-1,"NO APLICA")</f>
        <v>7</v>
      </c>
      <c r="Q4" s="10">
        <v>45887</v>
      </c>
      <c r="R4" s="9">
        <f t="shared" si="0"/>
        <v>45902</v>
      </c>
      <c r="S4" s="43">
        <v>45931</v>
      </c>
      <c r="T4" s="2">
        <v>15</v>
      </c>
      <c r="U4" s="9">
        <f>WORKDAY(Q4,T4,Feriados!$I$2:$I$22)</f>
        <v>45908</v>
      </c>
      <c r="V4" s="2">
        <f t="shared" si="1"/>
        <v>44</v>
      </c>
      <c r="W4" s="38">
        <f>IF(NETWORKDAYS(Q4,S4,Feriados!$I$2:$I$22)-1&gt;=0,NETWORKDAYS(Q4,S4,Feriados!$I$2:$I$22)-1,"NO APLICA")</f>
        <v>30</v>
      </c>
      <c r="X4" s="13">
        <f t="shared" ca="1" si="2"/>
        <v>-388</v>
      </c>
      <c r="Y4" s="2" t="s">
        <v>762</v>
      </c>
      <c r="Z4" s="2" t="s">
        <v>338</v>
      </c>
      <c r="AA4" s="12"/>
      <c r="AB4" s="88" t="s">
        <v>31</v>
      </c>
      <c r="AC4" s="107" t="s">
        <v>542</v>
      </c>
    </row>
    <row r="5" spans="1:29" ht="28.5" hidden="1" x14ac:dyDescent="0.2">
      <c r="A5" s="105">
        <v>4</v>
      </c>
      <c r="B5" s="2">
        <v>29</v>
      </c>
      <c r="C5" s="36" t="str">
        <f>IF(ISERROR(VLOOKUP(I5,[1]DEP!$B$3:$E$583,1,FALSE)),"NO","SI")</f>
        <v>NO</v>
      </c>
      <c r="D5" s="2" t="str">
        <f>IF(ISERROR(VLOOKUP(I5,[2]FRG!$S$19:$U$288,1,FALSE)),"NO","SI")</f>
        <v>SI</v>
      </c>
      <c r="E5" s="2" t="str">
        <f>IF(ISERROR(VLOOKUP(I5,'[4]ARI 26 C33'!$C$1:$D$490,1,FALSE)),"NO","SI")</f>
        <v>NO</v>
      </c>
      <c r="F5" s="2" t="s">
        <v>568</v>
      </c>
      <c r="G5" s="2" t="s">
        <v>69</v>
      </c>
      <c r="H5" s="2" t="s">
        <v>84</v>
      </c>
      <c r="I5" s="2">
        <v>40057047</v>
      </c>
      <c r="J5" s="3" t="s">
        <v>736</v>
      </c>
      <c r="K5" s="3">
        <v>1354107000</v>
      </c>
      <c r="L5" s="2" t="s">
        <v>49</v>
      </c>
      <c r="M5" s="17" t="s">
        <v>62</v>
      </c>
      <c r="N5" s="10"/>
      <c r="O5" s="10"/>
      <c r="P5" s="37" t="str">
        <f>IF(NETWORKDAYS(N5,O5,Feriados!$I$2:$I$22)-1&gt;=0,NETWORKDAYS(N5,O5,Feriados!$I$2:$I$22)-1,"NO APLICA")</f>
        <v>NO APLICA</v>
      </c>
      <c r="Q5" s="10">
        <v>45947</v>
      </c>
      <c r="R5" s="9">
        <f t="shared" si="0"/>
        <v>45957</v>
      </c>
      <c r="S5" s="43">
        <v>45971</v>
      </c>
      <c r="T5" s="2">
        <v>10</v>
      </c>
      <c r="U5" s="9">
        <f>WORKDAY(Q5,T5,Feriados!$I$2:$I$22)</f>
        <v>45964</v>
      </c>
      <c r="V5" s="2">
        <f t="shared" si="1"/>
        <v>24</v>
      </c>
      <c r="W5" s="38">
        <f>IF(NETWORKDAYS(Q5,S5,Feriados!$I$2:$I$22)-1&gt;=0,NETWORKDAYS(Q5,S5,Feriados!$I$2:$I$22)-1,"NO APLICA")</f>
        <v>15</v>
      </c>
      <c r="X5" s="13">
        <f t="shared" ca="1" si="2"/>
        <v>-332</v>
      </c>
      <c r="Y5" s="2" t="s">
        <v>477</v>
      </c>
      <c r="Z5" s="2" t="s">
        <v>157</v>
      </c>
      <c r="AA5" s="64">
        <v>168185</v>
      </c>
      <c r="AB5" s="88" t="s">
        <v>32</v>
      </c>
      <c r="AC5" s="107" t="s">
        <v>366</v>
      </c>
    </row>
    <row r="6" spans="1:29" ht="28.5" hidden="1" x14ac:dyDescent="0.2">
      <c r="A6" s="105">
        <v>5</v>
      </c>
      <c r="B6" s="2">
        <v>29</v>
      </c>
      <c r="C6" s="36" t="str">
        <f>IF(ISERROR(VLOOKUP(I6,[1]DEP!$B$3:$E$583,1,FALSE)),"NO","SI")</f>
        <v>SI</v>
      </c>
      <c r="D6" s="2" t="str">
        <f>IF(ISERROR(VLOOKUP(I6,[2]FRG!$S$19:$U$288,1,FALSE)),"NO","SI")</f>
        <v>SI</v>
      </c>
      <c r="E6" s="2" t="str">
        <f>IF(ISERROR(VLOOKUP(I6,'[4]ARI 26 C33'!$C$1:$D$490,1,FALSE)),"NO","SI")</f>
        <v>NO</v>
      </c>
      <c r="F6" s="2" t="s">
        <v>45</v>
      </c>
      <c r="G6" s="2" t="s">
        <v>51</v>
      </c>
      <c r="H6" s="2" t="s">
        <v>11</v>
      </c>
      <c r="I6" s="7">
        <v>40033774</v>
      </c>
      <c r="J6" s="3" t="s">
        <v>417</v>
      </c>
      <c r="K6" s="3">
        <v>1931826751</v>
      </c>
      <c r="L6" s="2" t="s">
        <v>49</v>
      </c>
      <c r="M6" s="17" t="s">
        <v>62</v>
      </c>
      <c r="N6" s="10"/>
      <c r="O6" s="10"/>
      <c r="P6" s="37" t="str">
        <f>IF(NETWORKDAYS(N6,O6,Feriados!$I$2:$I$22)-1&gt;=0,NETWORKDAYS(N6,O6,Feriados!$I$2:$I$22)-1,"NO APLICA")</f>
        <v>NO APLICA</v>
      </c>
      <c r="Q6" s="10">
        <v>45866</v>
      </c>
      <c r="R6" s="9">
        <f t="shared" si="0"/>
        <v>45876</v>
      </c>
      <c r="S6" s="43">
        <v>45873</v>
      </c>
      <c r="T6" s="2">
        <v>10</v>
      </c>
      <c r="U6" s="9">
        <f>WORKDAY(Q6,T6,Feriados!$I$2:$I$22)</f>
        <v>45880</v>
      </c>
      <c r="V6" s="2">
        <f t="shared" si="1"/>
        <v>7</v>
      </c>
      <c r="W6" s="38">
        <f>IF(NETWORKDAYS(Q6,S6,Feriados!$I$2:$I$22)-1&gt;=0,NETWORKDAYS(Q6,S6,Feriados!$I$2:$I$22)-1,"NO APLICA")</f>
        <v>5</v>
      </c>
      <c r="X6" s="13">
        <f t="shared" ca="1" si="2"/>
        <v>-416</v>
      </c>
      <c r="Y6" s="2" t="s">
        <v>204</v>
      </c>
      <c r="Z6" s="12" t="s">
        <v>157</v>
      </c>
      <c r="AA6" s="3">
        <v>27528</v>
      </c>
      <c r="AB6" s="88" t="s">
        <v>32</v>
      </c>
      <c r="AC6" s="107" t="s">
        <v>366</v>
      </c>
    </row>
    <row r="7" spans="1:29" ht="28.5" hidden="1" x14ac:dyDescent="0.2">
      <c r="A7" s="105">
        <v>6</v>
      </c>
      <c r="B7" s="2">
        <v>29</v>
      </c>
      <c r="C7" s="36" t="str">
        <f>IF(ISERROR(VLOOKUP(I7,[1]DEP!$B$3:$E$583,1,FALSE)),"NO","SI")</f>
        <v>NO</v>
      </c>
      <c r="D7" s="2" t="str">
        <f>IF(ISERROR(VLOOKUP(I7,[2]FRG!$S$19:$U$288,1,FALSE)),"NO","SI")</f>
        <v>NO</v>
      </c>
      <c r="E7" s="2" t="str">
        <f>IF(ISERROR(VLOOKUP(I7,'[4]ARI 26 C33'!$C$1:$D$490,1,FALSE)),"NO","SI")</f>
        <v>NO</v>
      </c>
      <c r="F7" s="2"/>
      <c r="G7" s="2"/>
      <c r="H7" s="2" t="s">
        <v>78</v>
      </c>
      <c r="I7" s="7">
        <v>40063717</v>
      </c>
      <c r="J7" s="3" t="s">
        <v>687</v>
      </c>
      <c r="K7" s="3"/>
      <c r="L7" s="2" t="s">
        <v>49</v>
      </c>
      <c r="M7" s="15" t="s">
        <v>685</v>
      </c>
      <c r="N7" s="10">
        <v>45671</v>
      </c>
      <c r="O7" s="10">
        <v>45684</v>
      </c>
      <c r="P7" s="37">
        <f>IF(NETWORKDAYS(N7,O7,Feriados!$I$2:$I$22)-1&gt;=0,NETWORKDAYS(N7,O7,Feriados!$I$2:$I$22)-1,"NO APLICA")</f>
        <v>9</v>
      </c>
      <c r="Q7" s="10">
        <v>45967</v>
      </c>
      <c r="R7" s="9">
        <f t="shared" si="0"/>
        <v>45982</v>
      </c>
      <c r="S7" s="43">
        <v>46000</v>
      </c>
      <c r="T7" s="2">
        <v>15</v>
      </c>
      <c r="U7" s="9">
        <f>WORKDAY(Q7,T7,Feriados!$I$2:$I$22)</f>
        <v>45988</v>
      </c>
      <c r="V7" s="2">
        <f t="shared" si="1"/>
        <v>33</v>
      </c>
      <c r="W7" s="38">
        <f>IF(NETWORKDAYS(Q7,S7,Feriados!$I$2:$I$22)-1&gt;=0,NETWORKDAYS(Q7,S7,Feriados!$I$2:$I$22)-1,"NO APLICA")</f>
        <v>22</v>
      </c>
      <c r="X7" s="13">
        <f t="shared" ca="1" si="2"/>
        <v>-308</v>
      </c>
      <c r="Y7" s="3"/>
      <c r="Z7" s="2" t="s">
        <v>172</v>
      </c>
      <c r="AA7" s="65"/>
      <c r="AB7" s="87" t="s">
        <v>31</v>
      </c>
      <c r="AC7" s="107" t="s">
        <v>757</v>
      </c>
    </row>
    <row r="8" spans="1:29" ht="28.5" hidden="1" x14ac:dyDescent="0.2">
      <c r="A8" s="105">
        <v>7</v>
      </c>
      <c r="B8" s="2">
        <v>29</v>
      </c>
      <c r="C8" s="36" t="str">
        <f>IF(ISERROR(VLOOKUP(I8,[1]DEP!$B$3:$E$583,1,FALSE)),"NO","SI")</f>
        <v>SI</v>
      </c>
      <c r="D8" s="2" t="str">
        <f>IF(ISERROR(VLOOKUP(I8,[2]FRG!$S$19:$U$288,1,FALSE)),"NO","SI")</f>
        <v>SI</v>
      </c>
      <c r="E8" s="2" t="str">
        <f>IF(ISERROR(VLOOKUP(I8,'[4]ARI 26 C33'!$C$1:$D$490,1,FALSE)),"NO","SI")</f>
        <v>SI</v>
      </c>
      <c r="F8" s="2" t="s">
        <v>568</v>
      </c>
      <c r="G8" s="2" t="s">
        <v>54</v>
      </c>
      <c r="H8" s="2" t="s">
        <v>407</v>
      </c>
      <c r="I8" s="7">
        <v>40013818</v>
      </c>
      <c r="J8" s="3" t="s">
        <v>735</v>
      </c>
      <c r="K8" s="3">
        <v>839659000</v>
      </c>
      <c r="L8" s="2" t="s">
        <v>49</v>
      </c>
      <c r="M8" s="17" t="s">
        <v>62</v>
      </c>
      <c r="N8" s="10"/>
      <c r="O8" s="10"/>
      <c r="P8" s="37" t="str">
        <f>IF(NETWORKDAYS(N8,O8,Feriados!$I$2:$I$22)-1&gt;=0,NETWORKDAYS(N8,O8,Feriados!$I$2:$I$22)-1,"NO APLICA")</f>
        <v>NO APLICA</v>
      </c>
      <c r="Q8" s="10">
        <v>45673</v>
      </c>
      <c r="R8" s="9">
        <f t="shared" si="0"/>
        <v>45683</v>
      </c>
      <c r="S8" s="43">
        <v>45681</v>
      </c>
      <c r="T8" s="2">
        <v>10</v>
      </c>
      <c r="U8" s="9">
        <f>WORKDAY(Q8,T8,Feriados!$I$2:$I$22)</f>
        <v>45687</v>
      </c>
      <c r="V8" s="2">
        <f t="shared" si="1"/>
        <v>8</v>
      </c>
      <c r="W8" s="38">
        <f>IF(NETWORKDAYS(Q8,S8,Feriados!$I$2:$I$22)-1&gt;=0,NETWORKDAYS(Q8,S8,Feriados!$I$2:$I$22)-1,"NO APLICA")</f>
        <v>6</v>
      </c>
      <c r="X8" s="13">
        <f t="shared" ca="1" si="2"/>
        <v>-609</v>
      </c>
      <c r="Y8" s="2" t="s">
        <v>507</v>
      </c>
      <c r="Z8" s="48" t="s">
        <v>157</v>
      </c>
      <c r="AA8" s="3">
        <v>1190</v>
      </c>
      <c r="AB8" s="88" t="s">
        <v>32</v>
      </c>
      <c r="AC8" s="107" t="s">
        <v>366</v>
      </c>
    </row>
    <row r="9" spans="1:29" ht="28.5" hidden="1" x14ac:dyDescent="0.2">
      <c r="A9" s="105">
        <v>8</v>
      </c>
      <c r="B9" s="2">
        <v>29</v>
      </c>
      <c r="C9" s="36" t="str">
        <f>IF(ISERROR(VLOOKUP(I9,[1]DEP!$B$3:$E$583,1,FALSE)),"NO","SI")</f>
        <v>SI</v>
      </c>
      <c r="D9" s="2" t="str">
        <f>IF(ISERROR(VLOOKUP(I9,[2]FRG!$S$19:$U$288,1,FALSE)),"NO","SI")</f>
        <v>SI</v>
      </c>
      <c r="E9" s="2" t="str">
        <f>IF(ISERROR(VLOOKUP(I9,'[4]ARI 26 C33'!$C$1:$D$490,1,FALSE)),"NO","SI")</f>
        <v>NO</v>
      </c>
      <c r="F9" s="2" t="s">
        <v>45</v>
      </c>
      <c r="G9" s="2" t="s">
        <v>46</v>
      </c>
      <c r="H9" s="2" t="s">
        <v>23</v>
      </c>
      <c r="I9" s="7">
        <v>40031422</v>
      </c>
      <c r="J9" s="3" t="s">
        <v>689</v>
      </c>
      <c r="K9" s="3">
        <v>238375000</v>
      </c>
      <c r="L9" s="2" t="s">
        <v>49</v>
      </c>
      <c r="M9" s="17" t="s">
        <v>62</v>
      </c>
      <c r="N9" s="10"/>
      <c r="O9" s="10"/>
      <c r="P9" s="37" t="str">
        <f>IF(NETWORKDAYS(N9,O9,Feriados!$I$2:$I$22)-1&gt;=0,NETWORKDAYS(N9,O9,Feriados!$I$2:$I$22)-1,"NO APLICA")</f>
        <v>NO APLICA</v>
      </c>
      <c r="Q9" s="10">
        <v>45688</v>
      </c>
      <c r="R9" s="9">
        <f t="shared" si="0"/>
        <v>45698</v>
      </c>
      <c r="S9" s="43">
        <v>45695</v>
      </c>
      <c r="T9" s="2">
        <v>10</v>
      </c>
      <c r="U9" s="9">
        <f>WORKDAY(Q9,T9,Feriados!$I$2:$I$22)</f>
        <v>45702</v>
      </c>
      <c r="V9" s="2">
        <f t="shared" si="1"/>
        <v>7</v>
      </c>
      <c r="W9" s="38">
        <f>IF(NETWORKDAYS(Q9,S9,Feriados!$I$2:$I$22)-1&gt;=0,NETWORKDAYS(Q9,S9,Feriados!$I$2:$I$22)-1,"NO APLICA")</f>
        <v>5</v>
      </c>
      <c r="X9" s="13">
        <f t="shared" ca="1" si="2"/>
        <v>-594</v>
      </c>
      <c r="Y9" s="2" t="s">
        <v>536</v>
      </c>
      <c r="Z9" s="48" t="s">
        <v>152</v>
      </c>
      <c r="AA9" s="3">
        <v>9915</v>
      </c>
      <c r="AB9" s="88" t="s">
        <v>32</v>
      </c>
      <c r="AC9" s="107" t="s">
        <v>542</v>
      </c>
    </row>
    <row r="10" spans="1:29" ht="28.5" hidden="1" x14ac:dyDescent="0.2">
      <c r="A10" s="105">
        <v>9</v>
      </c>
      <c r="B10" s="2">
        <v>29</v>
      </c>
      <c r="C10" s="36" t="str">
        <f>IF(ISERROR(VLOOKUP(I10,[1]DEP!$B$3:$E$583,1,FALSE)),"NO","SI")</f>
        <v>NO</v>
      </c>
      <c r="D10" s="2" t="str">
        <f>IF(ISERROR(VLOOKUP(I10,[2]FRG!$S$19:$U$288,1,FALSE)),"NO","SI")</f>
        <v>NO</v>
      </c>
      <c r="E10" s="2" t="str">
        <f>IF(ISERROR(VLOOKUP(I10,'[4]ARI 26 C33'!$C$1:$D$490,1,FALSE)),"NO","SI")</f>
        <v>SI</v>
      </c>
      <c r="F10" s="2" t="s">
        <v>42</v>
      </c>
      <c r="G10" s="2" t="s">
        <v>68</v>
      </c>
      <c r="H10" s="2" t="s">
        <v>21</v>
      </c>
      <c r="I10" s="7">
        <v>40069510</v>
      </c>
      <c r="J10" s="3" t="s">
        <v>690</v>
      </c>
      <c r="K10" s="3">
        <v>160330000</v>
      </c>
      <c r="L10" s="2" t="s">
        <v>49</v>
      </c>
      <c r="M10" s="15" t="s">
        <v>62</v>
      </c>
      <c r="N10" s="10">
        <v>45698</v>
      </c>
      <c r="O10" s="10">
        <v>45719</v>
      </c>
      <c r="P10" s="37">
        <f>IF(NETWORKDAYS(N10,O10,Feriados!$I$2:$I$22)-1&gt;=0,NETWORKDAYS(N10,O10,Feriados!$I$2:$I$22)-1,"NO APLICA")</f>
        <v>15</v>
      </c>
      <c r="Q10" s="10">
        <v>45789</v>
      </c>
      <c r="R10" s="9">
        <f t="shared" si="0"/>
        <v>45804</v>
      </c>
      <c r="S10" s="43">
        <v>45811</v>
      </c>
      <c r="T10" s="2">
        <v>15</v>
      </c>
      <c r="U10" s="9">
        <f>WORKDAY(Q10,T10,Feriados!$I$2:$I$22)</f>
        <v>45811</v>
      </c>
      <c r="V10" s="2">
        <f t="shared" si="1"/>
        <v>22</v>
      </c>
      <c r="W10" s="38">
        <f>IF(NETWORKDAYS(Q10,S10,Feriados!$I$2:$I$22)-1&gt;=0,NETWORKDAYS(Q10,S10,Feriados!$I$2:$I$22)-1,"NO APLICA")</f>
        <v>15</v>
      </c>
      <c r="X10" s="13">
        <f t="shared" ref="X10:X16" ca="1" si="3">SUM(U10-TODAY())</f>
        <v>-485</v>
      </c>
      <c r="Y10" s="2" t="s">
        <v>708</v>
      </c>
      <c r="Z10" s="48" t="s">
        <v>338</v>
      </c>
      <c r="AA10" s="65"/>
      <c r="AB10" s="88" t="s">
        <v>31</v>
      </c>
      <c r="AC10" s="107" t="s">
        <v>820</v>
      </c>
    </row>
    <row r="11" spans="1:29" ht="28.5" hidden="1" x14ac:dyDescent="0.2">
      <c r="A11" s="105">
        <v>10</v>
      </c>
      <c r="B11" s="2">
        <v>29</v>
      </c>
      <c r="C11" s="36" t="str">
        <f>IF(ISERROR(VLOOKUP(I11,[1]DEP!$B$3:$E$583,1,FALSE)),"NO","SI")</f>
        <v>NO</v>
      </c>
      <c r="D11" s="2" t="str">
        <f>IF(ISERROR(VLOOKUP(I11,[2]FRG!$S$19:$U$288,1,FALSE)),"NO","SI")</f>
        <v>NO</v>
      </c>
      <c r="E11" s="2" t="str">
        <f>IF(ISERROR(VLOOKUP(I11,'[4]ARI 26 C33'!$C$1:$D$490,1,FALSE)),"NO","SI")</f>
        <v>SI</v>
      </c>
      <c r="F11" s="2" t="s">
        <v>45</v>
      </c>
      <c r="G11" s="2" t="s">
        <v>46</v>
      </c>
      <c r="H11" s="2" t="s">
        <v>23</v>
      </c>
      <c r="I11" s="7">
        <v>40070081</v>
      </c>
      <c r="J11" s="3" t="s">
        <v>691</v>
      </c>
      <c r="K11" s="3"/>
      <c r="L11" s="2" t="s">
        <v>49</v>
      </c>
      <c r="M11" s="15" t="s">
        <v>685</v>
      </c>
      <c r="N11" s="10">
        <v>45708</v>
      </c>
      <c r="O11" s="10">
        <v>45750</v>
      </c>
      <c r="P11" s="37">
        <f>IF(NETWORKDAYS(N11,O11,Feriados!$I$2:$I$22)-1&gt;=0,NETWORKDAYS(N11,O11,Feriados!$I$2:$I$22)-1,"NO APLICA")</f>
        <v>30</v>
      </c>
      <c r="Q11" s="10">
        <v>45947</v>
      </c>
      <c r="R11" s="9">
        <f t="shared" si="0"/>
        <v>45962</v>
      </c>
      <c r="S11" s="43">
        <v>45750</v>
      </c>
      <c r="T11" s="2">
        <v>15</v>
      </c>
      <c r="U11" s="9">
        <f>WORKDAY(Q11,T11,Feriados!$I$2:$I$22)</f>
        <v>45971</v>
      </c>
      <c r="V11" s="2">
        <f t="shared" si="1"/>
        <v>-197</v>
      </c>
      <c r="W11" s="38" t="str">
        <f>IF(NETWORKDAYS(Q11,S11,Feriados!$I$2:$I$22)-1&gt;=0,NETWORKDAYS(Q11,S11,Feriados!$I$2:$I$22)-1,"NO APLICA")</f>
        <v>NO APLICA</v>
      </c>
      <c r="X11" s="13">
        <f t="shared" ca="1" si="3"/>
        <v>-325</v>
      </c>
      <c r="Y11" s="3"/>
      <c r="Z11" s="48" t="s">
        <v>314</v>
      </c>
      <c r="AA11" s="65"/>
      <c r="AB11" s="88" t="s">
        <v>31</v>
      </c>
      <c r="AC11" s="107" t="s">
        <v>694</v>
      </c>
    </row>
    <row r="12" spans="1:29" s="60" customFormat="1" ht="28.5" hidden="1" x14ac:dyDescent="0.2">
      <c r="A12" s="105">
        <v>11</v>
      </c>
      <c r="B12" s="3">
        <v>31</v>
      </c>
      <c r="C12" s="36" t="str">
        <f>IF(ISERROR(VLOOKUP(I12,[1]DEP!$B$3:$E$583,1,FALSE)),"NO","SI")</f>
        <v>NO</v>
      </c>
      <c r="D12" s="2" t="str">
        <f>IF(ISERROR(VLOOKUP(I12,[2]FRG!$S$19:$U$288,1,FALSE)),"NO","SI")</f>
        <v>NO</v>
      </c>
      <c r="E12" s="2" t="str">
        <f>IF(ISERROR(VLOOKUP(I12,'[4]ARI 26 C33'!$C$1:$D$490,1,FALSE)),"NO","SI")</f>
        <v>SI</v>
      </c>
      <c r="F12" s="2" t="s">
        <v>45</v>
      </c>
      <c r="G12" s="2" t="s">
        <v>55</v>
      </c>
      <c r="H12" s="2" t="s">
        <v>4</v>
      </c>
      <c r="I12" s="7">
        <v>40055163</v>
      </c>
      <c r="J12" s="3" t="s">
        <v>615</v>
      </c>
      <c r="K12" s="3">
        <v>1221535000</v>
      </c>
      <c r="L12" s="2" t="s">
        <v>49</v>
      </c>
      <c r="M12" s="15" t="s">
        <v>62</v>
      </c>
      <c r="N12" s="10">
        <v>45712</v>
      </c>
      <c r="O12" s="10">
        <v>45727</v>
      </c>
      <c r="P12" s="37">
        <f>IF(NETWORKDAYS(N12,O12,Feriados!$I$2:$I$22)-1&gt;=0,NETWORKDAYS(N12,O12,Feriados!$I$2:$I$22)-1,"NO APLICA")</f>
        <v>11</v>
      </c>
      <c r="Q12" s="10">
        <v>45712</v>
      </c>
      <c r="R12" s="9">
        <f t="shared" si="0"/>
        <v>45727</v>
      </c>
      <c r="S12" s="43">
        <v>45727</v>
      </c>
      <c r="T12" s="2">
        <v>15</v>
      </c>
      <c r="U12" s="9">
        <f>WORKDAY(Q12,T12,Feriados!$I$2:$I$22)</f>
        <v>45733</v>
      </c>
      <c r="V12" s="2">
        <f t="shared" si="1"/>
        <v>15</v>
      </c>
      <c r="W12" s="38">
        <f>IF(NETWORKDAYS(Q12,S12,Feriados!$I$2:$I$22)-1&gt;=0,NETWORKDAYS(Q12,S12,Feriados!$I$2:$I$22)-1,"NO APLICA")</f>
        <v>11</v>
      </c>
      <c r="X12" s="13">
        <f t="shared" ca="1" si="3"/>
        <v>-563</v>
      </c>
      <c r="Y12" s="2" t="s">
        <v>693</v>
      </c>
      <c r="Z12" s="2" t="s">
        <v>154</v>
      </c>
      <c r="AA12" s="85">
        <v>1167</v>
      </c>
      <c r="AB12" s="88" t="s">
        <v>31</v>
      </c>
      <c r="AC12" s="3" t="s">
        <v>366</v>
      </c>
    </row>
    <row r="13" spans="1:29" ht="28.5" hidden="1" x14ac:dyDescent="0.2">
      <c r="A13" s="105">
        <v>12</v>
      </c>
      <c r="B13" s="2">
        <v>31</v>
      </c>
      <c r="C13" s="36" t="str">
        <f>IF(ISERROR(VLOOKUP(I13,[1]DEP!$B$3:$E$583,1,FALSE)),"NO","SI")</f>
        <v>NO</v>
      </c>
      <c r="D13" s="2" t="str">
        <f>IF(ISERROR(VLOOKUP(I13,[2]FRG!$S$19:$U$288,1,FALSE)),"NO","SI")</f>
        <v>NO</v>
      </c>
      <c r="E13" s="2" t="str">
        <f>IF(ISERROR(VLOOKUP(I13,'[4]ARI 26 C33'!$C$1:$D$490,1,FALSE)),"NO","SI")</f>
        <v>SI</v>
      </c>
      <c r="F13" s="2" t="s">
        <v>568</v>
      </c>
      <c r="G13" s="2" t="s">
        <v>64</v>
      </c>
      <c r="H13" s="2" t="s">
        <v>92</v>
      </c>
      <c r="I13" s="7">
        <v>40067325</v>
      </c>
      <c r="J13" s="3" t="s">
        <v>646</v>
      </c>
      <c r="K13" s="3">
        <v>2352751000</v>
      </c>
      <c r="L13" s="2" t="s">
        <v>49</v>
      </c>
      <c r="M13" s="15" t="s">
        <v>62</v>
      </c>
      <c r="N13" s="10">
        <v>45712</v>
      </c>
      <c r="O13" s="10">
        <v>45719</v>
      </c>
      <c r="P13" s="37">
        <f>IF(NETWORKDAYS(N13,O13,Feriados!$I$2:$I$22)-1&gt;=0,NETWORKDAYS(N13,O13,Feriados!$I$2:$I$22)-1,"NO APLICA")</f>
        <v>5</v>
      </c>
      <c r="Q13" s="10">
        <v>45712</v>
      </c>
      <c r="R13" s="9">
        <f t="shared" si="0"/>
        <v>45727</v>
      </c>
      <c r="S13" s="43">
        <v>45719</v>
      </c>
      <c r="T13" s="2">
        <v>15</v>
      </c>
      <c r="U13" s="9">
        <f>WORKDAY(Q13,T13,Feriados!$I$2:$I$22)</f>
        <v>45733</v>
      </c>
      <c r="V13" s="2">
        <f t="shared" si="1"/>
        <v>7</v>
      </c>
      <c r="W13" s="38">
        <f>IF(NETWORKDAYS(Q13,S13,Feriados!$I$2:$I$22)-1&gt;=0,NETWORKDAYS(Q13,S13,Feriados!$I$2:$I$22)-1,"NO APLICA")</f>
        <v>5</v>
      </c>
      <c r="X13" s="13">
        <f t="shared" ca="1" si="3"/>
        <v>-563</v>
      </c>
      <c r="Y13" s="2"/>
      <c r="Z13" s="2" t="s">
        <v>154</v>
      </c>
      <c r="AA13" s="64">
        <v>497</v>
      </c>
      <c r="AB13" s="88" t="s">
        <v>31</v>
      </c>
      <c r="AC13" s="2" t="s">
        <v>366</v>
      </c>
    </row>
    <row r="14" spans="1:29" s="60" customFormat="1" ht="28.5" hidden="1" x14ac:dyDescent="0.2">
      <c r="A14" s="105">
        <v>13</v>
      </c>
      <c r="B14" s="3">
        <v>29</v>
      </c>
      <c r="C14" s="36" t="str">
        <f>IF(ISERROR(VLOOKUP(I14,[1]DEP!$B$3:$E$583,1,FALSE)),"NO","SI")</f>
        <v>NO</v>
      </c>
      <c r="D14" s="2" t="str">
        <f>IF(ISERROR(VLOOKUP(I14,[2]FRG!$S$19:$U$288,1,FALSE)),"NO","SI")</f>
        <v>NO</v>
      </c>
      <c r="E14" s="2" t="str">
        <f>IF(ISERROR(VLOOKUP(I14,'[4]ARI 26 C33'!$C$1:$D$490,1,FALSE)),"NO","SI")</f>
        <v>NO</v>
      </c>
      <c r="F14" s="2" t="s">
        <v>45</v>
      </c>
      <c r="G14" s="2" t="s">
        <v>46</v>
      </c>
      <c r="H14" s="2" t="s">
        <v>23</v>
      </c>
      <c r="I14" s="7">
        <v>40069547</v>
      </c>
      <c r="J14" s="3" t="s">
        <v>692</v>
      </c>
      <c r="K14" s="3">
        <v>80166000</v>
      </c>
      <c r="L14" s="2" t="s">
        <v>49</v>
      </c>
      <c r="M14" s="15" t="s">
        <v>62</v>
      </c>
      <c r="N14" s="10">
        <v>45705</v>
      </c>
      <c r="O14" s="10">
        <v>45737</v>
      </c>
      <c r="P14" s="37">
        <f>IF(NETWORKDAYS(N14,O14,Feriados!$I$2:$I$22)-1&gt;=0,NETWORKDAYS(N14,O14,Feriados!$I$2:$I$22)-1,"NO APLICA")</f>
        <v>24</v>
      </c>
      <c r="Q14" s="10">
        <v>45812</v>
      </c>
      <c r="R14" s="9">
        <f t="shared" si="0"/>
        <v>45827</v>
      </c>
      <c r="S14" s="43">
        <v>45845</v>
      </c>
      <c r="T14" s="2">
        <v>15</v>
      </c>
      <c r="U14" s="9">
        <f>WORKDAY(Q14,T14,Feriados!$I$2:$I$22)</f>
        <v>45834</v>
      </c>
      <c r="V14" s="2">
        <f t="shared" si="1"/>
        <v>33</v>
      </c>
      <c r="W14" s="38">
        <f>IF(NETWORKDAYS(Q14,S14,Feriados!$I$2:$I$22)-1&gt;=0,NETWORKDAYS(Q14,S14,Feriados!$I$2:$I$22)-1,"NO APLICA")</f>
        <v>22</v>
      </c>
      <c r="X14" s="13">
        <f t="shared" ca="1" si="3"/>
        <v>-462</v>
      </c>
      <c r="Y14" s="3" t="s">
        <v>716</v>
      </c>
      <c r="Z14" s="48" t="s">
        <v>338</v>
      </c>
      <c r="AA14" s="85"/>
      <c r="AB14" s="88" t="s">
        <v>31</v>
      </c>
      <c r="AC14" s="3" t="s">
        <v>366</v>
      </c>
    </row>
    <row r="15" spans="1:29" s="60" customFormat="1" ht="28.5" hidden="1" x14ac:dyDescent="0.2">
      <c r="A15" s="105">
        <v>14</v>
      </c>
      <c r="B15" s="3">
        <v>31</v>
      </c>
      <c r="C15" s="36" t="str">
        <f>IF(ISERROR(VLOOKUP(I15,[1]DEP!$B$3:$E$583,1,FALSE)),"NO","SI")</f>
        <v>NO</v>
      </c>
      <c r="D15" s="2" t="str">
        <f>IF(ISERROR(VLOOKUP(I15,[2]FRG!$S$19:$U$288,1,FALSE)),"NO","SI")</f>
        <v>NO</v>
      </c>
      <c r="E15" s="2" t="str">
        <f>IF(ISERROR(VLOOKUP(I15,'[4]ARI 26 C33'!$C$1:$D$490,1,FALSE)),"NO","SI")</f>
        <v>NO</v>
      </c>
      <c r="F15" s="2" t="s">
        <v>42</v>
      </c>
      <c r="G15" s="2" t="s">
        <v>68</v>
      </c>
      <c r="H15" s="2" t="s">
        <v>21</v>
      </c>
      <c r="I15" s="7">
        <v>40070419</v>
      </c>
      <c r="J15" s="3" t="s">
        <v>742</v>
      </c>
      <c r="K15" s="3"/>
      <c r="L15" s="2" t="s">
        <v>49</v>
      </c>
      <c r="M15" s="15" t="s">
        <v>685</v>
      </c>
      <c r="N15" s="10">
        <v>45744</v>
      </c>
      <c r="O15" s="10">
        <v>45772</v>
      </c>
      <c r="P15" s="37">
        <f>IF(NETWORKDAYS(N15,O15,Feriados!$I$2:$I$22)-1&gt;=0,NETWORKDAYS(N15,O15,Feriados!$I$2:$I$22)-1,"NO APLICA")</f>
        <v>19</v>
      </c>
      <c r="Q15" s="10">
        <v>45971</v>
      </c>
      <c r="R15" s="9">
        <f t="shared" si="0"/>
        <v>45986</v>
      </c>
      <c r="S15" s="43">
        <v>45772</v>
      </c>
      <c r="T15" s="2">
        <v>15</v>
      </c>
      <c r="U15" s="9">
        <f>WORKDAY(Q15,T15,Feriados!$I$2:$I$22)</f>
        <v>45992</v>
      </c>
      <c r="V15" s="2">
        <f t="shared" si="1"/>
        <v>-199</v>
      </c>
      <c r="W15" s="38" t="str">
        <f>IF(NETWORKDAYS(Q15,S15,Feriados!$I$2:$I$22)-1&gt;=0,NETWORKDAYS(Q15,S15,Feriados!$I$2:$I$22)-1,"NO APLICA")</f>
        <v>NO APLICA</v>
      </c>
      <c r="X15" s="13">
        <f t="shared" ca="1" si="3"/>
        <v>-304</v>
      </c>
      <c r="Y15" s="3"/>
      <c r="Z15" s="2" t="s">
        <v>154</v>
      </c>
      <c r="AA15" s="85"/>
      <c r="AB15" s="88" t="s">
        <v>31</v>
      </c>
      <c r="AC15" s="3" t="s">
        <v>366</v>
      </c>
    </row>
    <row r="16" spans="1:29" ht="28.5" hidden="1" x14ac:dyDescent="0.2">
      <c r="A16" s="105">
        <v>15</v>
      </c>
      <c r="B16" s="2">
        <v>31</v>
      </c>
      <c r="C16" s="36" t="str">
        <f>IF(ISERROR(VLOOKUP(I16,[1]DEP!$B$3:$E$583,1,FALSE)),"NO","SI")</f>
        <v>NO</v>
      </c>
      <c r="D16" s="2" t="str">
        <f>IF(ISERROR(VLOOKUP(I16,[2]FRG!$S$19:$U$288,1,FALSE)),"NO","SI")</f>
        <v>SI</v>
      </c>
      <c r="E16" s="2" t="str">
        <f>IF(ISERROR(VLOOKUP(I16,'[4]ARI 26 C33'!$C$1:$D$490,1,FALSE)),"NO","SI")</f>
        <v>NO</v>
      </c>
      <c r="F16" s="2" t="s">
        <v>45</v>
      </c>
      <c r="G16" s="2" t="s">
        <v>60</v>
      </c>
      <c r="H16" s="2" t="s">
        <v>7</v>
      </c>
      <c r="I16" s="18">
        <v>40054955</v>
      </c>
      <c r="J16" s="3" t="s">
        <v>695</v>
      </c>
      <c r="K16" s="3">
        <v>800512000</v>
      </c>
      <c r="L16" s="2" t="s">
        <v>49</v>
      </c>
      <c r="M16" s="17" t="s">
        <v>685</v>
      </c>
      <c r="N16" s="10"/>
      <c r="O16" s="10"/>
      <c r="P16" s="37" t="str">
        <f>IF(NETWORKDAYS(N16,O16,Feriados!$I$2:$I$22)-1&gt;=0,NETWORKDAYS(N16,O16,Feriados!$I$2:$I$22)-1,"NO APLICA")</f>
        <v>NO APLICA</v>
      </c>
      <c r="Q16" s="10">
        <v>45728</v>
      </c>
      <c r="R16" s="9">
        <f t="shared" si="0"/>
        <v>45738</v>
      </c>
      <c r="S16" s="43"/>
      <c r="T16" s="2">
        <v>10</v>
      </c>
      <c r="U16" s="9">
        <f>WORKDAY(Q16,T16,Feriados!$I$2:$I$22)</f>
        <v>45742</v>
      </c>
      <c r="V16" s="2">
        <f t="shared" si="1"/>
        <v>-45728</v>
      </c>
      <c r="W16" s="38" t="str">
        <f>IF(NETWORKDAYS(Q16,S16,Feriados!$I$2:$I$22)-1&gt;=0,NETWORKDAYS(Q16,S16,Feriados!$I$2:$I$22)-1,"NO APLICA")</f>
        <v>NO APLICA</v>
      </c>
      <c r="X16" s="13">
        <f t="shared" ca="1" si="3"/>
        <v>-554</v>
      </c>
      <c r="Y16" s="2" t="s">
        <v>494</v>
      </c>
      <c r="Z16" s="2" t="s">
        <v>154</v>
      </c>
      <c r="AA16" s="3">
        <v>416</v>
      </c>
      <c r="AB16" s="88" t="s">
        <v>32</v>
      </c>
      <c r="AC16" s="2" t="s">
        <v>366</v>
      </c>
    </row>
    <row r="17" spans="1:30" ht="28.5" hidden="1" x14ac:dyDescent="0.2">
      <c r="A17" s="105">
        <v>16</v>
      </c>
      <c r="B17" s="2">
        <v>31</v>
      </c>
      <c r="C17" s="36" t="str">
        <f>IF(ISERROR(VLOOKUP(I17,[1]DEP!$B$3:$E$583,1,FALSE)),"NO","SI")</f>
        <v>NO</v>
      </c>
      <c r="D17" s="2" t="str">
        <f>IF(ISERROR(VLOOKUP(I17,[2]FRG!$S$19:$U$288,1,FALSE)),"NO","SI")</f>
        <v>NO</v>
      </c>
      <c r="E17" s="2" t="str">
        <f>IF(ISERROR(VLOOKUP(I17,'[4]ARI 26 C33'!$C$1:$D$490,1,FALSE)),"NO","SI")</f>
        <v>SI</v>
      </c>
      <c r="F17" s="2" t="s">
        <v>568</v>
      </c>
      <c r="G17" s="2" t="s">
        <v>56</v>
      </c>
      <c r="H17" s="2" t="s">
        <v>13</v>
      </c>
      <c r="I17" s="7">
        <v>40005528</v>
      </c>
      <c r="J17" s="3" t="s">
        <v>103</v>
      </c>
      <c r="K17" s="3">
        <v>700908000</v>
      </c>
      <c r="L17" s="2" t="s">
        <v>49</v>
      </c>
      <c r="M17" s="15" t="s">
        <v>62</v>
      </c>
      <c r="N17" s="10">
        <v>45726</v>
      </c>
      <c r="O17" s="10">
        <v>45811</v>
      </c>
      <c r="P17" s="37">
        <f>IF(NETWORKDAYS(N17,O17,Feriados!$I$2:$I$22)-1&gt;=0,NETWORKDAYS(N17,O17,Feriados!$I$2:$I$22)-1,"NO APLICA")</f>
        <v>58</v>
      </c>
      <c r="Q17" s="10">
        <v>45943</v>
      </c>
      <c r="R17" s="9">
        <f t="shared" si="0"/>
        <v>45958</v>
      </c>
      <c r="S17" s="43">
        <v>45960</v>
      </c>
      <c r="T17" s="2">
        <v>15</v>
      </c>
      <c r="U17" s="9">
        <f>WORKDAY(Q17,T17,Feriados!$I$2:$I$22)</f>
        <v>45965</v>
      </c>
      <c r="V17" s="2">
        <f t="shared" si="1"/>
        <v>17</v>
      </c>
      <c r="W17" s="38">
        <f>IF(NETWORKDAYS(Q17,S17,Feriados!$I$2:$I$22)-1&gt;=0,NETWORKDAYS(Q17,S17,Feriados!$I$2:$I$22)-1,"NO APLICA")</f>
        <v>13</v>
      </c>
      <c r="X17" s="13">
        <f t="shared" ref="X17:X38" ca="1" si="4">SUM(U17-TODAY())</f>
        <v>-331</v>
      </c>
      <c r="Y17" s="3" t="s">
        <v>774</v>
      </c>
      <c r="Z17" s="2" t="s">
        <v>314</v>
      </c>
      <c r="AA17" s="64"/>
      <c r="AB17" s="88" t="s">
        <v>31</v>
      </c>
      <c r="AC17" s="2" t="s">
        <v>694</v>
      </c>
    </row>
    <row r="18" spans="1:30" ht="28.5" hidden="1" x14ac:dyDescent="0.2">
      <c r="A18" s="105">
        <v>17</v>
      </c>
      <c r="B18" s="2">
        <v>31</v>
      </c>
      <c r="C18" s="36" t="str">
        <f>IF(ISERROR(VLOOKUP(I18,[1]DEP!$B$3:$E$583,1,FALSE)),"NO","SI")</f>
        <v>SI</v>
      </c>
      <c r="D18" s="2" t="str">
        <f>IF(ISERROR(VLOOKUP(I18,[2]FRG!$S$19:$U$288,1,FALSE)),"NO","SI")</f>
        <v>NO</v>
      </c>
      <c r="E18" s="2" t="str">
        <f>IF(ISERROR(VLOOKUP(I18,'[4]ARI 26 C33'!$C$1:$D$490,1,FALSE)),"NO","SI")</f>
        <v>SI</v>
      </c>
      <c r="F18" s="2" t="s">
        <v>568</v>
      </c>
      <c r="G18" s="2" t="s">
        <v>54</v>
      </c>
      <c r="H18" s="2" t="s">
        <v>407</v>
      </c>
      <c r="I18" s="7">
        <v>40013816</v>
      </c>
      <c r="J18" s="3" t="s">
        <v>180</v>
      </c>
      <c r="K18" s="3">
        <v>771811000</v>
      </c>
      <c r="L18" s="2" t="s">
        <v>49</v>
      </c>
      <c r="M18" s="15" t="s">
        <v>62</v>
      </c>
      <c r="N18" s="10">
        <v>45733</v>
      </c>
      <c r="O18" s="10">
        <v>45754</v>
      </c>
      <c r="P18" s="37">
        <f>IF(NETWORKDAYS(N18,O18,Feriados!$I$2:$I$22)-1&gt;=0,NETWORKDAYS(N18,O18,Feriados!$I$2:$I$22)-1,"NO APLICA")</f>
        <v>15</v>
      </c>
      <c r="Q18" s="10">
        <v>45959</v>
      </c>
      <c r="R18" s="9">
        <f t="shared" si="0"/>
        <v>45974</v>
      </c>
      <c r="S18" s="43">
        <v>45960</v>
      </c>
      <c r="T18" s="2">
        <v>15</v>
      </c>
      <c r="U18" s="9">
        <f>WORKDAY(Q18,T18,Feriados!$I$2:$I$22)</f>
        <v>45981</v>
      </c>
      <c r="V18" s="2">
        <f t="shared" si="1"/>
        <v>1</v>
      </c>
      <c r="W18" s="38">
        <f>IF(NETWORKDAYS(Q18,S18,Feriados!$I$2:$I$22)-1&gt;=0,NETWORKDAYS(Q18,S18,Feriados!$I$2:$I$22)-1,"NO APLICA")</f>
        <v>1</v>
      </c>
      <c r="X18" s="13">
        <f t="shared" ca="1" si="4"/>
        <v>-315</v>
      </c>
      <c r="Y18" s="2" t="s">
        <v>773</v>
      </c>
      <c r="Z18" s="2" t="s">
        <v>314</v>
      </c>
      <c r="AA18" s="64"/>
      <c r="AB18" s="88" t="s">
        <v>31</v>
      </c>
      <c r="AC18" s="2" t="s">
        <v>694</v>
      </c>
    </row>
    <row r="19" spans="1:30" ht="28.5" hidden="1" x14ac:dyDescent="0.2">
      <c r="A19" s="105">
        <v>18</v>
      </c>
      <c r="B19" s="2">
        <v>29</v>
      </c>
      <c r="C19" s="36" t="str">
        <f>IF(ISERROR(VLOOKUP(I19,[1]DEP!$B$3:$E$583,1,FALSE)),"NO","SI")</f>
        <v>NO</v>
      </c>
      <c r="D19" s="2" t="str">
        <f>IF(ISERROR(VLOOKUP(I19,[2]FRG!$S$19:$U$288,1,FALSE)),"NO","SI")</f>
        <v>NO</v>
      </c>
      <c r="E19" s="2" t="str">
        <f>IF(ISERROR(VLOOKUP(I19,'[4]ARI 26 C33'!$C$1:$D$490,1,FALSE)),"NO","SI")</f>
        <v>SI</v>
      </c>
      <c r="F19" s="3" t="s">
        <v>45</v>
      </c>
      <c r="G19" s="2" t="s">
        <v>46</v>
      </c>
      <c r="H19" s="2" t="s">
        <v>23</v>
      </c>
      <c r="I19" s="7">
        <v>40070410</v>
      </c>
      <c r="J19" s="49" t="s">
        <v>715</v>
      </c>
      <c r="K19" s="3">
        <v>589337430</v>
      </c>
      <c r="L19" s="2" t="s">
        <v>49</v>
      </c>
      <c r="M19" s="15" t="s">
        <v>62</v>
      </c>
      <c r="N19" s="10">
        <v>45748</v>
      </c>
      <c r="O19" s="10">
        <v>45789</v>
      </c>
      <c r="P19" s="37">
        <f>IF(NETWORKDAYS(N19,O19,Feriados!$I$2:$I$22)-1&gt;=0,NETWORKDAYS(N19,O19,Feriados!$I$2:$I$22)-1,"NO APLICA")</f>
        <v>27</v>
      </c>
      <c r="Q19" s="10">
        <v>45947</v>
      </c>
      <c r="R19" s="9">
        <f t="shared" si="0"/>
        <v>45962</v>
      </c>
      <c r="S19" s="43">
        <v>45915</v>
      </c>
      <c r="T19" s="2">
        <v>15</v>
      </c>
      <c r="U19" s="9">
        <f>WORKDAY(Q19,T19,Feriados!$I$2:$I$22)</f>
        <v>45971</v>
      </c>
      <c r="V19" s="2">
        <f t="shared" si="1"/>
        <v>-32</v>
      </c>
      <c r="W19" s="38" t="str">
        <f>IF(NETWORKDAYS(Q19,S19,Feriados!$I$2:$I$22)-1&gt;=0,NETWORKDAYS(Q19,S19,Feriados!$I$2:$I$22)-1,"NO APLICA")</f>
        <v>NO APLICA</v>
      </c>
      <c r="X19" s="13">
        <f t="shared" ca="1" si="4"/>
        <v>-325</v>
      </c>
      <c r="Y19" s="2"/>
      <c r="Z19" s="2" t="s">
        <v>157</v>
      </c>
      <c r="AA19" s="64"/>
      <c r="AB19" s="88" t="s">
        <v>31</v>
      </c>
      <c r="AC19" s="2" t="s">
        <v>542</v>
      </c>
    </row>
    <row r="20" spans="1:30" ht="28.5" hidden="1" x14ac:dyDescent="0.2">
      <c r="A20" s="105">
        <v>19</v>
      </c>
      <c r="B20" s="2">
        <v>31</v>
      </c>
      <c r="C20" s="36" t="str">
        <f>IF(ISERROR(VLOOKUP(I20,[1]DEP!$B$3:$E$583,1,FALSE)),"NO","SI")</f>
        <v>NO</v>
      </c>
      <c r="D20" s="2" t="str">
        <f>IF(ISERROR(VLOOKUP(I20,[2]FRG!$S$19:$U$288,1,FALSE)),"NO","SI")</f>
        <v>NO</v>
      </c>
      <c r="E20" s="2" t="str">
        <f>IF(ISERROR(VLOOKUP(I20,'[4]ARI 26 C33'!$C$1:$D$490,1,FALSE)),"NO","SI")</f>
        <v>SI</v>
      </c>
      <c r="F20" s="3" t="s">
        <v>45</v>
      </c>
      <c r="G20" s="2" t="s">
        <v>60</v>
      </c>
      <c r="H20" s="2" t="s">
        <v>7</v>
      </c>
      <c r="I20" s="7">
        <v>40067829</v>
      </c>
      <c r="J20" s="3" t="s">
        <v>790</v>
      </c>
      <c r="K20" s="3">
        <v>691498000</v>
      </c>
      <c r="L20" s="2" t="s">
        <v>49</v>
      </c>
      <c r="M20" s="15" t="s">
        <v>62</v>
      </c>
      <c r="N20" s="10">
        <v>45748</v>
      </c>
      <c r="O20" s="10">
        <v>45776</v>
      </c>
      <c r="P20" s="37">
        <f>IF(NETWORKDAYS(N20,O20,Feriados!$I$2:$I$22)-1&gt;=0,NETWORKDAYS(N20,O20,Feriados!$I$2:$I$22)-1,"NO APLICA")</f>
        <v>19</v>
      </c>
      <c r="Q20" s="10">
        <v>45974</v>
      </c>
      <c r="R20" s="9">
        <f t="shared" si="0"/>
        <v>45989</v>
      </c>
      <c r="S20" s="43">
        <v>46006</v>
      </c>
      <c r="T20" s="2">
        <v>15</v>
      </c>
      <c r="U20" s="9">
        <f>WORKDAY(Q20,T20,Feriados!$I$2:$I$22)</f>
        <v>45995</v>
      </c>
      <c r="V20" s="2">
        <f t="shared" si="1"/>
        <v>32</v>
      </c>
      <c r="W20" s="38">
        <f>IF(NETWORKDAYS(Q20,S20,Feriados!$I$2:$I$22)-1&gt;=0,NETWORKDAYS(Q20,S20,Feriados!$I$2:$I$22)-1,"NO APLICA")</f>
        <v>21</v>
      </c>
      <c r="X20" s="13">
        <f t="shared" ca="1" si="4"/>
        <v>-301</v>
      </c>
      <c r="Y20" s="2" t="s">
        <v>828</v>
      </c>
      <c r="Z20" s="2" t="s">
        <v>154</v>
      </c>
      <c r="AA20" s="64"/>
      <c r="AB20" s="88" t="s">
        <v>31</v>
      </c>
      <c r="AC20" s="2" t="s">
        <v>366</v>
      </c>
    </row>
    <row r="21" spans="1:30" ht="28.5" hidden="1" x14ac:dyDescent="0.2">
      <c r="A21" s="105">
        <v>20</v>
      </c>
      <c r="B21" s="2">
        <v>29</v>
      </c>
      <c r="C21" s="36" t="str">
        <f>IF(ISERROR(VLOOKUP(I21,[1]DEP!$B$3:$E$583,1,FALSE)),"NO","SI")</f>
        <v>NO</v>
      </c>
      <c r="D21" s="2" t="str">
        <f>IF(ISERROR(VLOOKUP(I21,[2]FRG!$S$19:$U$288,1,FALSE)),"NO","SI")</f>
        <v>SI</v>
      </c>
      <c r="E21" s="2" t="str">
        <f>IF(ISERROR(VLOOKUP(I21,'[4]ARI 26 C33'!$C$1:$D$490,1,FALSE)),"NO","SI")</f>
        <v>NO</v>
      </c>
      <c r="F21" s="2" t="s">
        <v>175</v>
      </c>
      <c r="G21" s="2" t="s">
        <v>44</v>
      </c>
      <c r="H21" s="2" t="s">
        <v>84</v>
      </c>
      <c r="I21" s="7">
        <v>40044996</v>
      </c>
      <c r="J21" s="3" t="s">
        <v>388</v>
      </c>
      <c r="K21" s="3">
        <v>1376422000</v>
      </c>
      <c r="L21" s="2" t="s">
        <v>49</v>
      </c>
      <c r="M21" s="17" t="s">
        <v>62</v>
      </c>
      <c r="N21" s="10"/>
      <c r="O21" s="10"/>
      <c r="P21" s="37" t="str">
        <f>IF(NETWORKDAYS(N21,O21,Feriados!$I$2:$I$22)-1&gt;=0,NETWORKDAYS(N21,O21,Feriados!$I$2:$I$22)-1,"NO APLICA")</f>
        <v>NO APLICA</v>
      </c>
      <c r="Q21" s="10">
        <v>45922</v>
      </c>
      <c r="R21" s="9">
        <f t="shared" si="0"/>
        <v>45932</v>
      </c>
      <c r="S21" s="43">
        <v>45933</v>
      </c>
      <c r="T21" s="2">
        <v>10</v>
      </c>
      <c r="U21" s="9">
        <f>WORKDAY(Q21,T21,Feriados!$I$2:$I$22)</f>
        <v>45936</v>
      </c>
      <c r="V21" s="2">
        <f t="shared" si="1"/>
        <v>11</v>
      </c>
      <c r="W21" s="38">
        <f>IF(NETWORKDAYS(Q21,S21,Feriados!$I$2:$I$22)-1&gt;=0,NETWORKDAYS(Q21,S21,Feriados!$I$2:$I$22)-1,"NO APLICA")</f>
        <v>9</v>
      </c>
      <c r="X21" s="13">
        <f t="shared" ca="1" si="4"/>
        <v>-360</v>
      </c>
      <c r="Y21" s="2" t="s">
        <v>380</v>
      </c>
      <c r="Z21" s="2" t="s">
        <v>157</v>
      </c>
      <c r="AA21" s="3">
        <v>234122</v>
      </c>
      <c r="AB21" s="87" t="s">
        <v>32</v>
      </c>
      <c r="AC21" s="3" t="s">
        <v>366</v>
      </c>
    </row>
    <row r="22" spans="1:30" ht="28.5" hidden="1" x14ac:dyDescent="0.2">
      <c r="A22" s="105">
        <v>21</v>
      </c>
      <c r="B22" s="2">
        <v>29</v>
      </c>
      <c r="C22" s="36" t="str">
        <f>IF(ISERROR(VLOOKUP(I22,[1]DEP!$B$3:$E$583,1,FALSE)),"NO","SI")</f>
        <v>NO</v>
      </c>
      <c r="D22" s="2" t="str">
        <f>IF(ISERROR(VLOOKUP(I22,[2]FRG!$S$19:$U$288,1,FALSE)),"NO","SI")</f>
        <v>NO</v>
      </c>
      <c r="E22" s="2" t="str">
        <f>IF(ISERROR(VLOOKUP(I22,'[4]ARI 26 C33'!$C$1:$D$490,1,FALSE)),"NO","SI")</f>
        <v>NO</v>
      </c>
      <c r="F22" s="3"/>
      <c r="G22" s="2"/>
      <c r="H22" s="2" t="s">
        <v>696</v>
      </c>
      <c r="I22" s="7">
        <v>40072933</v>
      </c>
      <c r="J22" s="3" t="s">
        <v>702</v>
      </c>
      <c r="K22" s="3"/>
      <c r="L22" s="2" t="s">
        <v>49</v>
      </c>
      <c r="M22" s="15" t="s">
        <v>685</v>
      </c>
      <c r="N22" s="10">
        <v>45747</v>
      </c>
      <c r="O22" s="10">
        <v>45770</v>
      </c>
      <c r="P22" s="37">
        <f>IF(NETWORKDAYS(N22,O22,Feriados!$I$2:$I$22)-1&gt;=0,NETWORKDAYS(N22,O22,Feriados!$I$2:$I$22)-1,"NO APLICA")</f>
        <v>16</v>
      </c>
      <c r="Q22" s="10">
        <v>45957</v>
      </c>
      <c r="R22" s="9">
        <f t="shared" si="0"/>
        <v>45972</v>
      </c>
      <c r="S22" s="43">
        <v>45978</v>
      </c>
      <c r="T22" s="2">
        <v>15</v>
      </c>
      <c r="U22" s="9">
        <f>WORKDAY(Q22,T22,Feriados!$I$2:$I$22)</f>
        <v>45979</v>
      </c>
      <c r="V22" s="2">
        <f t="shared" si="1"/>
        <v>21</v>
      </c>
      <c r="W22" s="38">
        <f>IF(NETWORKDAYS(Q22,S22,Feriados!$I$2:$I$22)-1&gt;=0,NETWORKDAYS(Q22,S22,Feriados!$I$2:$I$22)-1,"NO APLICA")</f>
        <v>14</v>
      </c>
      <c r="X22" s="13">
        <f t="shared" ca="1" si="4"/>
        <v>-317</v>
      </c>
      <c r="Y22" s="2"/>
      <c r="Z22" s="2" t="s">
        <v>697</v>
      </c>
      <c r="AA22" s="64"/>
      <c r="AB22" s="88" t="s">
        <v>31</v>
      </c>
      <c r="AC22" s="2" t="s">
        <v>786</v>
      </c>
    </row>
    <row r="23" spans="1:30" ht="28.5" hidden="1" x14ac:dyDescent="0.2">
      <c r="A23" s="105">
        <v>22</v>
      </c>
      <c r="B23" s="2">
        <v>29</v>
      </c>
      <c r="C23" s="36" t="str">
        <f>IF(ISERROR(VLOOKUP(I23,[1]DEP!$B$3:$E$583,1,FALSE)),"NO","SI")</f>
        <v>NO</v>
      </c>
      <c r="D23" s="2" t="str">
        <f>IF(ISERROR(VLOOKUP(I23,[2]FRG!$S$19:$U$288,1,FALSE)),"NO","SI")</f>
        <v>SI</v>
      </c>
      <c r="E23" s="2" t="str">
        <f>IF(ISERROR(VLOOKUP(I23,'[4]ARI 26 C33'!$C$1:$D$490,1,FALSE)),"NO","SI")</f>
        <v>NO</v>
      </c>
      <c r="F23" s="2" t="s">
        <v>568</v>
      </c>
      <c r="G23" s="2" t="s">
        <v>50</v>
      </c>
      <c r="H23" s="2" t="s">
        <v>9</v>
      </c>
      <c r="I23" s="7">
        <v>40041565</v>
      </c>
      <c r="J23" s="3" t="s">
        <v>300</v>
      </c>
      <c r="K23" s="3">
        <v>311458000</v>
      </c>
      <c r="L23" s="2" t="s">
        <v>49</v>
      </c>
      <c r="M23" s="17" t="s">
        <v>62</v>
      </c>
      <c r="N23" s="10"/>
      <c r="O23" s="10"/>
      <c r="P23" s="37" t="str">
        <f>IF(NETWORKDAYS(N23,O23,Feriados!$I$2:$I$22)-1&gt;=0,NETWORKDAYS(N23,O23,Feriados!$I$2:$I$22)-1,"NO APLICA")</f>
        <v>NO APLICA</v>
      </c>
      <c r="Q23" s="10">
        <v>45769</v>
      </c>
      <c r="R23" s="9">
        <f t="shared" si="0"/>
        <v>45779</v>
      </c>
      <c r="S23" s="43">
        <v>45666</v>
      </c>
      <c r="T23" s="2">
        <v>10</v>
      </c>
      <c r="U23" s="9">
        <f>WORKDAY(Q23,T23,Feriados!$I$2:$I$22)</f>
        <v>45784</v>
      </c>
      <c r="V23" s="2">
        <f t="shared" si="1"/>
        <v>-103</v>
      </c>
      <c r="W23" s="38" t="str">
        <f>IF(NETWORKDAYS(Q23,S23,Feriados!$I$2:$I$22)-1&gt;=0,NETWORKDAYS(Q23,S23,Feriados!$I$2:$I$22)-1,"NO APLICA")</f>
        <v>NO APLICA</v>
      </c>
      <c r="X23" s="13">
        <f t="shared" ca="1" si="4"/>
        <v>-512</v>
      </c>
      <c r="Y23" s="3" t="s">
        <v>506</v>
      </c>
      <c r="Z23" s="2" t="s">
        <v>157</v>
      </c>
      <c r="AA23" s="65">
        <v>11687</v>
      </c>
      <c r="AB23" s="88" t="s">
        <v>32</v>
      </c>
      <c r="AC23" s="2" t="s">
        <v>366</v>
      </c>
    </row>
    <row r="24" spans="1:30" ht="28.5" hidden="1" x14ac:dyDescent="0.2">
      <c r="A24" s="105">
        <v>23</v>
      </c>
      <c r="B24" s="2">
        <v>29</v>
      </c>
      <c r="C24" s="36" t="str">
        <f>IF(ISERROR(VLOOKUP(I24,[1]DEP!$B$3:$E$583,1,FALSE)),"NO","SI")</f>
        <v>NO</v>
      </c>
      <c r="D24" s="2" t="str">
        <f>IF(ISERROR(VLOOKUP(I24,[2]FRG!$S$19:$U$288,1,FALSE)),"NO","SI")</f>
        <v>NO</v>
      </c>
      <c r="E24" s="2" t="str">
        <f>IF(ISERROR(VLOOKUP(I24,'[4]ARI 26 C33'!$C$1:$D$490,1,FALSE)),"NO","SI")</f>
        <v>NO</v>
      </c>
      <c r="F24" s="2"/>
      <c r="G24" s="2"/>
      <c r="H24" s="3" t="s">
        <v>91</v>
      </c>
      <c r="I24" s="7">
        <v>40067537</v>
      </c>
      <c r="J24" s="3" t="s">
        <v>653</v>
      </c>
      <c r="K24" s="3">
        <v>167421000</v>
      </c>
      <c r="L24" s="2" t="s">
        <v>49</v>
      </c>
      <c r="M24" s="15" t="s">
        <v>62</v>
      </c>
      <c r="N24" s="10">
        <v>45756</v>
      </c>
      <c r="O24" s="10">
        <v>45776</v>
      </c>
      <c r="P24" s="37">
        <f>IF(NETWORKDAYS(N24,O24,Feriados!$I$2:$I$22)-1&gt;=0,NETWORKDAYS(N24,O24,Feriados!$I$2:$I$22)-1,"NO APLICA")</f>
        <v>13</v>
      </c>
      <c r="Q24" s="10">
        <v>45902</v>
      </c>
      <c r="R24" s="9">
        <f t="shared" si="0"/>
        <v>45917</v>
      </c>
      <c r="S24" s="43">
        <v>45776</v>
      </c>
      <c r="T24" s="2">
        <v>15</v>
      </c>
      <c r="U24" s="9">
        <f>WORKDAY(Q24,T24,Feriados!$I$2:$I$22)</f>
        <v>45925</v>
      </c>
      <c r="V24" s="2">
        <f t="shared" si="1"/>
        <v>-126</v>
      </c>
      <c r="W24" s="38" t="str">
        <f>IF(NETWORKDAYS(Q24,S24,Feriados!$I$2:$I$22)-1&gt;=0,NETWORKDAYS(Q24,S24,Feriados!$I$2:$I$22)-1,"NO APLICA")</f>
        <v>NO APLICA</v>
      </c>
      <c r="X24" s="13">
        <f t="shared" ca="1" si="4"/>
        <v>-371</v>
      </c>
      <c r="Y24" s="2" t="s">
        <v>758</v>
      </c>
      <c r="Z24" s="12"/>
      <c r="AA24" s="64"/>
      <c r="AB24" s="88" t="s">
        <v>31</v>
      </c>
      <c r="AC24" s="2" t="s">
        <v>786</v>
      </c>
    </row>
    <row r="25" spans="1:30" s="60" customFormat="1" ht="28.5" hidden="1" x14ac:dyDescent="0.2">
      <c r="A25" s="105">
        <v>24</v>
      </c>
      <c r="B25" s="3">
        <v>29</v>
      </c>
      <c r="C25" s="36" t="str">
        <f>IF(ISERROR(VLOOKUP(I25,[1]DEP!$B$3:$E$583,1,FALSE)),"NO","SI")</f>
        <v>SI</v>
      </c>
      <c r="D25" s="2" t="str">
        <f>IF(ISERROR(VLOOKUP(I25,[2]FRG!$S$19:$U$288,1,FALSE)),"NO","SI")</f>
        <v>NO</v>
      </c>
      <c r="E25" s="2" t="str">
        <f>IF(ISERROR(VLOOKUP(I25,'[4]ARI 26 C33'!$C$1:$D$490,1,FALSE)),"NO","SI")</f>
        <v>SI</v>
      </c>
      <c r="F25" s="3" t="s">
        <v>568</v>
      </c>
      <c r="G25" s="3" t="s">
        <v>53</v>
      </c>
      <c r="H25" s="3" t="s">
        <v>399</v>
      </c>
      <c r="I25" s="7">
        <v>40043207</v>
      </c>
      <c r="J25" s="3" t="s">
        <v>699</v>
      </c>
      <c r="K25" s="3">
        <v>697950000</v>
      </c>
      <c r="L25" s="2" t="s">
        <v>49</v>
      </c>
      <c r="M25" s="15" t="s">
        <v>62</v>
      </c>
      <c r="N25" s="10">
        <v>45776</v>
      </c>
      <c r="O25" s="10">
        <v>45791</v>
      </c>
      <c r="P25" s="37">
        <f>IF(NETWORKDAYS(N25,O25,Feriados!$I$2:$I$22)-1&gt;=0,NETWORKDAYS(N25,O25,Feriados!$I$2:$I$22)-1,"NO APLICA")</f>
        <v>10</v>
      </c>
      <c r="Q25" s="10">
        <v>45945</v>
      </c>
      <c r="R25" s="9">
        <f t="shared" si="0"/>
        <v>45960</v>
      </c>
      <c r="S25" s="43">
        <v>45966</v>
      </c>
      <c r="T25" s="2">
        <v>15</v>
      </c>
      <c r="U25" s="9">
        <f>WORKDAY(Q25,T25,Feriados!$I$2:$I$22)</f>
        <v>45967</v>
      </c>
      <c r="V25" s="2">
        <f t="shared" si="1"/>
        <v>21</v>
      </c>
      <c r="W25" s="38">
        <f>IF(NETWORKDAYS(Q25,S25,Feriados!$I$2:$I$22)-1&gt;=0,NETWORKDAYS(Q25,S25,Feriados!$I$2:$I$22)-1,"NO APLICA")</f>
        <v>14</v>
      </c>
      <c r="X25" s="13">
        <f t="shared" ca="1" si="4"/>
        <v>-329</v>
      </c>
      <c r="Y25" s="2" t="s">
        <v>789</v>
      </c>
      <c r="Z25" s="2" t="s">
        <v>157</v>
      </c>
      <c r="AA25" s="85"/>
      <c r="AB25" s="88" t="s">
        <v>31</v>
      </c>
      <c r="AC25" s="3" t="s">
        <v>366</v>
      </c>
    </row>
    <row r="26" spans="1:30" ht="28.5" x14ac:dyDescent="0.2">
      <c r="A26" s="105">
        <v>25</v>
      </c>
      <c r="B26" s="2">
        <v>29</v>
      </c>
      <c r="C26" s="36" t="str">
        <f>IF(ISERROR(VLOOKUP(I26,[1]DEP!$B$3:$E$583,1,FALSE)),"NO","SI")</f>
        <v>SI</v>
      </c>
      <c r="D26" s="2" t="str">
        <f>IF(ISERROR(VLOOKUP(I26,[2]FRG!$S$19:$U$288,1,FALSE)),"NO","SI")</f>
        <v>SI</v>
      </c>
      <c r="E26" s="2" t="str">
        <f>IF(ISERROR(VLOOKUP(I26,'[4]ARI 26 C33'!$C$1:$D$490,1,FALSE)),"NO","SI")</f>
        <v>NO</v>
      </c>
      <c r="F26" s="2" t="s">
        <v>45</v>
      </c>
      <c r="G26" s="2" t="s">
        <v>60</v>
      </c>
      <c r="H26" s="2" t="s">
        <v>7</v>
      </c>
      <c r="I26" s="7">
        <v>40036932</v>
      </c>
      <c r="J26" s="3" t="s">
        <v>339</v>
      </c>
      <c r="K26" s="3">
        <v>153873000</v>
      </c>
      <c r="L26" s="2" t="s">
        <v>49</v>
      </c>
      <c r="M26" s="17" t="s">
        <v>62</v>
      </c>
      <c r="N26" s="10"/>
      <c r="O26" s="10"/>
      <c r="P26" s="37" t="str">
        <f>IF(NETWORKDAYS(N26,O26,Feriados!$I$2:$I$22)-1&gt;=0,NETWORKDAYS(N26,O26,Feriados!$I$2:$I$22)-1,"NO APLICA")</f>
        <v>NO APLICA</v>
      </c>
      <c r="Q26" s="10">
        <v>45772</v>
      </c>
      <c r="R26" s="9">
        <f t="shared" si="0"/>
        <v>45782</v>
      </c>
      <c r="S26" s="43">
        <v>45784</v>
      </c>
      <c r="T26" s="2">
        <v>10</v>
      </c>
      <c r="U26" s="9">
        <f>WORKDAY(Q26,T26,Feriados!$I$2:$I$22)</f>
        <v>45789</v>
      </c>
      <c r="V26" s="2">
        <f t="shared" si="1"/>
        <v>12</v>
      </c>
      <c r="W26" s="38">
        <f>IF(NETWORKDAYS(Q26,S26,Feriados!$I$2:$I$22)-1&gt;=0,NETWORKDAYS(Q26,S26,Feriados!$I$2:$I$22)-1,"NO APLICA")</f>
        <v>7</v>
      </c>
      <c r="X26" s="13">
        <f t="shared" ca="1" si="4"/>
        <v>-507</v>
      </c>
      <c r="Y26" s="2" t="s">
        <v>606</v>
      </c>
      <c r="Z26" s="2" t="s">
        <v>164</v>
      </c>
      <c r="AA26" s="57"/>
      <c r="AB26" s="87" t="s">
        <v>32</v>
      </c>
      <c r="AC26" s="3" t="s">
        <v>757</v>
      </c>
    </row>
    <row r="27" spans="1:30" s="60" customFormat="1" ht="28.5" x14ac:dyDescent="0.2">
      <c r="A27" s="105">
        <v>26</v>
      </c>
      <c r="B27" s="3">
        <v>29</v>
      </c>
      <c r="C27" s="36" t="str">
        <f>IF(ISERROR(VLOOKUP(I27,[1]DEP!$B$3:$E$583,1,FALSE)),"NO","SI")</f>
        <v>NO</v>
      </c>
      <c r="D27" s="2" t="str">
        <f>IF(ISERROR(VLOOKUP(I27,[2]FRG!$S$19:$U$288,1,FALSE)),"NO","SI")</f>
        <v>NO</v>
      </c>
      <c r="E27" s="2" t="str">
        <f>IF(ISERROR(VLOOKUP(I27,'[4]ARI 26 C33'!$C$1:$D$490,1,FALSE)),"NO","SI")</f>
        <v>NO</v>
      </c>
      <c r="F27" s="3" t="s">
        <v>45</v>
      </c>
      <c r="G27" s="3" t="s">
        <v>46</v>
      </c>
      <c r="H27" s="3" t="s">
        <v>78</v>
      </c>
      <c r="I27" s="7">
        <v>40056836</v>
      </c>
      <c r="J27" s="3" t="s">
        <v>700</v>
      </c>
      <c r="K27" s="3">
        <v>620526000</v>
      </c>
      <c r="L27" s="2" t="s">
        <v>49</v>
      </c>
      <c r="M27" s="15" t="s">
        <v>62</v>
      </c>
      <c r="N27" s="10">
        <v>45792</v>
      </c>
      <c r="O27" s="10">
        <v>45813</v>
      </c>
      <c r="P27" s="37">
        <f>IF(NETWORKDAYS(N27,O27,Feriados!$I$2:$I$22)-1&gt;=0,NETWORKDAYS(N27,O27,Feriados!$I$2:$I$22)-1,"NO APLICA")</f>
        <v>14</v>
      </c>
      <c r="Q27" s="10">
        <v>45922</v>
      </c>
      <c r="R27" s="9">
        <f t="shared" si="0"/>
        <v>45937</v>
      </c>
      <c r="S27" s="43">
        <v>45944</v>
      </c>
      <c r="T27" s="2">
        <v>15</v>
      </c>
      <c r="U27" s="9">
        <f>WORKDAY(Q27,T27,Feriados!$I$2:$I$22)</f>
        <v>45943</v>
      </c>
      <c r="V27" s="2">
        <f t="shared" si="1"/>
        <v>22</v>
      </c>
      <c r="W27" s="38">
        <f>IF(NETWORKDAYS(Q27,S27,Feriados!$I$2:$I$22)-1&gt;=0,NETWORKDAYS(Q27,S27,Feriados!$I$2:$I$22)-1,"NO APLICA")</f>
        <v>16</v>
      </c>
      <c r="X27" s="13">
        <f t="shared" ca="1" si="4"/>
        <v>-353</v>
      </c>
      <c r="Y27" s="2" t="s">
        <v>776</v>
      </c>
      <c r="Z27" s="2" t="s">
        <v>172</v>
      </c>
      <c r="AA27" s="85"/>
      <c r="AB27" s="88" t="s">
        <v>31</v>
      </c>
      <c r="AC27" s="3" t="s">
        <v>757</v>
      </c>
    </row>
    <row r="28" spans="1:30" s="60" customFormat="1" ht="28.5" hidden="1" x14ac:dyDescent="0.2">
      <c r="A28" s="105">
        <v>27</v>
      </c>
      <c r="B28" s="3">
        <v>29</v>
      </c>
      <c r="C28" s="36" t="str">
        <f>IF(ISERROR(VLOOKUP(I28,[1]DEP!$B$3:$E$583,1,FALSE)),"NO","SI")</f>
        <v>NO</v>
      </c>
      <c r="D28" s="2" t="str">
        <f>IF(ISERROR(VLOOKUP(I28,[2]FRG!$S$19:$U$288,1,FALSE)),"NO","SI")</f>
        <v>NO</v>
      </c>
      <c r="E28" s="2" t="str">
        <f>IF(ISERROR(VLOOKUP(I28,'[4]ARI 26 C33'!$C$1:$D$490,1,FALSE)),"NO","SI")</f>
        <v>NO</v>
      </c>
      <c r="F28" s="3" t="s">
        <v>179</v>
      </c>
      <c r="G28" s="3" t="s">
        <v>179</v>
      </c>
      <c r="H28" s="3" t="s">
        <v>701</v>
      </c>
      <c r="I28" s="7">
        <v>40072938</v>
      </c>
      <c r="J28" s="3" t="s">
        <v>806</v>
      </c>
      <c r="K28" s="3">
        <v>146321000</v>
      </c>
      <c r="L28" s="2" t="s">
        <v>49</v>
      </c>
      <c r="M28" s="15" t="s">
        <v>62</v>
      </c>
      <c r="N28" s="10">
        <v>45792</v>
      </c>
      <c r="O28" s="10">
        <v>45796</v>
      </c>
      <c r="P28" s="37">
        <f>IF(NETWORKDAYS(N28,O28,Feriados!$I$2:$I$22)-1&gt;=0,NETWORKDAYS(N28,O28,Feriados!$I$2:$I$22)-1,"NO APLICA")</f>
        <v>2</v>
      </c>
      <c r="Q28" s="10">
        <v>45986</v>
      </c>
      <c r="R28" s="9">
        <f t="shared" si="0"/>
        <v>46001</v>
      </c>
      <c r="S28" s="43">
        <v>45993</v>
      </c>
      <c r="T28" s="2">
        <v>15</v>
      </c>
      <c r="U28" s="9">
        <f>WORKDAY(Q28,T28,Feriados!$I$2:$I$22)</f>
        <v>46008</v>
      </c>
      <c r="V28" s="2">
        <f t="shared" si="1"/>
        <v>7</v>
      </c>
      <c r="W28" s="38">
        <f>IF(NETWORKDAYS(Q28,S28,Feriados!$I$2:$I$22)-1&gt;=0,NETWORKDAYS(Q28,S28,Feriados!$I$2:$I$22)-1,"NO APLICA")</f>
        <v>5</v>
      </c>
      <c r="X28" s="13">
        <f t="shared" ca="1" si="4"/>
        <v>-288</v>
      </c>
      <c r="Y28" s="2" t="s">
        <v>811</v>
      </c>
      <c r="Z28" s="2"/>
      <c r="AA28" s="85"/>
      <c r="AB28" s="88" t="s">
        <v>31</v>
      </c>
      <c r="AC28" s="3" t="s">
        <v>366</v>
      </c>
    </row>
    <row r="29" spans="1:30" ht="28.5" hidden="1" x14ac:dyDescent="0.2">
      <c r="A29" s="105">
        <v>28</v>
      </c>
      <c r="B29" s="2">
        <v>31</v>
      </c>
      <c r="C29" s="36" t="str">
        <f>IF(ISERROR(VLOOKUP(I29,[1]DEP!$B$3:$E$583,1,FALSE)),"NO","SI")</f>
        <v>NO</v>
      </c>
      <c r="D29" s="2" t="str">
        <f>IF(ISERROR(VLOOKUP(I29,[2]FRG!$S$19:$U$288,1,FALSE)),"NO","SI")</f>
        <v>SI</v>
      </c>
      <c r="E29" s="2" t="str">
        <f>IF(ISERROR(VLOOKUP(I29,'[4]ARI 26 C33'!$C$1:$D$490,1,FALSE)),"NO","SI")</f>
        <v>SI</v>
      </c>
      <c r="F29" s="2" t="s">
        <v>45</v>
      </c>
      <c r="G29" s="2" t="s">
        <v>51</v>
      </c>
      <c r="H29" s="2" t="s">
        <v>11</v>
      </c>
      <c r="I29" s="7">
        <v>40064760</v>
      </c>
      <c r="J29" s="3" t="s">
        <v>658</v>
      </c>
      <c r="K29" s="3">
        <v>1795966000</v>
      </c>
      <c r="L29" s="2" t="s">
        <v>49</v>
      </c>
      <c r="M29" s="15" t="s">
        <v>62</v>
      </c>
      <c r="N29" s="10">
        <v>45793</v>
      </c>
      <c r="O29" s="10">
        <v>45791</v>
      </c>
      <c r="P29" s="37" t="str">
        <f>IF(NETWORKDAYS(N29,O29,Feriados!$I$2:$I$22)-1&gt;=0,NETWORKDAYS(N29,O29,Feriados!$I$2:$I$22)-1,"NO APLICA")</f>
        <v>NO APLICA</v>
      </c>
      <c r="Q29" s="10">
        <v>45910</v>
      </c>
      <c r="R29" s="9">
        <f t="shared" si="0"/>
        <v>45925</v>
      </c>
      <c r="S29" s="43">
        <v>45923</v>
      </c>
      <c r="T29" s="2">
        <v>15</v>
      </c>
      <c r="U29" s="9">
        <f>WORKDAY(Q29,T29,Feriados!$I$2:$I$22)</f>
        <v>45933</v>
      </c>
      <c r="V29" s="2">
        <f t="shared" si="1"/>
        <v>13</v>
      </c>
      <c r="W29" s="38">
        <f>IF(NETWORKDAYS(Q29,S29,Feriados!$I$2:$I$22)-1&gt;=0,NETWORKDAYS(Q29,S29,Feriados!$I$2:$I$22)-1,"NO APLICA")</f>
        <v>7</v>
      </c>
      <c r="X29" s="13">
        <f t="shared" ca="1" si="4"/>
        <v>-363</v>
      </c>
      <c r="Y29" s="2" t="s">
        <v>756</v>
      </c>
      <c r="Z29" s="2" t="s">
        <v>314</v>
      </c>
      <c r="AA29" s="64"/>
      <c r="AB29" s="88" t="s">
        <v>31</v>
      </c>
      <c r="AC29" s="2" t="s">
        <v>694</v>
      </c>
    </row>
    <row r="30" spans="1:30" ht="28.5" hidden="1" x14ac:dyDescent="0.2">
      <c r="A30" s="105">
        <v>29</v>
      </c>
      <c r="B30" s="2">
        <v>31</v>
      </c>
      <c r="C30" s="36" t="str">
        <f>IF(ISERROR(VLOOKUP(I30,[1]DEP!$B$3:$E$583,1,FALSE)),"NO","SI")</f>
        <v>NO</v>
      </c>
      <c r="D30" s="2" t="str">
        <f>IF(ISERROR(VLOOKUP(I30,[2]FRG!$S$19:$U$288,1,FALSE)),"NO","SI")</f>
        <v>SI</v>
      </c>
      <c r="E30" s="2" t="str">
        <f>IF(ISERROR(VLOOKUP(I30,'[4]ARI 26 C33'!$C$1:$D$490,1,FALSE)),"NO","SI")</f>
        <v>SI</v>
      </c>
      <c r="F30" s="2" t="s">
        <v>45</v>
      </c>
      <c r="G30" s="2" t="s">
        <v>51</v>
      </c>
      <c r="H30" s="2" t="s">
        <v>11</v>
      </c>
      <c r="I30" s="7">
        <v>40056949</v>
      </c>
      <c r="J30" s="3" t="s">
        <v>439</v>
      </c>
      <c r="K30" s="3">
        <v>1822558000</v>
      </c>
      <c r="L30" s="2" t="s">
        <v>49</v>
      </c>
      <c r="M30" s="17" t="s">
        <v>62</v>
      </c>
      <c r="N30" s="10"/>
      <c r="O30" s="10"/>
      <c r="P30" s="37" t="str">
        <f>IF(NETWORKDAYS(N30,O30,Feriados!$I$2:$I$22)-1&gt;=0,NETWORKDAYS(N30,O30,Feriados!$I$2:$I$22)-1,"NO APLICA")</f>
        <v>NO APLICA</v>
      </c>
      <c r="Q30" s="10">
        <v>45867</v>
      </c>
      <c r="R30" s="9">
        <f t="shared" si="0"/>
        <v>45877</v>
      </c>
      <c r="S30" s="43">
        <v>45810</v>
      </c>
      <c r="T30" s="2">
        <v>10</v>
      </c>
      <c r="U30" s="9">
        <f>WORKDAY(Q30,T30,Feriados!$I$2:$I$22)</f>
        <v>45881</v>
      </c>
      <c r="V30" s="2">
        <f t="shared" si="1"/>
        <v>-57</v>
      </c>
      <c r="W30" s="38" t="str">
        <f>IF(NETWORKDAYS(Q30,S30,Feriados!$I$2:$I$22)-1&gt;=0,NETWORKDAYS(Q30,S30,Feriados!$I$2:$I$22)-1,"NO APLICA")</f>
        <v>NO APLICA</v>
      </c>
      <c r="X30" s="13">
        <f t="shared" ca="1" si="4"/>
        <v>-415</v>
      </c>
      <c r="Y30" s="2" t="s">
        <v>534</v>
      </c>
      <c r="Z30" s="2" t="s">
        <v>155</v>
      </c>
      <c r="AA30" s="3">
        <v>130270</v>
      </c>
      <c r="AB30" s="89" t="s">
        <v>32</v>
      </c>
      <c r="AC30" s="2" t="s">
        <v>366</v>
      </c>
    </row>
    <row r="31" spans="1:30" ht="28.5" hidden="1" x14ac:dyDescent="0.2">
      <c r="A31" s="105">
        <v>30</v>
      </c>
      <c r="B31" s="2">
        <v>29</v>
      </c>
      <c r="C31" s="36" t="str">
        <f>IF(ISERROR(VLOOKUP(I31,[1]DEP!$B$3:$E$583,1,FALSE)),"NO","SI")</f>
        <v>NO</v>
      </c>
      <c r="D31" s="2" t="str">
        <f>IF(ISERROR(VLOOKUP(I31,[2]FRG!$S$19:$U$288,1,FALSE)),"NO","SI")</f>
        <v>NO</v>
      </c>
      <c r="E31" s="2" t="str">
        <f>IF(ISERROR(VLOOKUP(I31,'[4]ARI 26 C33'!$C$1:$D$490,1,FALSE)),"NO","SI")</f>
        <v>SI</v>
      </c>
      <c r="F31" s="2" t="s">
        <v>45</v>
      </c>
      <c r="G31" s="2" t="s">
        <v>73</v>
      </c>
      <c r="H31" s="2" t="s">
        <v>14</v>
      </c>
      <c r="I31" s="7">
        <v>40071715</v>
      </c>
      <c r="J31" s="49" t="s">
        <v>703</v>
      </c>
      <c r="K31" s="3">
        <v>371268000</v>
      </c>
      <c r="L31" s="2" t="s">
        <v>49</v>
      </c>
      <c r="M31" s="15" t="s">
        <v>62</v>
      </c>
      <c r="N31" s="10">
        <v>45805</v>
      </c>
      <c r="O31" s="10">
        <v>45842</v>
      </c>
      <c r="P31" s="37">
        <f>IF(NETWORKDAYS(N31,O31,Feriados!$I$2:$I$22)-1&gt;=0,NETWORKDAYS(N31,O31,Feriados!$I$2:$I$22)-1,"NO APLICA")</f>
        <v>26</v>
      </c>
      <c r="Q31" s="10">
        <v>45894</v>
      </c>
      <c r="R31" s="9">
        <f t="shared" si="0"/>
        <v>45909</v>
      </c>
      <c r="S31" s="43">
        <v>45842</v>
      </c>
      <c r="T31" s="2">
        <v>15</v>
      </c>
      <c r="U31" s="9">
        <f>WORKDAY(Q31,T31,Feriados!$I$2:$I$22)</f>
        <v>45915</v>
      </c>
      <c r="V31" s="2">
        <f t="shared" si="1"/>
        <v>-52</v>
      </c>
      <c r="W31" s="38" t="str">
        <f>IF(NETWORKDAYS(Q31,S31,Feriados!$I$2:$I$22)-1&gt;=0,NETWORKDAYS(Q31,S31,Feriados!$I$2:$I$22)-1,"NO APLICA")</f>
        <v>NO APLICA</v>
      </c>
      <c r="X31" s="13">
        <f t="shared" ca="1" si="4"/>
        <v>-381</v>
      </c>
      <c r="Y31" s="2" t="s">
        <v>777</v>
      </c>
      <c r="Z31" s="2" t="s">
        <v>778</v>
      </c>
      <c r="AA31" s="64"/>
      <c r="AB31" s="88" t="s">
        <v>31</v>
      </c>
      <c r="AC31" s="2" t="s">
        <v>779</v>
      </c>
      <c r="AD31" s="121"/>
    </row>
    <row r="32" spans="1:30" ht="28.5" x14ac:dyDescent="0.2">
      <c r="A32" s="105">
        <v>31</v>
      </c>
      <c r="B32" s="2">
        <v>29</v>
      </c>
      <c r="C32" s="36" t="str">
        <f>IF(ISERROR(VLOOKUP(I32,[1]DEP!$B$3:$E$583,1,FALSE)),"NO","SI")</f>
        <v>NO</v>
      </c>
      <c r="D32" s="2" t="str">
        <f>IF(ISERROR(VLOOKUP(I32,[2]FRG!$S$19:$U$288,1,FALSE)),"NO","SI")</f>
        <v>NO</v>
      </c>
      <c r="E32" s="2" t="str">
        <f>IF(ISERROR(VLOOKUP(I32,'[4]ARI 26 C33'!$C$1:$D$490,1,FALSE)),"NO","SI")</f>
        <v>SI</v>
      </c>
      <c r="F32" s="2" t="s">
        <v>704</v>
      </c>
      <c r="G32" s="2" t="s">
        <v>0</v>
      </c>
      <c r="H32" s="2" t="s">
        <v>18</v>
      </c>
      <c r="I32" s="7">
        <v>40039346</v>
      </c>
      <c r="J32" s="3" t="s">
        <v>331</v>
      </c>
      <c r="K32" s="3">
        <v>309400000</v>
      </c>
      <c r="L32" s="2" t="s">
        <v>49</v>
      </c>
      <c r="M32" s="15" t="s">
        <v>62</v>
      </c>
      <c r="N32" s="10">
        <v>45838</v>
      </c>
      <c r="O32" s="10">
        <v>45873</v>
      </c>
      <c r="P32" s="37">
        <f>IF(NETWORKDAYS(N32,O32,Feriados!$I$2:$I$22)-1&gt;=0,NETWORKDAYS(N32,O32,Feriados!$I$2:$I$22)-1,"NO APLICA")</f>
        <v>24</v>
      </c>
      <c r="Q32" s="10">
        <v>45905</v>
      </c>
      <c r="R32" s="9">
        <f t="shared" si="0"/>
        <v>45920</v>
      </c>
      <c r="S32" s="43">
        <v>45915</v>
      </c>
      <c r="T32" s="2">
        <v>15</v>
      </c>
      <c r="U32" s="9">
        <f>WORKDAY(Q32,T32,Feriados!$I$2:$I$22)</f>
        <v>45930</v>
      </c>
      <c r="V32" s="2">
        <f t="shared" si="1"/>
        <v>10</v>
      </c>
      <c r="W32" s="38">
        <f>IF(NETWORKDAYS(Q32,S32,Feriados!$I$2:$I$22)-1&gt;=0,NETWORKDAYS(Q32,S32,Feriados!$I$2:$I$22)-1,"NO APLICA")</f>
        <v>6</v>
      </c>
      <c r="X32" s="13">
        <f t="shared" ca="1" si="4"/>
        <v>-366</v>
      </c>
      <c r="Y32" s="2" t="s">
        <v>755</v>
      </c>
      <c r="Z32" s="2" t="s">
        <v>164</v>
      </c>
      <c r="AA32" s="64"/>
      <c r="AB32" s="88" t="s">
        <v>31</v>
      </c>
      <c r="AC32" s="2" t="s">
        <v>757</v>
      </c>
    </row>
    <row r="33" spans="1:30" ht="28.5" hidden="1" x14ac:dyDescent="0.2">
      <c r="A33" s="105">
        <v>32</v>
      </c>
      <c r="B33" s="2">
        <v>29</v>
      </c>
      <c r="C33" s="36" t="str">
        <f>IF(ISERROR(VLOOKUP(I33,[1]DEP!$B$3:$E$583,1,FALSE)),"NO","SI")</f>
        <v>NO</v>
      </c>
      <c r="D33" s="2" t="str">
        <f>IF(ISERROR(VLOOKUP(I33,[2]FRG!$S$19:$U$288,1,FALSE)),"NO","SI")</f>
        <v>NO</v>
      </c>
      <c r="E33" s="2" t="str">
        <f>IF(ISERROR(VLOOKUP(I33,'[4]ARI 26 C33'!$C$1:$D$490,1,FALSE)),"NO","SI")</f>
        <v>SI</v>
      </c>
      <c r="F33" s="2" t="s">
        <v>704</v>
      </c>
      <c r="G33" s="2" t="s">
        <v>50</v>
      </c>
      <c r="H33" s="2" t="s">
        <v>9</v>
      </c>
      <c r="I33" s="119">
        <v>40061816</v>
      </c>
      <c r="J33" s="3" t="s">
        <v>763</v>
      </c>
      <c r="K33" s="3"/>
      <c r="L33" s="2" t="s">
        <v>49</v>
      </c>
      <c r="M33" s="15" t="s">
        <v>685</v>
      </c>
      <c r="N33" s="10">
        <v>45810</v>
      </c>
      <c r="O33" s="10">
        <v>45845</v>
      </c>
      <c r="P33" s="37">
        <f>IF(NETWORKDAYS(N33,O33,Feriados!$I$2:$I$22)-1&gt;=0,NETWORKDAYS(N33,O33,Feriados!$I$2:$I$22)-1,"NO APLICA")</f>
        <v>24</v>
      </c>
      <c r="Q33" s="10">
        <v>45938</v>
      </c>
      <c r="R33" s="9">
        <f t="shared" si="0"/>
        <v>45953</v>
      </c>
      <c r="S33" s="43">
        <v>45960</v>
      </c>
      <c r="T33" s="2">
        <v>15</v>
      </c>
      <c r="U33" s="9">
        <f>WORKDAY(Q33,T33,Feriados!$I$2:$I$22)</f>
        <v>45959</v>
      </c>
      <c r="V33" s="2">
        <f t="shared" si="1"/>
        <v>22</v>
      </c>
      <c r="W33" s="38">
        <f>IF(NETWORKDAYS(Q33,S33,Feriados!$I$2:$I$22)-1&gt;=0,NETWORKDAYS(Q33,S33,Feriados!$I$2:$I$22)-1,"NO APLICA")</f>
        <v>16</v>
      </c>
      <c r="X33" s="13">
        <f t="shared" ca="1" si="4"/>
        <v>-337</v>
      </c>
      <c r="Y33" s="2"/>
      <c r="Z33" s="2"/>
      <c r="AA33" s="64"/>
      <c r="AB33" s="88" t="s">
        <v>31</v>
      </c>
      <c r="AC33" s="2" t="s">
        <v>366</v>
      </c>
    </row>
    <row r="34" spans="1:30" ht="28.5" hidden="1" x14ac:dyDescent="0.2">
      <c r="A34" s="105">
        <v>33</v>
      </c>
      <c r="B34" s="2">
        <v>29</v>
      </c>
      <c r="C34" s="36" t="str">
        <f>IF(ISERROR(VLOOKUP(I34,[1]DEP!$B$3:$E$583,1,FALSE)),"NO","SI")</f>
        <v>NO</v>
      </c>
      <c r="D34" s="2" t="str">
        <f>IF(ISERROR(VLOOKUP(I34,[2]FRG!$S$19:$U$288,1,FALSE)),"NO","SI")</f>
        <v>NO</v>
      </c>
      <c r="E34" s="2" t="str">
        <f>IF(ISERROR(VLOOKUP(I34,'[4]ARI 26 C33'!$C$1:$D$490,1,FALSE)),"NO","SI")</f>
        <v>NO</v>
      </c>
      <c r="F34" s="2" t="s">
        <v>704</v>
      </c>
      <c r="G34" s="2" t="s">
        <v>707</v>
      </c>
      <c r="H34" s="2" t="s">
        <v>25</v>
      </c>
      <c r="I34" s="7">
        <v>40071404</v>
      </c>
      <c r="J34" s="3" t="s">
        <v>706</v>
      </c>
      <c r="K34" s="3"/>
      <c r="L34" s="2" t="s">
        <v>49</v>
      </c>
      <c r="M34" s="15" t="s">
        <v>685</v>
      </c>
      <c r="N34" s="10">
        <v>45813</v>
      </c>
      <c r="O34" s="10">
        <v>45849</v>
      </c>
      <c r="P34" s="37">
        <f>IF(NETWORKDAYS(N34,O34,Feriados!$I$2:$I$22)-1&gt;=0,NETWORKDAYS(N34,O34,Feriados!$I$2:$I$22)-1,"NO APLICA")</f>
        <v>25</v>
      </c>
      <c r="Q34" s="10">
        <v>45922</v>
      </c>
      <c r="R34" s="9">
        <f t="shared" ref="R34:R65" si="5">+Q34+T34</f>
        <v>45937</v>
      </c>
      <c r="S34" s="43">
        <v>45936</v>
      </c>
      <c r="T34" s="2">
        <v>15</v>
      </c>
      <c r="U34" s="9">
        <f>WORKDAY(Q34,T34,Feriados!$I$2:$I$22)</f>
        <v>45943</v>
      </c>
      <c r="V34" s="2">
        <f t="shared" ref="V34:V65" si="6">+S34-Q34</f>
        <v>14</v>
      </c>
      <c r="W34" s="38">
        <f>IF(NETWORKDAYS(Q34,S34,Feriados!$I$2:$I$22)-1&gt;=0,NETWORKDAYS(Q34,S34,Feriados!$I$2:$I$22)-1,"NO APLICA")</f>
        <v>10</v>
      </c>
      <c r="X34" s="13">
        <f t="shared" ca="1" si="4"/>
        <v>-353</v>
      </c>
      <c r="Y34" s="2"/>
      <c r="Z34" s="2"/>
      <c r="AA34" s="64"/>
      <c r="AB34" s="88" t="s">
        <v>31</v>
      </c>
      <c r="AC34" s="2" t="s">
        <v>820</v>
      </c>
    </row>
    <row r="35" spans="1:30" s="60" customFormat="1" ht="28.5" hidden="1" x14ac:dyDescent="0.2">
      <c r="A35" s="105">
        <v>34</v>
      </c>
      <c r="B35" s="3">
        <v>29</v>
      </c>
      <c r="C35" s="36" t="str">
        <f>IF(ISERROR(VLOOKUP(I35,[1]DEP!$B$3:$E$583,1,FALSE)),"NO","SI")</f>
        <v>NO</v>
      </c>
      <c r="D35" s="2" t="str">
        <f>IF(ISERROR(VLOOKUP(I35,[2]FRG!$S$19:$U$288,1,FALSE)),"NO","SI")</f>
        <v>NO</v>
      </c>
      <c r="E35" s="2" t="str">
        <f>IF(ISERROR(VLOOKUP(I35,'[4]ARI 26 C33'!$C$1:$D$490,1,FALSE)),"NO","SI")</f>
        <v>SI</v>
      </c>
      <c r="F35" s="2" t="s">
        <v>42</v>
      </c>
      <c r="G35" s="2" t="s">
        <v>71</v>
      </c>
      <c r="H35" s="2" t="s">
        <v>20</v>
      </c>
      <c r="I35" s="7">
        <v>40066529</v>
      </c>
      <c r="J35" s="49" t="s">
        <v>630</v>
      </c>
      <c r="K35" s="3">
        <v>250000000</v>
      </c>
      <c r="L35" s="2" t="s">
        <v>49</v>
      </c>
      <c r="M35" s="15" t="s">
        <v>62</v>
      </c>
      <c r="N35" s="10">
        <v>45821</v>
      </c>
      <c r="O35" s="10">
        <v>45860</v>
      </c>
      <c r="P35" s="37">
        <f>IF(NETWORKDAYS(N35,O35,Feriados!$I$2:$I$22)-1&gt;=0,NETWORKDAYS(N35,O35,Feriados!$I$2:$I$22)-1,"NO APLICA")</f>
        <v>25</v>
      </c>
      <c r="Q35" s="10">
        <v>45821</v>
      </c>
      <c r="R35" s="9">
        <f t="shared" si="5"/>
        <v>45836</v>
      </c>
      <c r="S35" s="43">
        <v>45860</v>
      </c>
      <c r="T35" s="2">
        <v>15</v>
      </c>
      <c r="U35" s="9">
        <f>WORKDAY(Q35,T35,Feriados!$I$2:$I$22)</f>
        <v>45845</v>
      </c>
      <c r="V35" s="2">
        <f t="shared" si="6"/>
        <v>39</v>
      </c>
      <c r="W35" s="38">
        <f>IF(NETWORKDAYS(Q35,S35,Feriados!$I$2:$I$22)-1&gt;=0,NETWORKDAYS(Q35,S35,Feriados!$I$2:$I$22)-1,"NO APLICA")</f>
        <v>25</v>
      </c>
      <c r="X35" s="13">
        <f t="shared" ca="1" si="4"/>
        <v>-451</v>
      </c>
      <c r="Y35" s="2" t="s">
        <v>731</v>
      </c>
      <c r="Z35" s="2" t="s">
        <v>152</v>
      </c>
      <c r="AA35" s="85"/>
      <c r="AB35" s="88" t="s">
        <v>31</v>
      </c>
      <c r="AC35" s="3" t="s">
        <v>542</v>
      </c>
    </row>
    <row r="36" spans="1:30" ht="28.5" x14ac:dyDescent="0.2">
      <c r="A36" s="105">
        <v>35</v>
      </c>
      <c r="B36" s="2">
        <v>29</v>
      </c>
      <c r="C36" s="36" t="str">
        <f>IF(ISERROR(VLOOKUP(I36,[1]DEP!$B$3:$E$583,1,FALSE)),"NO","SI")</f>
        <v>NO</v>
      </c>
      <c r="D36" s="2" t="str">
        <f>IF(ISERROR(VLOOKUP(I36,[2]FRG!$S$19:$U$288,1,FALSE)),"NO","SI")</f>
        <v>NO</v>
      </c>
      <c r="E36" s="2" t="str">
        <f>IF(ISERROR(VLOOKUP(I36,'[4]ARI 26 C33'!$C$1:$D$490,1,FALSE)),"NO","SI")</f>
        <v>NO</v>
      </c>
      <c r="F36" s="2" t="s">
        <v>48</v>
      </c>
      <c r="G36" s="2" t="s">
        <v>598</v>
      </c>
      <c r="H36" s="2" t="s">
        <v>78</v>
      </c>
      <c r="I36" s="7">
        <v>40063793</v>
      </c>
      <c r="J36" s="3" t="s">
        <v>633</v>
      </c>
      <c r="K36" s="3">
        <v>171669000</v>
      </c>
      <c r="L36" s="2" t="s">
        <v>49</v>
      </c>
      <c r="M36" s="15" t="s">
        <v>62</v>
      </c>
      <c r="N36" s="10">
        <v>45825</v>
      </c>
      <c r="O36" s="10">
        <v>45867</v>
      </c>
      <c r="P36" s="37">
        <f>IF(NETWORKDAYS(N36,O36,Feriados!$I$2:$I$22)-1&gt;=0,NETWORKDAYS(N36,O36,Feriados!$I$2:$I$22)-1,"NO APLICA")</f>
        <v>28</v>
      </c>
      <c r="Q36" s="10">
        <v>45994</v>
      </c>
      <c r="R36" s="9">
        <f t="shared" si="5"/>
        <v>46009</v>
      </c>
      <c r="S36" s="43">
        <v>46014</v>
      </c>
      <c r="T36" s="2">
        <v>15</v>
      </c>
      <c r="U36" s="9">
        <f>WORKDAY(Q36,T36,Feriados!$I$2:$I$22)</f>
        <v>46017</v>
      </c>
      <c r="V36" s="2">
        <f t="shared" si="6"/>
        <v>20</v>
      </c>
      <c r="W36" s="38">
        <f>IF(NETWORKDAYS(Q36,S36,Feriados!$I$2:$I$22)-1&gt;=0,NETWORKDAYS(Q36,S36,Feriados!$I$2:$I$22)-1,"NO APLICA")</f>
        <v>13</v>
      </c>
      <c r="X36" s="13">
        <f t="shared" ca="1" si="4"/>
        <v>-279</v>
      </c>
      <c r="Y36" s="2" t="s">
        <v>826</v>
      </c>
      <c r="Z36" s="2" t="s">
        <v>642</v>
      </c>
      <c r="AA36" s="12"/>
      <c r="AB36" s="88" t="s">
        <v>31</v>
      </c>
      <c r="AC36" s="2" t="s">
        <v>757</v>
      </c>
    </row>
    <row r="37" spans="1:30" ht="28.5" hidden="1" x14ac:dyDescent="0.2">
      <c r="A37" s="105">
        <v>36</v>
      </c>
      <c r="B37" s="2">
        <v>29</v>
      </c>
      <c r="C37" s="36" t="str">
        <f>IF(ISERROR(VLOOKUP(I37,[1]DEP!$B$3:$E$583,1,FALSE)),"NO","SI")</f>
        <v>NO</v>
      </c>
      <c r="D37" s="2" t="str">
        <f>IF(ISERROR(VLOOKUP(I37,[2]FRG!$S$19:$U$288,1,FALSE)),"NO","SI")</f>
        <v>NO</v>
      </c>
      <c r="E37" s="2" t="str">
        <f>IF(ISERROR(VLOOKUP(I37,'[4]ARI 26 C33'!$C$1:$D$490,1,FALSE)),"NO","SI")</f>
        <v>SI</v>
      </c>
      <c r="F37" s="2" t="s">
        <v>568</v>
      </c>
      <c r="G37" s="2" t="s">
        <v>50</v>
      </c>
      <c r="H37" s="2" t="s">
        <v>9</v>
      </c>
      <c r="I37" s="7">
        <v>40062882</v>
      </c>
      <c r="J37" s="3" t="s">
        <v>709</v>
      </c>
      <c r="K37" s="3"/>
      <c r="L37" s="2" t="s">
        <v>49</v>
      </c>
      <c r="M37" s="15" t="s">
        <v>685</v>
      </c>
      <c r="N37" s="10">
        <v>45835</v>
      </c>
      <c r="O37" s="10">
        <v>45874</v>
      </c>
      <c r="P37" s="37">
        <f>IF(NETWORKDAYS(N37,O37,Feriados!$I$2:$I$22)-1&gt;=0,NETWORKDAYS(N37,O37,Feriados!$I$2:$I$22)-1,"NO APLICA")</f>
        <v>26</v>
      </c>
      <c r="Q37" s="10">
        <v>45835</v>
      </c>
      <c r="R37" s="9">
        <f t="shared" si="5"/>
        <v>45850</v>
      </c>
      <c r="S37" s="43">
        <v>45874</v>
      </c>
      <c r="T37" s="2">
        <v>15</v>
      </c>
      <c r="U37" s="9">
        <f>WORKDAY(Q37,T37,Feriados!$I$2:$I$22)</f>
        <v>45859</v>
      </c>
      <c r="V37" s="2">
        <f t="shared" si="6"/>
        <v>39</v>
      </c>
      <c r="W37" s="38">
        <f>IF(NETWORKDAYS(Q37,S37,Feriados!$I$2:$I$22)-1&gt;=0,NETWORKDAYS(Q37,S37,Feriados!$I$2:$I$22)-1,"NO APLICA")</f>
        <v>26</v>
      </c>
      <c r="X37" s="13">
        <f t="shared" ca="1" si="4"/>
        <v>-437</v>
      </c>
      <c r="Y37" s="2"/>
      <c r="Z37" s="2"/>
      <c r="AA37" s="64"/>
      <c r="AB37" s="88" t="s">
        <v>31</v>
      </c>
      <c r="AC37" s="3" t="s">
        <v>366</v>
      </c>
    </row>
    <row r="38" spans="1:30" s="60" customFormat="1" ht="28.5" hidden="1" x14ac:dyDescent="0.2">
      <c r="A38" s="105">
        <v>37</v>
      </c>
      <c r="B38" s="3">
        <v>29</v>
      </c>
      <c r="C38" s="36" t="str">
        <f>IF(ISERROR(VLOOKUP(I38,[1]DEP!$B$3:$E$583,1,FALSE)),"NO","SI")</f>
        <v>NO</v>
      </c>
      <c r="D38" s="2" t="str">
        <f>IF(ISERROR(VLOOKUP(I38,[2]FRG!$S$19:$U$288,1,FALSE)),"NO","SI")</f>
        <v>NO</v>
      </c>
      <c r="E38" s="2" t="str">
        <f>IF(ISERROR(VLOOKUP(I38,'[4]ARI 26 C33'!$C$1:$D$490,1,FALSE)),"NO","SI")</f>
        <v>SI</v>
      </c>
      <c r="F38" s="2" t="s">
        <v>48</v>
      </c>
      <c r="G38" s="2" t="s">
        <v>393</v>
      </c>
      <c r="H38" s="2" t="s">
        <v>397</v>
      </c>
      <c r="I38" s="7">
        <v>40065407</v>
      </c>
      <c r="J38" s="3" t="s">
        <v>627</v>
      </c>
      <c r="K38" s="3">
        <v>341685000</v>
      </c>
      <c r="L38" s="2" t="s">
        <v>49</v>
      </c>
      <c r="M38" s="15" t="s">
        <v>62</v>
      </c>
      <c r="N38" s="10">
        <v>45835</v>
      </c>
      <c r="O38" s="10">
        <v>45866</v>
      </c>
      <c r="P38" s="37">
        <f>IF(NETWORKDAYS(N38,O38,Feriados!$I$2:$I$22)-1&gt;=0,NETWORKDAYS(N38,O38,Feriados!$I$2:$I$22)-1,"NO APLICA")</f>
        <v>20</v>
      </c>
      <c r="Q38" s="10">
        <v>45901</v>
      </c>
      <c r="R38" s="9">
        <f t="shared" si="5"/>
        <v>45916</v>
      </c>
      <c r="S38" s="43">
        <v>45933</v>
      </c>
      <c r="T38" s="2">
        <v>15</v>
      </c>
      <c r="U38" s="9">
        <f>WORKDAY(Q38,T38,Feriados!$I$2:$I$22)</f>
        <v>45924</v>
      </c>
      <c r="V38" s="2">
        <f t="shared" si="6"/>
        <v>32</v>
      </c>
      <c r="W38" s="38">
        <f>IF(NETWORKDAYS(Q38,S38,Feriados!$I$2:$I$22)-1&gt;=0,NETWORKDAYS(Q38,S38,Feriados!$I$2:$I$22)-1,"NO APLICA")</f>
        <v>22</v>
      </c>
      <c r="X38" s="13">
        <f t="shared" ca="1" si="4"/>
        <v>-372</v>
      </c>
      <c r="Y38" s="3" t="s">
        <v>764</v>
      </c>
      <c r="Z38" s="2" t="s">
        <v>157</v>
      </c>
      <c r="AA38" s="85"/>
      <c r="AB38" s="88" t="s">
        <v>31</v>
      </c>
      <c r="AC38" s="3" t="s">
        <v>366</v>
      </c>
    </row>
    <row r="39" spans="1:30" s="60" customFormat="1" ht="28.5" hidden="1" x14ac:dyDescent="0.2">
      <c r="A39" s="105">
        <v>38</v>
      </c>
      <c r="B39" s="3">
        <v>29</v>
      </c>
      <c r="C39" s="36" t="str">
        <f>IF(ISERROR(VLOOKUP(I39,[1]DEP!$B$3:$E$583,1,FALSE)),"NO","SI")</f>
        <v>NO</v>
      </c>
      <c r="D39" s="2" t="str">
        <f>IF(ISERROR(VLOOKUP(I39,[2]FRG!$S$19:$U$288,1,FALSE)),"NO","SI")</f>
        <v>NO</v>
      </c>
      <c r="E39" s="2" t="str">
        <f>IF(ISERROR(VLOOKUP(I39,'[4]ARI 26 C33'!$C$1:$D$490,1,FALSE)),"NO","SI")</f>
        <v>SI</v>
      </c>
      <c r="F39" s="2" t="s">
        <v>45</v>
      </c>
      <c r="G39" s="2" t="s">
        <v>51</v>
      </c>
      <c r="H39" s="2" t="s">
        <v>11</v>
      </c>
      <c r="I39" s="7">
        <v>40072616</v>
      </c>
      <c r="J39" s="16" t="s">
        <v>819</v>
      </c>
      <c r="K39" s="3">
        <v>374017000</v>
      </c>
      <c r="L39" s="2" t="s">
        <v>49</v>
      </c>
      <c r="M39" s="15" t="s">
        <v>62</v>
      </c>
      <c r="N39" s="10">
        <v>45838</v>
      </c>
      <c r="O39" s="10">
        <v>45881</v>
      </c>
      <c r="P39" s="37">
        <f>IF(NETWORKDAYS(N39,O39,Feriados!$I$2:$I$22)-1&gt;=0,NETWORKDAYS(N39,O39,Feriados!$I$2:$I$22)-1,"NO APLICA")</f>
        <v>30</v>
      </c>
      <c r="Q39" s="10">
        <v>45995</v>
      </c>
      <c r="R39" s="9">
        <f t="shared" si="5"/>
        <v>46010</v>
      </c>
      <c r="S39" s="43">
        <v>46014</v>
      </c>
      <c r="T39" s="2">
        <v>15</v>
      </c>
      <c r="U39" s="9">
        <f>WORKDAY(Q39,T39,Feriados!$I$2:$I$22)</f>
        <v>46020</v>
      </c>
      <c r="V39" s="2">
        <f t="shared" si="6"/>
        <v>19</v>
      </c>
      <c r="W39" s="38">
        <f>IF(NETWORKDAYS(Q39,S39,Feriados!$I$2:$I$22)-1&gt;=0,NETWORKDAYS(Q39,S39,Feriados!$I$2:$I$22)-1,"NO APLICA")</f>
        <v>12</v>
      </c>
      <c r="X39" s="13">
        <f t="shared" ref="X39:X44" ca="1" si="7">SUM(U39-TODAY())</f>
        <v>-276</v>
      </c>
      <c r="Y39" s="2" t="s">
        <v>827</v>
      </c>
      <c r="Z39" s="2" t="s">
        <v>157</v>
      </c>
      <c r="AA39" s="85"/>
      <c r="AB39" s="88" t="s">
        <v>31</v>
      </c>
      <c r="AC39" s="3" t="s">
        <v>366</v>
      </c>
    </row>
    <row r="40" spans="1:30" s="60" customFormat="1" ht="28.5" x14ac:dyDescent="0.2">
      <c r="A40" s="105">
        <v>39</v>
      </c>
      <c r="B40" s="3">
        <v>29</v>
      </c>
      <c r="C40" s="36" t="str">
        <f>IF(ISERROR(VLOOKUP(I40,[1]DEP!$B$3:$E$583,1,FALSE)),"NO","SI")</f>
        <v>NO</v>
      </c>
      <c r="D40" s="2" t="str">
        <f>IF(ISERROR(VLOOKUP(I40,[2]FRG!$S$19:$U$288,1,FALSE)),"NO","SI")</f>
        <v>NO</v>
      </c>
      <c r="E40" s="2" t="str">
        <f>IF(ISERROR(VLOOKUP(I40,'[4]ARI 26 C33'!$C$1:$D$490,1,FALSE)),"NO","SI")</f>
        <v>NO</v>
      </c>
      <c r="F40" s="2" t="s">
        <v>42</v>
      </c>
      <c r="G40" s="2" t="s">
        <v>42</v>
      </c>
      <c r="H40" s="2" t="s">
        <v>30</v>
      </c>
      <c r="I40" s="7">
        <v>40073842</v>
      </c>
      <c r="J40" s="3" t="s">
        <v>710</v>
      </c>
      <c r="K40" s="3">
        <v>356525000</v>
      </c>
      <c r="L40" s="2" t="s">
        <v>49</v>
      </c>
      <c r="M40" s="15" t="s">
        <v>62</v>
      </c>
      <c r="N40" s="10">
        <v>45839</v>
      </c>
      <c r="O40" s="10">
        <v>45856</v>
      </c>
      <c r="P40" s="37">
        <f>IF(NETWORKDAYS(N40,O40,Feriados!$I$2:$I$22)-1&gt;=0,NETWORKDAYS(N40,O40,Feriados!$I$2:$I$22)-1,"NO APLICA")</f>
        <v>12</v>
      </c>
      <c r="Q40" s="10">
        <v>45959</v>
      </c>
      <c r="R40" s="9">
        <f t="shared" si="5"/>
        <v>45974</v>
      </c>
      <c r="S40" s="43">
        <v>45973</v>
      </c>
      <c r="T40" s="2">
        <v>15</v>
      </c>
      <c r="U40" s="9">
        <f>WORKDAY(Q40,T40,Feriados!$I$2:$I$22)</f>
        <v>45981</v>
      </c>
      <c r="V40" s="2">
        <f t="shared" si="6"/>
        <v>14</v>
      </c>
      <c r="W40" s="38">
        <f>IF(NETWORKDAYS(Q40,S40,Feriados!$I$2:$I$22)-1&gt;=0,NETWORKDAYS(Q40,S40,Feriados!$I$2:$I$22)-1,"NO APLICA")</f>
        <v>9</v>
      </c>
      <c r="X40" s="13">
        <f t="shared" ca="1" si="7"/>
        <v>-315</v>
      </c>
      <c r="Y40" s="3" t="s">
        <v>799</v>
      </c>
      <c r="Z40" s="2"/>
      <c r="AA40" s="85"/>
      <c r="AB40" s="88" t="s">
        <v>31</v>
      </c>
      <c r="AC40" s="3" t="s">
        <v>757</v>
      </c>
    </row>
    <row r="41" spans="1:30" s="60" customFormat="1" ht="28.5" hidden="1" x14ac:dyDescent="0.2">
      <c r="A41" s="105">
        <v>40</v>
      </c>
      <c r="B41" s="3">
        <v>29</v>
      </c>
      <c r="C41" s="36" t="str">
        <f>IF(ISERROR(VLOOKUP(I41,[1]DEP!$B$3:$E$583,1,FALSE)),"NO","SI")</f>
        <v>NO</v>
      </c>
      <c r="D41" s="2" t="str">
        <f>IF(ISERROR(VLOOKUP(I41,[2]FRG!$S$19:$U$288,1,FALSE)),"NO","SI")</f>
        <v>NO</v>
      </c>
      <c r="E41" s="2" t="str">
        <f>IF(ISERROR(VLOOKUP(I41,'[4]ARI 26 C33'!$C$1:$D$490,1,FALSE)),"NO","SI")</f>
        <v>NO</v>
      </c>
      <c r="F41" s="2" t="s">
        <v>568</v>
      </c>
      <c r="G41" s="2" t="s">
        <v>712</v>
      </c>
      <c r="H41" s="2" t="s">
        <v>482</v>
      </c>
      <c r="I41" s="7">
        <v>40072834</v>
      </c>
      <c r="J41" s="3" t="s">
        <v>711</v>
      </c>
      <c r="K41" s="3"/>
      <c r="L41" s="2" t="s">
        <v>49</v>
      </c>
      <c r="M41" s="15" t="s">
        <v>685</v>
      </c>
      <c r="N41" s="10">
        <v>45839</v>
      </c>
      <c r="O41" s="10">
        <v>45880</v>
      </c>
      <c r="P41" s="37">
        <f>IF(NETWORKDAYS(N41,O41,Feriados!$I$2:$I$22)-1&gt;=0,NETWORKDAYS(N41,O41,Feriados!$I$2:$I$22)-1,"NO APLICA")</f>
        <v>28</v>
      </c>
      <c r="Q41" s="10">
        <v>45839</v>
      </c>
      <c r="R41" s="9">
        <f t="shared" si="5"/>
        <v>45854</v>
      </c>
      <c r="S41" s="43">
        <v>45880</v>
      </c>
      <c r="T41" s="2">
        <v>15</v>
      </c>
      <c r="U41" s="9">
        <f>WORKDAY(Q41,T41,Feriados!$I$2:$I$22)</f>
        <v>45861</v>
      </c>
      <c r="V41" s="2">
        <f t="shared" si="6"/>
        <v>41</v>
      </c>
      <c r="W41" s="38">
        <f>IF(NETWORKDAYS(Q41,S41,Feriados!$I$2:$I$22)-1&gt;=0,NETWORKDAYS(Q41,S41,Feriados!$I$2:$I$22)-1,"NO APLICA")</f>
        <v>28</v>
      </c>
      <c r="X41" s="13">
        <f t="shared" ca="1" si="7"/>
        <v>-435</v>
      </c>
      <c r="Y41" s="3"/>
      <c r="Z41" s="2" t="s">
        <v>164</v>
      </c>
      <c r="AA41" s="85"/>
      <c r="AB41" s="88" t="s">
        <v>31</v>
      </c>
      <c r="AC41" s="3" t="s">
        <v>757</v>
      </c>
    </row>
    <row r="42" spans="1:30" s="60" customFormat="1" ht="28.5" hidden="1" x14ac:dyDescent="0.2">
      <c r="A42" s="105">
        <v>41</v>
      </c>
      <c r="B42" s="3">
        <v>22</v>
      </c>
      <c r="C42" s="36" t="str">
        <f>IF(ISERROR(VLOOKUP(I42,[1]DEP!$B$3:$E$583,1,FALSE)),"NO","SI")</f>
        <v>NO</v>
      </c>
      <c r="D42" s="2" t="str">
        <f>IF(ISERROR(VLOOKUP(I42,[2]FRG!$S$19:$U$288,1,FALSE)),"NO","SI")</f>
        <v>NO</v>
      </c>
      <c r="E42" s="2" t="str">
        <f>IF(ISERROR(VLOOKUP(I42,'[4]ARI 26 C33'!$C$1:$D$490,1,FALSE)),"NO","SI")</f>
        <v>SI</v>
      </c>
      <c r="F42" s="2" t="s">
        <v>45</v>
      </c>
      <c r="G42" s="2" t="s">
        <v>70</v>
      </c>
      <c r="H42" s="2" t="s">
        <v>6</v>
      </c>
      <c r="I42" s="7">
        <v>40073466</v>
      </c>
      <c r="J42" s="3" t="s">
        <v>713</v>
      </c>
      <c r="K42" s="3">
        <v>300000000</v>
      </c>
      <c r="L42" s="2" t="s">
        <v>49</v>
      </c>
      <c r="M42" s="15" t="s">
        <v>62</v>
      </c>
      <c r="N42" s="10">
        <v>45839</v>
      </c>
      <c r="O42" s="10">
        <v>45882</v>
      </c>
      <c r="P42" s="37">
        <f>IF(NETWORKDAYS(N42,O42,Feriados!$I$2:$I$22)-1&gt;=0,NETWORKDAYS(N42,O42,Feriados!$I$2:$I$22)-1,"NO APLICA")</f>
        <v>30</v>
      </c>
      <c r="Q42" s="10">
        <v>45992</v>
      </c>
      <c r="R42" s="9">
        <f t="shared" si="5"/>
        <v>46007</v>
      </c>
      <c r="S42" s="43">
        <v>45882</v>
      </c>
      <c r="T42" s="2">
        <v>15</v>
      </c>
      <c r="U42" s="9">
        <f>WORKDAY(Q42,T42,Feriados!$I$2:$I$22)</f>
        <v>46014</v>
      </c>
      <c r="V42" s="2">
        <f t="shared" si="6"/>
        <v>-110</v>
      </c>
      <c r="W42" s="38" t="str">
        <f>IF(NETWORKDAYS(Q42,S42,Feriados!$I$2:$I$22)-1&gt;=0,NETWORKDAYS(Q42,S42,Feriados!$I$2:$I$22)-1,"NO APLICA")</f>
        <v>NO APLICA</v>
      </c>
      <c r="X42" s="13">
        <f t="shared" ca="1" si="7"/>
        <v>-282</v>
      </c>
      <c r="Y42" s="3" t="s">
        <v>829</v>
      </c>
      <c r="Z42" s="2" t="s">
        <v>824</v>
      </c>
      <c r="AA42" s="85"/>
      <c r="AB42" s="88" t="s">
        <v>31</v>
      </c>
      <c r="AC42" s="3" t="s">
        <v>821</v>
      </c>
    </row>
    <row r="43" spans="1:30" s="60" customFormat="1" ht="28.5" hidden="1" x14ac:dyDescent="0.2">
      <c r="A43" s="105">
        <v>42</v>
      </c>
      <c r="B43" s="3">
        <v>29</v>
      </c>
      <c r="C43" s="36" t="str">
        <f>IF(ISERROR(VLOOKUP(I43,[1]DEP!$B$3:$E$583,1,FALSE)),"NO","SI")</f>
        <v>NO</v>
      </c>
      <c r="D43" s="2" t="str">
        <f>IF(ISERROR(VLOOKUP(I43,[2]FRG!$S$19:$U$288,1,FALSE)),"NO","SI")</f>
        <v>NO</v>
      </c>
      <c r="E43" s="2" t="str">
        <f>IF(ISERROR(VLOOKUP(I43,'[4]ARI 26 C33'!$C$1:$D$490,1,FALSE)),"NO","SI")</f>
        <v>NO</v>
      </c>
      <c r="F43" s="2" t="s">
        <v>45</v>
      </c>
      <c r="G43" s="2" t="s">
        <v>70</v>
      </c>
      <c r="H43" s="2" t="s">
        <v>6</v>
      </c>
      <c r="I43" s="7">
        <v>40073084</v>
      </c>
      <c r="J43" s="3" t="s">
        <v>714</v>
      </c>
      <c r="K43" s="3"/>
      <c r="L43" s="2" t="s">
        <v>49</v>
      </c>
      <c r="M43" s="15" t="s">
        <v>685</v>
      </c>
      <c r="N43" s="10">
        <v>45841</v>
      </c>
      <c r="O43" s="10">
        <v>45876</v>
      </c>
      <c r="P43" s="37">
        <f>IF(NETWORKDAYS(N43,O43,Feriados!$I$2:$I$22)-1&gt;=0,NETWORKDAYS(N43,O43,Feriados!$I$2:$I$22)-1,"NO APLICA")</f>
        <v>24</v>
      </c>
      <c r="Q43" s="10">
        <v>45841</v>
      </c>
      <c r="R43" s="9">
        <f t="shared" si="5"/>
        <v>45856</v>
      </c>
      <c r="S43" s="43">
        <v>45876</v>
      </c>
      <c r="T43" s="2">
        <v>15</v>
      </c>
      <c r="U43" s="9">
        <f>WORKDAY(Q43,T43,Feriados!$I$2:$I$22)</f>
        <v>45863</v>
      </c>
      <c r="V43" s="2">
        <f t="shared" si="6"/>
        <v>35</v>
      </c>
      <c r="W43" s="38">
        <f>IF(NETWORKDAYS(Q43,S43,Feriados!$I$2:$I$22)-1&gt;=0,NETWORKDAYS(Q43,S43,Feriados!$I$2:$I$22)-1,"NO APLICA")</f>
        <v>24</v>
      </c>
      <c r="X43" s="13">
        <f t="shared" ca="1" si="7"/>
        <v>-433</v>
      </c>
      <c r="Y43" s="3"/>
      <c r="Z43" s="2"/>
      <c r="AA43" s="85"/>
      <c r="AB43" s="88" t="s">
        <v>31</v>
      </c>
      <c r="AC43" s="3" t="s">
        <v>820</v>
      </c>
    </row>
    <row r="44" spans="1:30" s="60" customFormat="1" ht="28.5" hidden="1" x14ac:dyDescent="0.2">
      <c r="A44" s="105">
        <v>43</v>
      </c>
      <c r="B44" s="3">
        <v>29</v>
      </c>
      <c r="C44" s="36" t="str">
        <f>IF(ISERROR(VLOOKUP(I44,[1]DEP!$B$3:$E$583,1,FALSE)),"NO","SI")</f>
        <v>NO</v>
      </c>
      <c r="D44" s="2" t="str">
        <f>IF(ISERROR(VLOOKUP(I44,[2]FRG!$S$19:$U$288,1,FALSE)),"NO","SI")</f>
        <v>NO</v>
      </c>
      <c r="E44" s="2" t="str">
        <f>IF(ISERROR(VLOOKUP(I44,'[4]ARI 26 C33'!$C$1:$D$490,1,FALSE)),"NO","SI")</f>
        <v>SI</v>
      </c>
      <c r="F44" s="2" t="s">
        <v>568</v>
      </c>
      <c r="G44" s="2" t="s">
        <v>1</v>
      </c>
      <c r="H44" s="2" t="s">
        <v>8</v>
      </c>
      <c r="I44" s="7">
        <v>40070836</v>
      </c>
      <c r="J44" s="3" t="s">
        <v>717</v>
      </c>
      <c r="K44" s="3">
        <v>310000000</v>
      </c>
      <c r="L44" s="2" t="s">
        <v>49</v>
      </c>
      <c r="M44" s="15" t="s">
        <v>62</v>
      </c>
      <c r="N44" s="10">
        <v>45849</v>
      </c>
      <c r="O44" s="10">
        <v>45888</v>
      </c>
      <c r="P44" s="37">
        <f>IF(NETWORKDAYS(N44,O44,Feriados!$I$2:$I$22)-1&gt;=0,NETWORKDAYS(N44,O44,Feriados!$I$2:$I$22)-1,"NO APLICA")</f>
        <v>25</v>
      </c>
      <c r="Q44" s="10">
        <v>45924</v>
      </c>
      <c r="R44" s="9">
        <f t="shared" si="5"/>
        <v>45939</v>
      </c>
      <c r="S44" s="43">
        <v>45950</v>
      </c>
      <c r="T44" s="2">
        <v>15</v>
      </c>
      <c r="U44" s="9">
        <f>WORKDAY(Q44,T44,Feriados!$I$2:$I$22)</f>
        <v>45945</v>
      </c>
      <c r="V44" s="2">
        <f t="shared" si="6"/>
        <v>26</v>
      </c>
      <c r="W44" s="38">
        <f>IF(NETWORKDAYS(Q44,S44,Feriados!$I$2:$I$22)-1&gt;=0,NETWORKDAYS(Q44,S44,Feriados!$I$2:$I$22)-1,"NO APLICA")</f>
        <v>18</v>
      </c>
      <c r="X44" s="13">
        <f t="shared" ca="1" si="7"/>
        <v>-351</v>
      </c>
      <c r="Y44" s="3" t="s">
        <v>781</v>
      </c>
      <c r="Z44" s="2" t="s">
        <v>766</v>
      </c>
      <c r="AA44" s="85"/>
      <c r="AB44" s="88" t="s">
        <v>31</v>
      </c>
      <c r="AC44" s="3" t="s">
        <v>820</v>
      </c>
      <c r="AD44" s="121"/>
    </row>
    <row r="45" spans="1:30" s="60" customFormat="1" ht="28.5" x14ac:dyDescent="0.2">
      <c r="A45" s="105">
        <v>44</v>
      </c>
      <c r="B45" s="3">
        <v>29</v>
      </c>
      <c r="C45" s="36" t="str">
        <f>IF(ISERROR(VLOOKUP(I45,[1]DEP!$B$3:$E$583,1,FALSE)),"NO","SI")</f>
        <v>NO</v>
      </c>
      <c r="D45" s="2" t="str">
        <f>IF(ISERROR(VLOOKUP(I45,[2]FRG!$S$19:$U$288,1,FALSE)),"NO","SI")</f>
        <v>NO</v>
      </c>
      <c r="E45" s="2" t="str">
        <f>IF(ISERROR(VLOOKUP(I45,'[4]ARI 26 C33'!$C$1:$D$490,1,FALSE)),"NO","SI")</f>
        <v>SI</v>
      </c>
      <c r="F45" s="2" t="s">
        <v>568</v>
      </c>
      <c r="G45" s="2" t="s">
        <v>1</v>
      </c>
      <c r="H45" s="2" t="s">
        <v>8</v>
      </c>
      <c r="I45" s="7">
        <v>40069983</v>
      </c>
      <c r="J45" s="3" t="s">
        <v>718</v>
      </c>
      <c r="K45" s="3">
        <v>211177000</v>
      </c>
      <c r="L45" s="2" t="s">
        <v>49</v>
      </c>
      <c r="M45" s="15" t="s">
        <v>62</v>
      </c>
      <c r="N45" s="10">
        <v>45849</v>
      </c>
      <c r="O45" s="10">
        <v>45890</v>
      </c>
      <c r="P45" s="37">
        <f>IF(NETWORKDAYS(N45,O45,Feriados!$I$2:$I$22)-1&gt;=0,NETWORKDAYS(N45,O45,Feriados!$I$2:$I$22)-1,"NO APLICA")</f>
        <v>27</v>
      </c>
      <c r="Q45" s="10">
        <v>45910</v>
      </c>
      <c r="R45" s="9">
        <f t="shared" si="5"/>
        <v>45925</v>
      </c>
      <c r="S45" s="43">
        <v>45890</v>
      </c>
      <c r="T45" s="2">
        <v>15</v>
      </c>
      <c r="U45" s="9">
        <f>WORKDAY(Q45,T45,Feriados!$I$2:$I$22)</f>
        <v>45933</v>
      </c>
      <c r="V45" s="2">
        <f t="shared" si="6"/>
        <v>-20</v>
      </c>
      <c r="W45" s="38" t="str">
        <f>IF(NETWORKDAYS(Q45,S45,Feriados!$I$2:$I$22)-1&gt;=0,NETWORKDAYS(Q45,S45,Feriados!$I$2:$I$22)-1,"NO APLICA")</f>
        <v>NO APLICA</v>
      </c>
      <c r="X45" s="13">
        <f t="shared" ref="X45:X76" ca="1" si="8">SUM(U45-TODAY())</f>
        <v>-363</v>
      </c>
      <c r="Y45" s="3" t="s">
        <v>780</v>
      </c>
      <c r="Z45" s="2" t="s">
        <v>642</v>
      </c>
      <c r="AA45" s="85"/>
      <c r="AB45" s="88" t="s">
        <v>31</v>
      </c>
      <c r="AC45" s="3" t="s">
        <v>757</v>
      </c>
      <c r="AD45" s="121"/>
    </row>
    <row r="46" spans="1:30" s="60" customFormat="1" ht="28.5" hidden="1" x14ac:dyDescent="0.2">
      <c r="A46" s="105">
        <v>45</v>
      </c>
      <c r="B46" s="3">
        <v>29</v>
      </c>
      <c r="C46" s="36" t="str">
        <f>IF(ISERROR(VLOOKUP(I46,[1]DEP!$B$3:$E$583,1,FALSE)),"NO","SI")</f>
        <v>NO</v>
      </c>
      <c r="D46" s="2" t="str">
        <f>IF(ISERROR(VLOOKUP(I46,[2]FRG!$S$19:$U$288,1,FALSE)),"NO","SI")</f>
        <v>NO</v>
      </c>
      <c r="E46" s="2" t="str">
        <f>IF(ISERROR(VLOOKUP(I46,'[4]ARI 26 C33'!$C$1:$D$490,1,FALSE)),"NO","SI")</f>
        <v>NO</v>
      </c>
      <c r="F46" s="2" t="s">
        <v>175</v>
      </c>
      <c r="G46" s="2" t="s">
        <v>175</v>
      </c>
      <c r="H46" s="2" t="s">
        <v>721</v>
      </c>
      <c r="I46" s="7"/>
      <c r="J46" s="3" t="s">
        <v>720</v>
      </c>
      <c r="K46" s="3"/>
      <c r="L46" s="2" t="s">
        <v>49</v>
      </c>
      <c r="M46" s="15" t="s">
        <v>685</v>
      </c>
      <c r="N46" s="10">
        <v>45848</v>
      </c>
      <c r="O46" s="10">
        <v>45887</v>
      </c>
      <c r="P46" s="37">
        <f>IF(NETWORKDAYS(N46,O46,Feriados!$I$2:$I$22)-1&gt;=0,NETWORKDAYS(N46,O46,Feriados!$I$2:$I$22)-1,"NO APLICA")</f>
        <v>25</v>
      </c>
      <c r="Q46" s="10">
        <v>45848</v>
      </c>
      <c r="R46" s="9">
        <f t="shared" si="5"/>
        <v>45863</v>
      </c>
      <c r="S46" s="43">
        <v>45887</v>
      </c>
      <c r="T46" s="2">
        <v>15</v>
      </c>
      <c r="U46" s="9">
        <f>WORKDAY(Q46,T46,Feriados!$I$2:$I$22)</f>
        <v>45870</v>
      </c>
      <c r="V46" s="2">
        <f t="shared" si="6"/>
        <v>39</v>
      </c>
      <c r="W46" s="38">
        <f>IF(NETWORKDAYS(Q46,S46,Feriados!$I$2:$I$22)-1&gt;=0,NETWORKDAYS(Q46,S46,Feriados!$I$2:$I$22)-1,"NO APLICA")</f>
        <v>25</v>
      </c>
      <c r="X46" s="13">
        <f t="shared" ca="1" si="8"/>
        <v>-426</v>
      </c>
      <c r="Y46" s="3"/>
      <c r="Z46" s="2"/>
      <c r="AA46" s="85"/>
      <c r="AB46" s="88" t="s">
        <v>31</v>
      </c>
      <c r="AC46" s="3" t="s">
        <v>757</v>
      </c>
    </row>
    <row r="47" spans="1:30" s="60" customFormat="1" ht="28.5" hidden="1" x14ac:dyDescent="0.2">
      <c r="A47" s="105">
        <v>46</v>
      </c>
      <c r="B47" s="3">
        <v>29</v>
      </c>
      <c r="C47" s="36" t="str">
        <f>IF(ISERROR(VLOOKUP(I47,[1]DEP!$B$3:$E$583,1,FALSE)),"NO","SI")</f>
        <v>NO</v>
      </c>
      <c r="D47" s="2" t="str">
        <f>IF(ISERROR(VLOOKUP(I47,[2]FRG!$S$19:$U$288,1,FALSE)),"NO","SI")</f>
        <v>NO</v>
      </c>
      <c r="E47" s="2" t="str">
        <f>IF(ISERROR(VLOOKUP(I47,'[4]ARI 26 C33'!$C$1:$D$490,1,FALSE)),"NO","SI")</f>
        <v>NO</v>
      </c>
      <c r="F47" s="2" t="s">
        <v>45</v>
      </c>
      <c r="G47" s="2" t="s">
        <v>70</v>
      </c>
      <c r="H47" s="2" t="s">
        <v>6</v>
      </c>
      <c r="I47" s="7">
        <v>40073091</v>
      </c>
      <c r="J47" s="3" t="s">
        <v>743</v>
      </c>
      <c r="K47" s="3"/>
      <c r="L47" s="2" t="s">
        <v>49</v>
      </c>
      <c r="M47" s="15" t="s">
        <v>685</v>
      </c>
      <c r="N47" s="10">
        <v>45852</v>
      </c>
      <c r="O47" s="10">
        <v>45894</v>
      </c>
      <c r="P47" s="37">
        <f>IF(NETWORKDAYS(N47,O47,Feriados!$I$2:$I$22)-1&gt;=0,NETWORKDAYS(N47,O47,Feriados!$I$2:$I$22)-1,"NO APLICA")</f>
        <v>28</v>
      </c>
      <c r="Q47" s="10">
        <v>45852</v>
      </c>
      <c r="R47" s="9">
        <f t="shared" si="5"/>
        <v>45867</v>
      </c>
      <c r="S47" s="43">
        <v>45894</v>
      </c>
      <c r="T47" s="2">
        <v>15</v>
      </c>
      <c r="U47" s="9">
        <f>WORKDAY(Q47,T47,Feriados!$I$2:$I$22)</f>
        <v>45874</v>
      </c>
      <c r="V47" s="2">
        <f t="shared" si="6"/>
        <v>42</v>
      </c>
      <c r="W47" s="38">
        <f>IF(NETWORKDAYS(Q47,S47,Feriados!$I$2:$I$22)-1&gt;=0,NETWORKDAYS(Q47,S47,Feriados!$I$2:$I$22)-1,"NO APLICA")</f>
        <v>28</v>
      </c>
      <c r="X47" s="13">
        <f t="shared" ca="1" si="8"/>
        <v>-422</v>
      </c>
      <c r="Y47" s="3"/>
      <c r="Z47" s="2"/>
      <c r="AA47" s="85"/>
      <c r="AB47" s="88" t="s">
        <v>31</v>
      </c>
      <c r="AC47" s="3" t="s">
        <v>820</v>
      </c>
    </row>
    <row r="48" spans="1:30" s="60" customFormat="1" ht="28.5" hidden="1" x14ac:dyDescent="0.2">
      <c r="A48" s="105">
        <v>47</v>
      </c>
      <c r="B48" s="3">
        <v>31</v>
      </c>
      <c r="C48" s="36" t="str">
        <f>IF(ISERROR(VLOOKUP(I48,[1]DEP!$B$3:$E$583,1,FALSE)),"NO","SI")</f>
        <v>NO</v>
      </c>
      <c r="D48" s="2" t="str">
        <f>IF(ISERROR(VLOOKUP(I48,[2]FRG!$S$19:$U$288,1,FALSE)),"NO","SI")</f>
        <v>NO</v>
      </c>
      <c r="E48" s="2" t="str">
        <f>IF(ISERROR(VLOOKUP(I48,'[4]ARI 26 C33'!$C$1:$D$490,1,FALSE)),"NO","SI")</f>
        <v>SI</v>
      </c>
      <c r="F48" s="2" t="s">
        <v>45</v>
      </c>
      <c r="G48" s="2" t="s">
        <v>61</v>
      </c>
      <c r="H48" s="2" t="s">
        <v>15</v>
      </c>
      <c r="I48" s="7">
        <v>40064856</v>
      </c>
      <c r="J48" s="3" t="s">
        <v>722</v>
      </c>
      <c r="K48" s="3">
        <v>920256000</v>
      </c>
      <c r="L48" s="2" t="s">
        <v>49</v>
      </c>
      <c r="M48" s="15" t="s">
        <v>62</v>
      </c>
      <c r="N48" s="10">
        <v>45860</v>
      </c>
      <c r="O48" s="10">
        <v>45902</v>
      </c>
      <c r="P48" s="37">
        <f>IF(NETWORKDAYS(N48,O48,Feriados!$I$2:$I$22)-1&gt;=0,NETWORKDAYS(N48,O48,Feriados!$I$2:$I$22)-1,"NO APLICA")</f>
        <v>29</v>
      </c>
      <c r="Q48" s="10">
        <v>45940</v>
      </c>
      <c r="R48" s="9">
        <f t="shared" si="5"/>
        <v>45955</v>
      </c>
      <c r="S48" s="43">
        <v>45959</v>
      </c>
      <c r="T48" s="2">
        <v>15</v>
      </c>
      <c r="U48" s="9">
        <f>WORKDAY(Q48,T48,Feriados!$I$2:$I$22)</f>
        <v>45964</v>
      </c>
      <c r="V48" s="2">
        <f t="shared" si="6"/>
        <v>19</v>
      </c>
      <c r="W48" s="38">
        <f>IF(NETWORKDAYS(Q48,S48,Feriados!$I$2:$I$22)-1&gt;=0,NETWORKDAYS(Q48,S48,Feriados!$I$2:$I$22)-1,"NO APLICA")</f>
        <v>13</v>
      </c>
      <c r="X48" s="13">
        <f t="shared" ca="1" si="8"/>
        <v>-332</v>
      </c>
      <c r="Y48" s="3" t="s">
        <v>782</v>
      </c>
      <c r="Z48" s="2" t="s">
        <v>155</v>
      </c>
      <c r="AA48" s="85"/>
      <c r="AB48" s="88" t="s">
        <v>31</v>
      </c>
      <c r="AC48" s="3" t="s">
        <v>366</v>
      </c>
      <c r="AD48" s="121"/>
    </row>
    <row r="49" spans="1:29" s="60" customFormat="1" ht="28.5" hidden="1" x14ac:dyDescent="0.2">
      <c r="A49" s="105">
        <v>48</v>
      </c>
      <c r="B49" s="3">
        <v>31</v>
      </c>
      <c r="C49" s="36" t="str">
        <f>IF(ISERROR(VLOOKUP(I49,[1]DEP!$B$3:$E$583,1,FALSE)),"NO","SI")</f>
        <v>NO</v>
      </c>
      <c r="D49" s="2" t="str">
        <f>IF(ISERROR(VLOOKUP(I49,[2]FRG!$S$19:$U$288,1,FALSE)),"NO","SI")</f>
        <v>NO</v>
      </c>
      <c r="E49" s="2" t="str">
        <f>IF(ISERROR(VLOOKUP(I49,'[4]ARI 26 C33'!$C$1:$D$490,1,FALSE)),"NO","SI")</f>
        <v>SI</v>
      </c>
      <c r="F49" s="2" t="s">
        <v>42</v>
      </c>
      <c r="G49" s="2" t="s">
        <v>71</v>
      </c>
      <c r="H49" s="2" t="s">
        <v>20</v>
      </c>
      <c r="I49" s="7">
        <v>40071828</v>
      </c>
      <c r="J49" s="3" t="s">
        <v>723</v>
      </c>
      <c r="K49" s="3">
        <v>1002049000</v>
      </c>
      <c r="L49" s="2" t="s">
        <v>49</v>
      </c>
      <c r="M49" s="15" t="s">
        <v>62</v>
      </c>
      <c r="N49" s="10">
        <v>45891</v>
      </c>
      <c r="O49" s="10">
        <v>45896</v>
      </c>
      <c r="P49" s="37">
        <f>IF(NETWORKDAYS(N49,O49,Feriados!$I$2:$I$22)-1&gt;=0,NETWORKDAYS(N49,O49,Feriados!$I$2:$I$22)-1,"NO APLICA")</f>
        <v>3</v>
      </c>
      <c r="Q49" s="10">
        <v>45930</v>
      </c>
      <c r="R49" s="9">
        <f t="shared" si="5"/>
        <v>45945</v>
      </c>
      <c r="S49" s="43">
        <v>45896</v>
      </c>
      <c r="T49" s="2">
        <v>15</v>
      </c>
      <c r="U49" s="9">
        <f>WORKDAY(Q49,T49,Feriados!$I$2:$I$22)</f>
        <v>45951</v>
      </c>
      <c r="V49" s="2">
        <f t="shared" si="6"/>
        <v>-34</v>
      </c>
      <c r="W49" s="38" t="str">
        <f>IF(NETWORKDAYS(Q49,S49,Feriados!$I$2:$I$22)-1&gt;=0,NETWORKDAYS(Q49,S49,Feriados!$I$2:$I$22)-1,"NO APLICA")</f>
        <v>NO APLICA</v>
      </c>
      <c r="X49" s="13">
        <f t="shared" ca="1" si="8"/>
        <v>-345</v>
      </c>
      <c r="Y49" s="3" t="s">
        <v>783</v>
      </c>
      <c r="Z49" s="2" t="s">
        <v>154</v>
      </c>
      <c r="AA49" s="85"/>
      <c r="AB49" s="88" t="s">
        <v>31</v>
      </c>
      <c r="AC49" s="3" t="s">
        <v>366</v>
      </c>
    </row>
    <row r="50" spans="1:29" s="60" customFormat="1" ht="28.5" hidden="1" x14ac:dyDescent="0.2">
      <c r="A50" s="105">
        <v>49</v>
      </c>
      <c r="B50" s="3">
        <v>29</v>
      </c>
      <c r="C50" s="36" t="str">
        <f>IF(ISERROR(VLOOKUP(I50,[1]DEP!$B$3:$E$583,1,FALSE)),"NO","SI")</f>
        <v>NO</v>
      </c>
      <c r="D50" s="2" t="str">
        <f>IF(ISERROR(VLOOKUP(I50,[2]FRG!$S$19:$U$288,1,FALSE)),"NO","SI")</f>
        <v>NO</v>
      </c>
      <c r="E50" s="2" t="str">
        <f>IF(ISERROR(VLOOKUP(I50,'[4]ARI 26 C33'!$C$1:$D$490,1,FALSE)),"NO","SI")</f>
        <v>SI</v>
      </c>
      <c r="F50" s="2" t="s">
        <v>42</v>
      </c>
      <c r="G50" s="2" t="s">
        <v>725</v>
      </c>
      <c r="H50" s="2" t="s">
        <v>726</v>
      </c>
      <c r="I50" s="7">
        <v>40073026</v>
      </c>
      <c r="J50" s="3" t="s">
        <v>724</v>
      </c>
      <c r="K50" s="3">
        <v>346338000</v>
      </c>
      <c r="L50" s="2" t="s">
        <v>49</v>
      </c>
      <c r="M50" s="15" t="s">
        <v>62</v>
      </c>
      <c r="N50" s="10">
        <v>45860</v>
      </c>
      <c r="O50" s="10">
        <v>45894</v>
      </c>
      <c r="P50" s="37">
        <f>IF(NETWORKDAYS(N50,O50,Feriados!$I$2:$I$22)-1&gt;=0,NETWORKDAYS(N50,O50,Feriados!$I$2:$I$22)-1,"NO APLICA")</f>
        <v>23</v>
      </c>
      <c r="Q50" s="10">
        <v>45947</v>
      </c>
      <c r="R50" s="9">
        <f t="shared" si="5"/>
        <v>45962</v>
      </c>
      <c r="S50" s="43">
        <v>45959</v>
      </c>
      <c r="T50" s="2">
        <v>15</v>
      </c>
      <c r="U50" s="9">
        <f>WORKDAY(Q50,T50,Feriados!$I$2:$I$22)</f>
        <v>45971</v>
      </c>
      <c r="V50" s="2">
        <f t="shared" si="6"/>
        <v>12</v>
      </c>
      <c r="W50" s="38">
        <f>IF(NETWORKDAYS(Q50,S50,Feriados!$I$2:$I$22)-1&gt;=0,NETWORKDAYS(Q50,S50,Feriados!$I$2:$I$22)-1,"NO APLICA")</f>
        <v>8</v>
      </c>
      <c r="X50" s="13">
        <f t="shared" ca="1" si="8"/>
        <v>-325</v>
      </c>
      <c r="Y50" s="3" t="s">
        <v>775</v>
      </c>
      <c r="Z50" s="2"/>
      <c r="AA50" s="85"/>
      <c r="AB50" s="88" t="s">
        <v>31</v>
      </c>
      <c r="AC50" s="3" t="s">
        <v>366</v>
      </c>
    </row>
    <row r="51" spans="1:29" s="60" customFormat="1" ht="28.5" hidden="1" x14ac:dyDescent="0.2">
      <c r="A51" s="105">
        <v>50</v>
      </c>
      <c r="B51" s="3">
        <v>29</v>
      </c>
      <c r="C51" s="36" t="str">
        <f>IF(ISERROR(VLOOKUP(I51,[1]DEP!$B$3:$E$583,1,FALSE)),"NO","SI")</f>
        <v>NO</v>
      </c>
      <c r="D51" s="2" t="str">
        <f>IF(ISERROR(VLOOKUP(I51,[2]FRG!$S$19:$U$288,1,FALSE)),"NO","SI")</f>
        <v>NO</v>
      </c>
      <c r="E51" s="2" t="str">
        <f>IF(ISERROR(VLOOKUP(I51,'[4]ARI 26 C33'!$C$1:$D$490,1,FALSE)),"NO","SI")</f>
        <v>NO</v>
      </c>
      <c r="F51" s="2" t="s">
        <v>45</v>
      </c>
      <c r="G51" s="2" t="s">
        <v>73</v>
      </c>
      <c r="H51" s="2" t="s">
        <v>14</v>
      </c>
      <c r="I51" s="7">
        <v>40072628</v>
      </c>
      <c r="J51" s="3" t="s">
        <v>727</v>
      </c>
      <c r="K51" s="3">
        <v>757658000</v>
      </c>
      <c r="L51" s="2" t="s">
        <v>49</v>
      </c>
      <c r="M51" s="15" t="s">
        <v>62</v>
      </c>
      <c r="N51" s="10">
        <v>45862</v>
      </c>
      <c r="O51" s="10">
        <v>45905</v>
      </c>
      <c r="P51" s="37">
        <f>IF(NETWORKDAYS(N51,O51,Feriados!$I$2:$I$22)-1&gt;=0,NETWORKDAYS(N51,O51,Feriados!$I$2:$I$22)-1,"NO APLICA")</f>
        <v>30</v>
      </c>
      <c r="Q51" s="10">
        <v>45960</v>
      </c>
      <c r="R51" s="9">
        <f t="shared" si="5"/>
        <v>45975</v>
      </c>
      <c r="S51" s="43">
        <v>45971</v>
      </c>
      <c r="T51" s="2">
        <v>15</v>
      </c>
      <c r="U51" s="9">
        <f>WORKDAY(Q51,T51,Feriados!$I$2:$I$22)</f>
        <v>45982</v>
      </c>
      <c r="V51" s="2">
        <f t="shared" si="6"/>
        <v>11</v>
      </c>
      <c r="W51" s="38">
        <f>IF(NETWORKDAYS(Q51,S51,Feriados!$I$2:$I$22)-1&gt;=0,NETWORKDAYS(Q51,S51,Feriados!$I$2:$I$22)-1,"NO APLICA")</f>
        <v>6</v>
      </c>
      <c r="X51" s="13">
        <f t="shared" ca="1" si="8"/>
        <v>-314</v>
      </c>
      <c r="Y51" s="3" t="s">
        <v>788</v>
      </c>
      <c r="Z51" s="2" t="s">
        <v>157</v>
      </c>
      <c r="AA51" s="85"/>
      <c r="AB51" s="88" t="s">
        <v>31</v>
      </c>
      <c r="AC51" s="3" t="s">
        <v>366</v>
      </c>
    </row>
    <row r="52" spans="1:29" s="60" customFormat="1" ht="28.5" x14ac:dyDescent="0.2">
      <c r="A52" s="105">
        <v>51</v>
      </c>
      <c r="B52" s="3">
        <v>31</v>
      </c>
      <c r="C52" s="36" t="str">
        <f>IF(ISERROR(VLOOKUP(I52,[1]DEP!$B$3:$E$583,1,FALSE)),"NO","SI")</f>
        <v>NO</v>
      </c>
      <c r="D52" s="2" t="str">
        <f>IF(ISERROR(VLOOKUP(I52,[2]FRG!$S$19:$U$288,1,FALSE)),"NO","SI")</f>
        <v>NO</v>
      </c>
      <c r="E52" s="2" t="str">
        <f>IF(ISERROR(VLOOKUP(I52,'[4]ARI 26 C33'!$C$1:$D$490,1,FALSE)),"NO","SI")</f>
        <v>SI</v>
      </c>
      <c r="F52" s="2" t="s">
        <v>45</v>
      </c>
      <c r="G52" s="2" t="s">
        <v>51</v>
      </c>
      <c r="H52" s="2" t="s">
        <v>11</v>
      </c>
      <c r="I52" s="7">
        <v>40072266</v>
      </c>
      <c r="J52" s="3" t="s">
        <v>728</v>
      </c>
      <c r="K52" s="3">
        <v>1602366000</v>
      </c>
      <c r="L52" s="2" t="s">
        <v>49</v>
      </c>
      <c r="M52" s="15" t="s">
        <v>62</v>
      </c>
      <c r="N52" s="10">
        <v>45863</v>
      </c>
      <c r="O52" s="10">
        <v>45908</v>
      </c>
      <c r="P52" s="37">
        <f>IF(NETWORKDAYS(N52,O52,Feriados!$I$2:$I$22)-1&gt;=0,NETWORKDAYS(N52,O52,Feriados!$I$2:$I$22)-1,"NO APLICA")</f>
        <v>30</v>
      </c>
      <c r="Q52" s="10">
        <v>45959</v>
      </c>
      <c r="R52" s="9">
        <f t="shared" si="5"/>
        <v>45974</v>
      </c>
      <c r="S52" s="43">
        <v>45968</v>
      </c>
      <c r="T52" s="2">
        <v>15</v>
      </c>
      <c r="U52" s="9">
        <f>WORKDAY(Q52,T52,Feriados!$I$2:$I$22)</f>
        <v>45981</v>
      </c>
      <c r="V52" s="2">
        <f t="shared" si="6"/>
        <v>9</v>
      </c>
      <c r="W52" s="38">
        <f>IF(NETWORKDAYS(Q52,S52,Feriados!$I$2:$I$22)-1&gt;=0,NETWORKDAYS(Q52,S52,Feriados!$I$2:$I$22)-1,"NO APLICA")</f>
        <v>6</v>
      </c>
      <c r="X52" s="13">
        <f t="shared" ca="1" si="8"/>
        <v>-315</v>
      </c>
      <c r="Y52" s="3" t="s">
        <v>772</v>
      </c>
      <c r="Z52" s="2"/>
      <c r="AA52" s="85"/>
      <c r="AB52" s="88" t="s">
        <v>31</v>
      </c>
      <c r="AC52" s="3" t="s">
        <v>757</v>
      </c>
    </row>
    <row r="53" spans="1:29" s="60" customFormat="1" ht="28.5" hidden="1" x14ac:dyDescent="0.2">
      <c r="A53" s="105">
        <v>52</v>
      </c>
      <c r="B53" s="3">
        <v>29</v>
      </c>
      <c r="C53" s="36" t="str">
        <f>IF(ISERROR(VLOOKUP(I53,[1]DEP!$B$3:$E$583,1,FALSE)),"NO","SI")</f>
        <v>SI</v>
      </c>
      <c r="D53" s="2" t="str">
        <f>IF(ISERROR(VLOOKUP(I53,[2]FRG!$S$19:$U$288,1,FALSE)),"NO","SI")</f>
        <v>NO</v>
      </c>
      <c r="E53" s="2" t="str">
        <f>IF(ISERROR(VLOOKUP(I53,'[4]ARI 26 C33'!$C$1:$D$490,1,FALSE)),"NO","SI")</f>
        <v>SI</v>
      </c>
      <c r="F53" s="2" t="s">
        <v>568</v>
      </c>
      <c r="G53" s="2" t="s">
        <v>56</v>
      </c>
      <c r="H53" s="2" t="s">
        <v>13</v>
      </c>
      <c r="I53" s="7">
        <v>40043567</v>
      </c>
      <c r="J53" s="3" t="s">
        <v>729</v>
      </c>
      <c r="K53" s="3"/>
      <c r="L53" s="2" t="s">
        <v>49</v>
      </c>
      <c r="M53" s="15" t="s">
        <v>685</v>
      </c>
      <c r="N53" s="10">
        <v>45863</v>
      </c>
      <c r="O53" s="10">
        <v>45910</v>
      </c>
      <c r="P53" s="37">
        <f>IF(NETWORKDAYS(N53,O53,Feriados!$I$2:$I$22)-1&gt;=0,NETWORKDAYS(N53,O53,Feriados!$I$2:$I$22)-1,"NO APLICA")</f>
        <v>32</v>
      </c>
      <c r="Q53" s="10">
        <v>45863</v>
      </c>
      <c r="R53" s="9">
        <f t="shared" si="5"/>
        <v>45878</v>
      </c>
      <c r="S53" s="43">
        <v>45910</v>
      </c>
      <c r="T53" s="2">
        <v>15</v>
      </c>
      <c r="U53" s="9">
        <f>WORKDAY(Q53,T53,Feriados!$I$2:$I$22)</f>
        <v>45887</v>
      </c>
      <c r="V53" s="2">
        <f t="shared" si="6"/>
        <v>47</v>
      </c>
      <c r="W53" s="38">
        <f>IF(NETWORKDAYS(Q53,S53,Feriados!$I$2:$I$22)-1&gt;=0,NETWORKDAYS(Q53,S53,Feriados!$I$2:$I$22)-1,"NO APLICA")</f>
        <v>32</v>
      </c>
      <c r="X53" s="13">
        <f t="shared" ca="1" si="8"/>
        <v>-409</v>
      </c>
      <c r="Y53" s="3"/>
      <c r="Z53" s="2"/>
      <c r="AA53" s="85"/>
      <c r="AB53" s="88" t="s">
        <v>31</v>
      </c>
      <c r="AC53" s="3" t="s">
        <v>366</v>
      </c>
    </row>
    <row r="54" spans="1:29" s="60" customFormat="1" ht="28.5" x14ac:dyDescent="0.2">
      <c r="A54" s="105">
        <v>53</v>
      </c>
      <c r="B54" s="3">
        <v>29</v>
      </c>
      <c r="C54" s="36" t="str">
        <f>IF(ISERROR(VLOOKUP(I54,[1]DEP!$B$3:$E$583,1,FALSE)),"NO","SI")</f>
        <v>NO</v>
      </c>
      <c r="D54" s="2" t="str">
        <f>IF(ISERROR(VLOOKUP(I54,[2]FRG!$S$19:$U$288,1,FALSE)),"NO","SI")</f>
        <v>NO</v>
      </c>
      <c r="E54" s="2" t="str">
        <f>IF(ISERROR(VLOOKUP(I54,'[4]ARI 26 C33'!$C$1:$D$490,1,FALSE)),"NO","SI")</f>
        <v>SI</v>
      </c>
      <c r="F54" s="2" t="s">
        <v>42</v>
      </c>
      <c r="G54" s="2" t="s">
        <v>71</v>
      </c>
      <c r="H54" s="2" t="s">
        <v>20</v>
      </c>
      <c r="I54" s="7">
        <v>40062700</v>
      </c>
      <c r="J54" s="3" t="s">
        <v>730</v>
      </c>
      <c r="K54" s="3">
        <v>159900000</v>
      </c>
      <c r="L54" s="2" t="s">
        <v>49</v>
      </c>
      <c r="M54" s="15" t="s">
        <v>62</v>
      </c>
      <c r="N54" s="10">
        <v>45863</v>
      </c>
      <c r="O54" s="10">
        <v>45903</v>
      </c>
      <c r="P54" s="37">
        <f>IF(NETWORKDAYS(N54,O54,Feriados!$I$2:$I$22)-1&gt;=0,NETWORKDAYS(N54,O54,Feriados!$I$2:$I$22)-1,"NO APLICA")</f>
        <v>27</v>
      </c>
      <c r="Q54" s="10">
        <v>45940</v>
      </c>
      <c r="R54" s="9">
        <f t="shared" si="5"/>
        <v>45955</v>
      </c>
      <c r="S54" s="43">
        <v>45957</v>
      </c>
      <c r="T54" s="2">
        <v>15</v>
      </c>
      <c r="U54" s="9">
        <f>WORKDAY(Q54,T54,Feriados!$I$2:$I$22)</f>
        <v>45964</v>
      </c>
      <c r="V54" s="2">
        <f t="shared" si="6"/>
        <v>17</v>
      </c>
      <c r="W54" s="38">
        <f>IF(NETWORKDAYS(Q54,S54,Feriados!$I$2:$I$22)-1&gt;=0,NETWORKDAYS(Q54,S54,Feriados!$I$2:$I$22)-1,"NO APLICA")</f>
        <v>11</v>
      </c>
      <c r="X54" s="13">
        <f t="shared" ca="1" si="8"/>
        <v>-332</v>
      </c>
      <c r="Y54" s="3" t="s">
        <v>784</v>
      </c>
      <c r="Z54" s="2" t="s">
        <v>164</v>
      </c>
      <c r="AA54" s="85"/>
      <c r="AB54" s="88" t="s">
        <v>31</v>
      </c>
      <c r="AC54" s="3" t="s">
        <v>757</v>
      </c>
    </row>
    <row r="55" spans="1:29" s="60" customFormat="1" ht="28.5" hidden="1" x14ac:dyDescent="0.2">
      <c r="A55" s="105">
        <v>54</v>
      </c>
      <c r="B55" s="3">
        <v>29</v>
      </c>
      <c r="C55" s="36" t="str">
        <f>IF(ISERROR(VLOOKUP(I55,[1]DEP!$B$3:$E$583,1,FALSE)),"NO","SI")</f>
        <v>NO</v>
      </c>
      <c r="D55" s="2" t="str">
        <f>IF(ISERROR(VLOOKUP(I55,[2]FRG!$S$19:$U$288,1,FALSE)),"NO","SI")</f>
        <v>NO</v>
      </c>
      <c r="E55" s="2" t="str">
        <f>IF(ISERROR(VLOOKUP(I55,'[4]ARI 26 C33'!$C$1:$D$490,1,FALSE)),"NO","SI")</f>
        <v>SI</v>
      </c>
      <c r="F55" s="2" t="s">
        <v>45</v>
      </c>
      <c r="G55" s="2" t="s">
        <v>51</v>
      </c>
      <c r="H55" s="2" t="s">
        <v>11</v>
      </c>
      <c r="I55" s="7">
        <v>40070609</v>
      </c>
      <c r="J55" s="3" t="s">
        <v>732</v>
      </c>
      <c r="K55" s="3">
        <v>330939000</v>
      </c>
      <c r="L55" s="2" t="s">
        <v>49</v>
      </c>
      <c r="M55" s="15" t="s">
        <v>62</v>
      </c>
      <c r="N55" s="10">
        <v>45870</v>
      </c>
      <c r="O55" s="10">
        <v>45908</v>
      </c>
      <c r="P55" s="37">
        <f>IF(NETWORKDAYS(N55,O55,Feriados!$I$2:$I$22)-1&gt;=0,NETWORKDAYS(N55,O55,Feriados!$I$2:$I$22)-1,"NO APLICA")</f>
        <v>25</v>
      </c>
      <c r="Q55" s="10">
        <v>45939</v>
      </c>
      <c r="R55" s="9">
        <f t="shared" si="5"/>
        <v>45954</v>
      </c>
      <c r="S55" s="43">
        <v>45958</v>
      </c>
      <c r="T55" s="2">
        <v>15</v>
      </c>
      <c r="U55" s="9">
        <f>WORKDAY(Q55,T55,Feriados!$I$2:$I$22)</f>
        <v>45960</v>
      </c>
      <c r="V55" s="2">
        <f t="shared" si="6"/>
        <v>19</v>
      </c>
      <c r="W55" s="38">
        <f>IF(NETWORKDAYS(Q55,S55,Feriados!$I$2:$I$22)-1&gt;=0,NETWORKDAYS(Q55,S55,Feriados!$I$2:$I$22)-1,"NO APLICA")</f>
        <v>13</v>
      </c>
      <c r="X55" s="13">
        <f t="shared" ca="1" si="8"/>
        <v>-336</v>
      </c>
      <c r="Y55" s="3" t="s">
        <v>785</v>
      </c>
      <c r="Z55" s="2" t="s">
        <v>338</v>
      </c>
      <c r="AA55" s="85"/>
      <c r="AB55" s="88" t="s">
        <v>31</v>
      </c>
      <c r="AC55" s="3" t="s">
        <v>786</v>
      </c>
    </row>
    <row r="56" spans="1:29" s="60" customFormat="1" ht="28.5" hidden="1" x14ac:dyDescent="0.2">
      <c r="A56" s="105">
        <v>55</v>
      </c>
      <c r="B56" s="3">
        <v>29</v>
      </c>
      <c r="C56" s="36" t="str">
        <f>IF(ISERROR(VLOOKUP(I56,[1]DEP!$B$3:$E$583,1,FALSE)),"NO","SI")</f>
        <v>NO</v>
      </c>
      <c r="D56" s="2" t="str">
        <f>IF(ISERROR(VLOOKUP(I56,[2]FRG!$S$19:$U$288,1,FALSE)),"NO","SI")</f>
        <v>NO</v>
      </c>
      <c r="E56" s="2" t="str">
        <f>IF(ISERROR(VLOOKUP(I56,'[4]ARI 26 C33'!$C$1:$D$490,1,FALSE)),"NO","SI")</f>
        <v>NO</v>
      </c>
      <c r="F56" s="2" t="s">
        <v>42</v>
      </c>
      <c r="G56" s="2" t="s">
        <v>68</v>
      </c>
      <c r="H56" s="2" t="s">
        <v>21</v>
      </c>
      <c r="I56" s="7">
        <v>40074688</v>
      </c>
      <c r="J56" s="3" t="s">
        <v>733</v>
      </c>
      <c r="K56" s="3"/>
      <c r="L56" s="2" t="s">
        <v>49</v>
      </c>
      <c r="M56" s="15" t="s">
        <v>685</v>
      </c>
      <c r="N56" s="10">
        <v>45874</v>
      </c>
      <c r="O56" s="10">
        <v>45911</v>
      </c>
      <c r="P56" s="37">
        <f>IF(NETWORKDAYS(N56,O56,Feriados!$I$2:$I$22)-1&gt;=0,NETWORKDAYS(N56,O56,Feriados!$I$2:$I$22)-1,"NO APLICA")</f>
        <v>26</v>
      </c>
      <c r="Q56" s="10">
        <v>45947</v>
      </c>
      <c r="R56" s="9">
        <f t="shared" si="5"/>
        <v>45962</v>
      </c>
      <c r="S56" s="43">
        <v>45987</v>
      </c>
      <c r="T56" s="2">
        <v>15</v>
      </c>
      <c r="U56" s="9">
        <f>WORKDAY(Q56,T56,Feriados!$I$2:$I$22)</f>
        <v>45971</v>
      </c>
      <c r="V56" s="2">
        <f t="shared" si="6"/>
        <v>40</v>
      </c>
      <c r="W56" s="38">
        <f>IF(NETWORKDAYS(Q56,S56,Feriados!$I$2:$I$22)-1&gt;=0,NETWORKDAYS(Q56,S56,Feriados!$I$2:$I$22)-1,"NO APLICA")</f>
        <v>27</v>
      </c>
      <c r="X56" s="13">
        <f t="shared" ca="1" si="8"/>
        <v>-325</v>
      </c>
      <c r="Y56" s="3"/>
      <c r="Z56" s="2"/>
      <c r="AA56" s="85"/>
      <c r="AB56" s="88" t="s">
        <v>31</v>
      </c>
      <c r="AC56" s="3" t="s">
        <v>820</v>
      </c>
    </row>
    <row r="57" spans="1:29" s="60" customFormat="1" ht="28.5" hidden="1" x14ac:dyDescent="0.2">
      <c r="A57" s="105">
        <v>56</v>
      </c>
      <c r="B57" s="3">
        <v>29</v>
      </c>
      <c r="C57" s="36" t="str">
        <f>IF(ISERROR(VLOOKUP(I57,[1]DEP!$B$3:$E$583,1,FALSE)),"NO","SI")</f>
        <v>NO</v>
      </c>
      <c r="D57" s="2" t="str">
        <f>IF(ISERROR(VLOOKUP(I57,[2]FRG!$S$19:$U$288,1,FALSE)),"NO","SI")</f>
        <v>NO</v>
      </c>
      <c r="E57" s="2" t="str">
        <f>IF(ISERROR(VLOOKUP(I57,'[4]ARI 26 C33'!$C$1:$D$490,1,FALSE)),"NO","SI")</f>
        <v>SI</v>
      </c>
      <c r="F57" s="2" t="s">
        <v>568</v>
      </c>
      <c r="G57" s="2" t="s">
        <v>0</v>
      </c>
      <c r="H57" s="2" t="s">
        <v>18</v>
      </c>
      <c r="I57" s="7">
        <v>40071472</v>
      </c>
      <c r="J57" s="3" t="s">
        <v>734</v>
      </c>
      <c r="K57" s="3">
        <v>812313000</v>
      </c>
      <c r="L57" s="2" t="s">
        <v>49</v>
      </c>
      <c r="M57" s="15" t="s">
        <v>62</v>
      </c>
      <c r="N57" s="10">
        <v>45880</v>
      </c>
      <c r="O57" s="10">
        <v>45915</v>
      </c>
      <c r="P57" s="37">
        <f>IF(NETWORKDAYS(N57,O57,Feriados!$I$2:$I$22)-1&gt;=0,NETWORKDAYS(N57,O57,Feriados!$I$2:$I$22)-1,"NO APLICA")</f>
        <v>24</v>
      </c>
      <c r="Q57" s="10">
        <v>45946</v>
      </c>
      <c r="R57" s="9">
        <f t="shared" si="5"/>
        <v>45961</v>
      </c>
      <c r="S57" s="43">
        <v>45915</v>
      </c>
      <c r="T57" s="2">
        <v>15</v>
      </c>
      <c r="U57" s="9">
        <f>WORKDAY(Q57,T57,Feriados!$I$2:$I$22)</f>
        <v>45968</v>
      </c>
      <c r="V57" s="2">
        <f t="shared" si="6"/>
        <v>-31</v>
      </c>
      <c r="W57" s="38" t="str">
        <f>IF(NETWORKDAYS(Q57,S57,Feriados!$I$2:$I$22)-1&gt;=0,NETWORKDAYS(Q57,S57,Feriados!$I$2:$I$22)-1,"NO APLICA")</f>
        <v>NO APLICA</v>
      </c>
      <c r="X57" s="13">
        <f t="shared" ca="1" si="8"/>
        <v>-328</v>
      </c>
      <c r="Y57" s="3" t="s">
        <v>787</v>
      </c>
      <c r="Z57" s="2" t="s">
        <v>157</v>
      </c>
      <c r="AA57" s="85"/>
      <c r="AB57" s="88" t="s">
        <v>31</v>
      </c>
      <c r="AC57" s="3" t="s">
        <v>366</v>
      </c>
    </row>
    <row r="58" spans="1:29" s="60" customFormat="1" ht="28.5" hidden="1" x14ac:dyDescent="0.2">
      <c r="A58" s="105">
        <v>57</v>
      </c>
      <c r="B58" s="3">
        <v>29</v>
      </c>
      <c r="C58" s="36" t="str">
        <f>IF(ISERROR(VLOOKUP(I58,[1]DEP!$B$3:$E$583,1,FALSE)),"NO","SI")</f>
        <v>NO</v>
      </c>
      <c r="D58" s="2" t="str">
        <f>IF(ISERROR(VLOOKUP(I58,[2]FRG!$S$19:$U$288,1,FALSE)),"NO","SI")</f>
        <v>NO</v>
      </c>
      <c r="E58" s="2" t="str">
        <f>IF(ISERROR(VLOOKUP(I58,'[4]ARI 26 C33'!$C$1:$D$490,1,FALSE)),"NO","SI")</f>
        <v>NO</v>
      </c>
      <c r="F58" s="2" t="s">
        <v>42</v>
      </c>
      <c r="G58" s="2" t="s">
        <v>738</v>
      </c>
      <c r="H58" s="2" t="s">
        <v>26</v>
      </c>
      <c r="I58" s="7">
        <v>40074484</v>
      </c>
      <c r="J58" s="49" t="s">
        <v>737</v>
      </c>
      <c r="K58" s="3"/>
      <c r="L58" s="2" t="s">
        <v>49</v>
      </c>
      <c r="M58" s="15" t="s">
        <v>685</v>
      </c>
      <c r="N58" s="10">
        <v>45881</v>
      </c>
      <c r="O58" s="10">
        <v>45930</v>
      </c>
      <c r="P58" s="37">
        <f>IF(NETWORKDAYS(N58,O58,Feriados!$I$2:$I$22)-1&gt;=0,NETWORKDAYS(N58,O58,Feriados!$I$2:$I$22)-1,"NO APLICA")</f>
        <v>32</v>
      </c>
      <c r="Q58" s="10">
        <v>45881</v>
      </c>
      <c r="R58" s="9">
        <f t="shared" si="5"/>
        <v>45896</v>
      </c>
      <c r="S58" s="43">
        <v>45930</v>
      </c>
      <c r="T58" s="2">
        <v>15</v>
      </c>
      <c r="U58" s="9">
        <f>WORKDAY(Q58,T58,Feriados!$I$2:$I$22)</f>
        <v>45903</v>
      </c>
      <c r="V58" s="2">
        <f t="shared" si="6"/>
        <v>49</v>
      </c>
      <c r="W58" s="38">
        <f>IF(NETWORKDAYS(Q58,S58,Feriados!$I$2:$I$22)-1&gt;=0,NETWORKDAYS(Q58,S58,Feriados!$I$2:$I$22)-1,"NO APLICA")</f>
        <v>32</v>
      </c>
      <c r="X58" s="13">
        <f t="shared" ca="1" si="8"/>
        <v>-393</v>
      </c>
      <c r="Y58" s="3"/>
      <c r="Z58" s="2"/>
      <c r="AA58" s="85"/>
      <c r="AB58" s="88" t="s">
        <v>31</v>
      </c>
      <c r="AC58" s="3" t="s">
        <v>542</v>
      </c>
    </row>
    <row r="59" spans="1:29" s="60" customFormat="1" ht="28.5" hidden="1" x14ac:dyDescent="0.2">
      <c r="A59" s="105">
        <v>58</v>
      </c>
      <c r="B59" s="3">
        <v>29</v>
      </c>
      <c r="C59" s="36" t="str">
        <f>IF(ISERROR(VLOOKUP(I59,[1]DEP!$B$3:$E$583,1,FALSE)),"NO","SI")</f>
        <v>NO</v>
      </c>
      <c r="D59" s="2" t="str">
        <f>IF(ISERROR(VLOOKUP(I59,[2]FRG!$S$19:$U$288,1,FALSE)),"NO","SI")</f>
        <v>NO</v>
      </c>
      <c r="E59" s="2" t="str">
        <f>IF(ISERROR(VLOOKUP(I59,'[4]ARI 26 C33'!$C$1:$D$490,1,FALSE)),"NO","SI")</f>
        <v>SI</v>
      </c>
      <c r="F59" s="2" t="s">
        <v>42</v>
      </c>
      <c r="G59" s="2" t="s">
        <v>740</v>
      </c>
      <c r="H59" s="2" t="s">
        <v>741</v>
      </c>
      <c r="I59" s="7">
        <v>40072947</v>
      </c>
      <c r="J59" s="3" t="s">
        <v>739</v>
      </c>
      <c r="K59" s="3"/>
      <c r="L59" s="2" t="s">
        <v>49</v>
      </c>
      <c r="M59" s="15" t="s">
        <v>685</v>
      </c>
      <c r="N59" s="10">
        <v>45887</v>
      </c>
      <c r="O59" s="10">
        <v>45922</v>
      </c>
      <c r="P59" s="37">
        <f>IF(NETWORKDAYS(N59,O59,Feriados!$I$2:$I$22)-1&gt;=0,NETWORKDAYS(N59,O59,Feriados!$I$2:$I$22)-1,"NO APLICA")</f>
        <v>23</v>
      </c>
      <c r="Q59" s="10">
        <v>45887</v>
      </c>
      <c r="R59" s="9">
        <f t="shared" si="5"/>
        <v>45902</v>
      </c>
      <c r="S59" s="43">
        <v>45922</v>
      </c>
      <c r="T59" s="2">
        <v>15</v>
      </c>
      <c r="U59" s="9">
        <f>WORKDAY(Q59,T59,Feriados!$I$2:$I$22)</f>
        <v>45908</v>
      </c>
      <c r="V59" s="2">
        <f t="shared" si="6"/>
        <v>35</v>
      </c>
      <c r="W59" s="38">
        <f>IF(NETWORKDAYS(Q59,S59,Feriados!$I$2:$I$22)-1&gt;=0,NETWORKDAYS(Q59,S59,Feriados!$I$2:$I$22)-1,"NO APLICA")</f>
        <v>23</v>
      </c>
      <c r="X59" s="13">
        <f t="shared" ca="1" si="8"/>
        <v>-388</v>
      </c>
      <c r="Y59" s="3"/>
      <c r="Z59" s="2"/>
      <c r="AA59" s="85"/>
      <c r="AB59" s="88" t="s">
        <v>31</v>
      </c>
      <c r="AC59" s="3" t="s">
        <v>366</v>
      </c>
    </row>
    <row r="60" spans="1:29" s="60" customFormat="1" ht="28.5" hidden="1" x14ac:dyDescent="0.2">
      <c r="A60" s="105">
        <v>59</v>
      </c>
      <c r="B60" s="3">
        <v>31</v>
      </c>
      <c r="C60" s="36" t="str">
        <f>IF(ISERROR(VLOOKUP(I60,[1]DEP!$B$3:$E$583,1,FALSE)),"NO","SI")</f>
        <v>NO</v>
      </c>
      <c r="D60" s="2" t="str">
        <f>IF(ISERROR(VLOOKUP(I60,[2]FRG!$S$19:$U$288,1,FALSE)),"NO","SI")</f>
        <v>NO</v>
      </c>
      <c r="E60" s="2" t="str">
        <f>IF(ISERROR(VLOOKUP(I60,'[4]ARI 26 C33'!$C$1:$D$490,1,FALSE)),"NO","SI")</f>
        <v>SI</v>
      </c>
      <c r="F60" s="2" t="s">
        <v>42</v>
      </c>
      <c r="G60" s="2" t="s">
        <v>68</v>
      </c>
      <c r="H60" s="2" t="s">
        <v>21</v>
      </c>
      <c r="I60" s="7">
        <v>40070438</v>
      </c>
      <c r="J60" s="16" t="s">
        <v>791</v>
      </c>
      <c r="K60" s="3">
        <v>406477000</v>
      </c>
      <c r="L60" s="2" t="s">
        <v>49</v>
      </c>
      <c r="M60" s="15" t="s">
        <v>62</v>
      </c>
      <c r="N60" s="10">
        <v>45883</v>
      </c>
      <c r="O60" s="10">
        <v>45932</v>
      </c>
      <c r="P60" s="37">
        <f>IF(NETWORKDAYS(N60,O60,Feriados!$I$2:$I$22)-1&gt;=0,NETWORKDAYS(N60,O60,Feriados!$I$2:$I$22)-1,"NO APLICA")</f>
        <v>32</v>
      </c>
      <c r="Q60" s="10">
        <v>45959</v>
      </c>
      <c r="R60" s="9">
        <f t="shared" si="5"/>
        <v>45974</v>
      </c>
      <c r="S60" s="43">
        <v>45974</v>
      </c>
      <c r="T60" s="2">
        <v>15</v>
      </c>
      <c r="U60" s="9">
        <f>WORKDAY(Q60,T60,Feriados!$I$2:$I$22)</f>
        <v>45981</v>
      </c>
      <c r="V60" s="2">
        <f t="shared" si="6"/>
        <v>15</v>
      </c>
      <c r="W60" s="38">
        <f>IF(NETWORKDAYS(Q60,S60,Feriados!$I$2:$I$22)-1&gt;=0,NETWORKDAYS(Q60,S60,Feriados!$I$2:$I$22)-1,"NO APLICA")</f>
        <v>10</v>
      </c>
      <c r="X60" s="13">
        <f t="shared" ca="1" si="8"/>
        <v>-315</v>
      </c>
      <c r="Y60" s="3" t="s">
        <v>798</v>
      </c>
      <c r="Z60" s="2"/>
      <c r="AA60" s="85"/>
      <c r="AB60" s="88" t="s">
        <v>31</v>
      </c>
      <c r="AC60" s="3" t="s">
        <v>366</v>
      </c>
    </row>
    <row r="61" spans="1:29" ht="28.5" hidden="1" x14ac:dyDescent="0.2">
      <c r="A61" s="105">
        <v>60</v>
      </c>
      <c r="B61" s="2">
        <v>29</v>
      </c>
      <c r="C61" s="36" t="str">
        <f>IF(ISERROR(VLOOKUP(I61,[1]DEP!$B$3:$E$583,1,FALSE)),"NO","SI")</f>
        <v>NO</v>
      </c>
      <c r="D61" s="2" t="str">
        <f>IF(ISERROR(VLOOKUP(I61,[2]FRG!$S$19:$U$288,1,FALSE)),"NO","SI")</f>
        <v>SI</v>
      </c>
      <c r="E61" s="2" t="str">
        <f>IF(ISERROR(VLOOKUP(I61,'[4]ARI 26 C33'!$C$1:$D$490,1,FALSE)),"NO","SI")</f>
        <v>SI</v>
      </c>
      <c r="F61" s="2" t="s">
        <v>45</v>
      </c>
      <c r="G61" s="2" t="s">
        <v>60</v>
      </c>
      <c r="H61" s="2" t="s">
        <v>7</v>
      </c>
      <c r="I61" s="7">
        <v>30340925</v>
      </c>
      <c r="J61" s="16" t="s">
        <v>744</v>
      </c>
      <c r="K61" s="3">
        <v>650972000</v>
      </c>
      <c r="L61" s="2" t="s">
        <v>49</v>
      </c>
      <c r="M61" s="17" t="s">
        <v>62</v>
      </c>
      <c r="N61" s="10"/>
      <c r="O61" s="10"/>
      <c r="P61" s="37" t="str">
        <f>IF(NETWORKDAYS(N61,O61,Feriados!$I$2:$I$22)-1&gt;=0,NETWORKDAYS(N61,O61,Feriados!$I$2:$I$22)-1,"NO APLICA")</f>
        <v>NO APLICA</v>
      </c>
      <c r="Q61" s="10">
        <v>46009</v>
      </c>
      <c r="R61" s="9">
        <f t="shared" si="5"/>
        <v>46019</v>
      </c>
      <c r="S61" s="43">
        <v>46020</v>
      </c>
      <c r="T61" s="2">
        <v>10</v>
      </c>
      <c r="U61" s="9">
        <f>WORKDAY(Q61,T61,Feriados!$I$2:$I$22)</f>
        <v>46024</v>
      </c>
      <c r="V61" s="2">
        <f t="shared" si="6"/>
        <v>11</v>
      </c>
      <c r="W61" s="38">
        <f>IF(NETWORKDAYS(Q61,S61,Feriados!$I$2:$I$22)-1&gt;=0,NETWORKDAYS(Q61,S61,Feriados!$I$2:$I$22)-1,"NO APLICA")</f>
        <v>6</v>
      </c>
      <c r="X61" s="13">
        <f t="shared" ca="1" si="8"/>
        <v>-272</v>
      </c>
      <c r="Y61" s="2" t="s">
        <v>830</v>
      </c>
      <c r="Z61" s="2" t="s">
        <v>825</v>
      </c>
      <c r="AA61" s="3"/>
      <c r="AB61" s="87" t="s">
        <v>32</v>
      </c>
      <c r="AC61" s="3" t="s">
        <v>822</v>
      </c>
    </row>
    <row r="62" spans="1:29" ht="28.5" hidden="1" x14ac:dyDescent="0.2">
      <c r="A62" s="105">
        <v>61</v>
      </c>
      <c r="B62" s="2">
        <v>29</v>
      </c>
      <c r="C62" s="36" t="str">
        <f>IF(ISERROR(VLOOKUP(I62,[1]DEP!$B$3:$E$583,1,FALSE)),"NO","SI")</f>
        <v>SI</v>
      </c>
      <c r="D62" s="2" t="str">
        <f>IF(ISERROR(VLOOKUP(I62,[2]FRG!$S$19:$U$288,1,FALSE)),"NO","SI")</f>
        <v>SI</v>
      </c>
      <c r="E62" s="2" t="str">
        <f>IF(ISERROR(VLOOKUP(I62,'[4]ARI 26 C33'!$C$1:$D$490,1,FALSE)),"NO","SI")</f>
        <v>SI</v>
      </c>
      <c r="F62" s="2" t="s">
        <v>45</v>
      </c>
      <c r="G62" s="2" t="s">
        <v>70</v>
      </c>
      <c r="H62" s="2" t="s">
        <v>6</v>
      </c>
      <c r="I62" s="7">
        <v>40007939</v>
      </c>
      <c r="J62" s="3" t="s">
        <v>400</v>
      </c>
      <c r="K62" s="3"/>
      <c r="L62" s="2" t="s">
        <v>49</v>
      </c>
      <c r="M62" s="17" t="s">
        <v>760</v>
      </c>
      <c r="N62" s="10"/>
      <c r="O62" s="10"/>
      <c r="P62" s="37" t="str">
        <f>IF(NETWORKDAYS(N62,O62,Feriados!$I$2:$I$22)-1&gt;=0,NETWORKDAYS(N62,O62,Feriados!$I$2:$I$22)-1,"NO APLICA")</f>
        <v>NO APLICA</v>
      </c>
      <c r="Q62" s="10">
        <v>45939</v>
      </c>
      <c r="R62" s="9">
        <f t="shared" si="5"/>
        <v>45949</v>
      </c>
      <c r="S62" s="43">
        <v>45940</v>
      </c>
      <c r="T62" s="2">
        <v>10</v>
      </c>
      <c r="U62" s="9">
        <f>WORKDAY(Q62,T62,Feriados!$I$2:$I$22)</f>
        <v>45953</v>
      </c>
      <c r="V62" s="2">
        <f t="shared" si="6"/>
        <v>1</v>
      </c>
      <c r="W62" s="38">
        <f>IF(NETWORKDAYS(Q62,S62,Feriados!$I$2:$I$22)-1&gt;=0,NETWORKDAYS(Q62,S62,Feriados!$I$2:$I$22)-1,"NO APLICA")</f>
        <v>1</v>
      </c>
      <c r="X62" s="13">
        <f t="shared" ca="1" si="8"/>
        <v>-343</v>
      </c>
      <c r="Y62" s="2"/>
      <c r="Z62" s="2"/>
      <c r="AA62" s="3"/>
      <c r="AB62" s="87" t="s">
        <v>32</v>
      </c>
      <c r="AC62" s="3" t="s">
        <v>822</v>
      </c>
    </row>
    <row r="63" spans="1:29" s="60" customFormat="1" ht="28.5" hidden="1" x14ac:dyDescent="0.2">
      <c r="A63" s="105">
        <v>62</v>
      </c>
      <c r="B63" s="3">
        <v>29</v>
      </c>
      <c r="C63" s="36" t="str">
        <f>IF(ISERROR(VLOOKUP(I63,[1]DEP!$B$3:$E$583,1,FALSE)),"NO","SI")</f>
        <v>NO</v>
      </c>
      <c r="D63" s="2" t="str">
        <f>IF(ISERROR(VLOOKUP(I63,[2]FRG!$S$19:$U$288,1,FALSE)),"NO","SI")</f>
        <v>NO</v>
      </c>
      <c r="E63" s="2" t="str">
        <f>IF(ISERROR(VLOOKUP(I63,'[4]ARI 26 C33'!$C$1:$D$490,1,FALSE)),"NO","SI")</f>
        <v>SI</v>
      </c>
      <c r="F63" s="2" t="s">
        <v>568</v>
      </c>
      <c r="G63" s="2" t="s">
        <v>746</v>
      </c>
      <c r="H63" s="2" t="s">
        <v>405</v>
      </c>
      <c r="I63" s="7">
        <v>40072958</v>
      </c>
      <c r="J63" s="49" t="s">
        <v>745</v>
      </c>
      <c r="K63" s="3"/>
      <c r="L63" s="2" t="s">
        <v>49</v>
      </c>
      <c r="M63" s="15" t="s">
        <v>685</v>
      </c>
      <c r="N63" s="10">
        <v>45924</v>
      </c>
      <c r="O63" s="10">
        <v>45946</v>
      </c>
      <c r="P63" s="37">
        <f>IF(NETWORKDAYS(N63,O63,Feriados!$I$2:$I$22)-1&gt;=0,NETWORKDAYS(N63,O63,Feriados!$I$2:$I$22)-1,"NO APLICA")</f>
        <v>16</v>
      </c>
      <c r="Q63" s="10">
        <v>45924</v>
      </c>
      <c r="R63" s="9">
        <f t="shared" si="5"/>
        <v>45939</v>
      </c>
      <c r="S63" s="43">
        <v>45946</v>
      </c>
      <c r="T63" s="2">
        <v>15</v>
      </c>
      <c r="U63" s="9">
        <f>WORKDAY(Q63,T63,Feriados!$I$2:$I$22)</f>
        <v>45945</v>
      </c>
      <c r="V63" s="2">
        <f t="shared" si="6"/>
        <v>22</v>
      </c>
      <c r="W63" s="38">
        <f>IF(NETWORKDAYS(Q63,S63,Feriados!$I$2:$I$22)-1&gt;=0,NETWORKDAYS(Q63,S63,Feriados!$I$2:$I$22)-1,"NO APLICA")</f>
        <v>16</v>
      </c>
      <c r="X63" s="13">
        <f t="shared" ca="1" si="8"/>
        <v>-351</v>
      </c>
      <c r="Y63" s="3"/>
      <c r="Z63" s="2"/>
      <c r="AA63" s="85"/>
      <c r="AB63" s="88" t="s">
        <v>31</v>
      </c>
      <c r="AC63" s="3" t="s">
        <v>542</v>
      </c>
    </row>
    <row r="64" spans="1:29" ht="28.5" hidden="1" x14ac:dyDescent="0.2">
      <c r="A64" s="105">
        <v>63</v>
      </c>
      <c r="B64" s="2">
        <v>31</v>
      </c>
      <c r="C64" s="36" t="str">
        <f>IF(ISERROR(VLOOKUP(I64,[1]DEP!$B$3:$E$583,1,FALSE)),"NO","SI")</f>
        <v>NO</v>
      </c>
      <c r="D64" s="2" t="str">
        <f>IF(ISERROR(VLOOKUP(I64,[2]FRG!$S$19:$U$288,1,FALSE)),"NO","SI")</f>
        <v>SI</v>
      </c>
      <c r="E64" s="2" t="str">
        <f>IF(ISERROR(VLOOKUP(I64,'[4]ARI 26 C33'!$C$1:$D$490,1,FALSE)),"NO","SI")</f>
        <v>SI</v>
      </c>
      <c r="F64" s="2" t="s">
        <v>48</v>
      </c>
      <c r="G64" s="2" t="s">
        <v>394</v>
      </c>
      <c r="H64" s="2" t="s">
        <v>398</v>
      </c>
      <c r="I64" s="7">
        <v>40056911</v>
      </c>
      <c r="J64" s="3" t="s">
        <v>747</v>
      </c>
      <c r="K64" s="3">
        <v>693008000</v>
      </c>
      <c r="L64" s="2" t="s">
        <v>49</v>
      </c>
      <c r="M64" s="17" t="s">
        <v>62</v>
      </c>
      <c r="N64" s="10"/>
      <c r="O64" s="10"/>
      <c r="P64" s="37" t="str">
        <f>IF(NETWORKDAYS(N64,O64,Feriados!$I$2:$I$22)-1&gt;=0,NETWORKDAYS(N64,O64,Feriados!$I$2:$I$22)-1,"NO APLICA")</f>
        <v>NO APLICA</v>
      </c>
      <c r="Q64" s="10">
        <v>45923</v>
      </c>
      <c r="R64" s="9">
        <f t="shared" si="5"/>
        <v>45933</v>
      </c>
      <c r="S64" s="43">
        <v>45931</v>
      </c>
      <c r="T64" s="2">
        <v>10</v>
      </c>
      <c r="U64" s="9">
        <f>WORKDAY(Q64,T64,Feriados!$I$2:$I$22)</f>
        <v>45937</v>
      </c>
      <c r="V64" s="2">
        <f t="shared" si="6"/>
        <v>8</v>
      </c>
      <c r="W64" s="38">
        <f>IF(NETWORKDAYS(Q64,S64,Feriados!$I$2:$I$22)-1&gt;=0,NETWORKDAYS(Q64,S64,Feriados!$I$2:$I$22)-1,"NO APLICA")</f>
        <v>6</v>
      </c>
      <c r="X64" s="13">
        <f t="shared" ca="1" si="8"/>
        <v>-359</v>
      </c>
      <c r="Y64" s="2" t="s">
        <v>519</v>
      </c>
      <c r="Z64" s="2" t="s">
        <v>154</v>
      </c>
      <c r="AA64" s="12">
        <v>68</v>
      </c>
      <c r="AB64" s="88" t="s">
        <v>32</v>
      </c>
      <c r="AC64" s="2" t="s">
        <v>366</v>
      </c>
    </row>
    <row r="65" spans="1:29" s="60" customFormat="1" ht="28.5" hidden="1" x14ac:dyDescent="0.2">
      <c r="A65" s="105">
        <v>64</v>
      </c>
      <c r="B65" s="3">
        <v>31</v>
      </c>
      <c r="C65" s="36" t="str">
        <f>IF(ISERROR(VLOOKUP(I65,[1]DEP!$B$3:$E$583,1,FALSE)),"NO","SI")</f>
        <v>NO</v>
      </c>
      <c r="D65" s="2" t="str">
        <f>IF(ISERROR(VLOOKUP(I65,[2]FRG!$S$19:$U$288,1,FALSE)),"NO","SI")</f>
        <v>NO</v>
      </c>
      <c r="E65" s="2" t="str">
        <f>IF(ISERROR(VLOOKUP(I65,'[4]ARI 26 C33'!$C$1:$D$490,1,FALSE)),"NO","SI")</f>
        <v>SI</v>
      </c>
      <c r="F65" s="2" t="s">
        <v>568</v>
      </c>
      <c r="G65" s="2" t="s">
        <v>0</v>
      </c>
      <c r="H65" s="2" t="s">
        <v>18</v>
      </c>
      <c r="I65" s="7">
        <v>40071482</v>
      </c>
      <c r="J65" s="16" t="s">
        <v>748</v>
      </c>
      <c r="K65" s="3">
        <v>806312000</v>
      </c>
      <c r="L65" s="2" t="s">
        <v>49</v>
      </c>
      <c r="M65" s="15" t="s">
        <v>62</v>
      </c>
      <c r="N65" s="10">
        <v>45916</v>
      </c>
      <c r="O65" s="10">
        <v>45938</v>
      </c>
      <c r="P65" s="37">
        <f>IF(NETWORKDAYS(N65,O65,Feriados!$I$2:$I$22)-1&gt;=0,NETWORKDAYS(N65,O65,Feriados!$I$2:$I$22)-1,"NO APLICA")</f>
        <v>14</v>
      </c>
      <c r="Q65" s="10">
        <v>45954</v>
      </c>
      <c r="R65" s="9">
        <f t="shared" si="5"/>
        <v>45969</v>
      </c>
      <c r="S65" s="43">
        <v>45974</v>
      </c>
      <c r="T65" s="2">
        <v>15</v>
      </c>
      <c r="U65" s="9">
        <f>WORKDAY(Q65,T65,Feriados!$I$2:$I$22)</f>
        <v>45978</v>
      </c>
      <c r="V65" s="2">
        <f t="shared" si="6"/>
        <v>20</v>
      </c>
      <c r="W65" s="38">
        <f>IF(NETWORKDAYS(Q65,S65,Feriados!$I$2:$I$22)-1&gt;=0,NETWORKDAYS(Q65,S65,Feriados!$I$2:$I$22)-1,"NO APLICA")</f>
        <v>13</v>
      </c>
      <c r="X65" s="13">
        <f t="shared" ca="1" si="8"/>
        <v>-318</v>
      </c>
      <c r="Y65" s="3" t="s">
        <v>812</v>
      </c>
      <c r="Z65" s="2" t="s">
        <v>154</v>
      </c>
      <c r="AA65" s="85"/>
      <c r="AB65" s="88" t="s">
        <v>31</v>
      </c>
      <c r="AC65" s="3" t="s">
        <v>366</v>
      </c>
    </row>
    <row r="66" spans="1:29" s="60" customFormat="1" ht="28.5" hidden="1" x14ac:dyDescent="0.2">
      <c r="A66" s="105">
        <v>65</v>
      </c>
      <c r="B66" s="3">
        <v>29</v>
      </c>
      <c r="C66" s="36" t="str">
        <f>IF(ISERROR(VLOOKUP(I66,[1]DEP!$B$3:$E$583,1,FALSE)),"NO","SI")</f>
        <v>NO</v>
      </c>
      <c r="D66" s="2" t="str">
        <f>IF(ISERROR(VLOOKUP(I66,[2]FRG!$S$19:$U$288,1,FALSE)),"NO","SI")</f>
        <v>NO</v>
      </c>
      <c r="E66" s="2" t="str">
        <f>IF(ISERROR(VLOOKUP(I66,'[4]ARI 26 C33'!$C$1:$D$490,1,FALSE)),"NO","SI")</f>
        <v>NO</v>
      </c>
      <c r="F66" s="2" t="s">
        <v>42</v>
      </c>
      <c r="G66" s="2" t="s">
        <v>68</v>
      </c>
      <c r="H66" s="2" t="s">
        <v>21</v>
      </c>
      <c r="I66" s="7">
        <v>40074925</v>
      </c>
      <c r="J66" s="49" t="s">
        <v>749</v>
      </c>
      <c r="K66" s="3"/>
      <c r="L66" s="2"/>
      <c r="M66" s="15" t="s">
        <v>685</v>
      </c>
      <c r="N66" s="10">
        <v>45922</v>
      </c>
      <c r="O66" s="10">
        <v>45952</v>
      </c>
      <c r="P66" s="37">
        <f>IF(NETWORKDAYS(N66,O66,Feriados!$I$2:$I$22)-1&gt;=0,NETWORKDAYS(N66,O66,Feriados!$I$2:$I$22)-1,"NO APLICA")</f>
        <v>22</v>
      </c>
      <c r="Q66" s="10">
        <v>45922</v>
      </c>
      <c r="R66" s="9">
        <f t="shared" ref="R66:R96" si="9">+Q66+T66</f>
        <v>45937</v>
      </c>
      <c r="S66" s="43">
        <v>45952</v>
      </c>
      <c r="T66" s="2">
        <v>15</v>
      </c>
      <c r="U66" s="9">
        <f>WORKDAY(Q66,T66,Feriados!$I$2:$I$22)</f>
        <v>45943</v>
      </c>
      <c r="V66" s="2">
        <f t="shared" ref="V66:V96" si="10">+S66-Q66</f>
        <v>30</v>
      </c>
      <c r="W66" s="38">
        <f>IF(NETWORKDAYS(Q66,S66,Feriados!$I$2:$I$22)-1&gt;=0,NETWORKDAYS(Q66,S66,Feriados!$I$2:$I$22)-1,"NO APLICA")</f>
        <v>22</v>
      </c>
      <c r="X66" s="13">
        <f t="shared" ca="1" si="8"/>
        <v>-353</v>
      </c>
      <c r="Y66" s="3"/>
      <c r="Z66" s="2"/>
      <c r="AA66" s="85"/>
      <c r="AB66" s="88" t="s">
        <v>31</v>
      </c>
      <c r="AC66" s="3" t="s">
        <v>542</v>
      </c>
    </row>
    <row r="67" spans="1:29" s="60" customFormat="1" ht="28.5" hidden="1" x14ac:dyDescent="0.2">
      <c r="A67" s="105">
        <v>66</v>
      </c>
      <c r="B67" s="3">
        <v>29</v>
      </c>
      <c r="C67" s="36" t="str">
        <f>IF(ISERROR(VLOOKUP(I67,[1]DEP!$B$3:$E$583,1,FALSE)),"NO","SI")</f>
        <v>NO</v>
      </c>
      <c r="D67" s="2" t="str">
        <f>IF(ISERROR(VLOOKUP(I67,[2]FRG!$S$19:$U$288,1,FALSE)),"NO","SI")</f>
        <v>NO</v>
      </c>
      <c r="E67" s="2" t="str">
        <f>IF(ISERROR(VLOOKUP(I67,'[4]ARI 26 C33'!$C$1:$D$490,1,FALSE)),"NO","SI")</f>
        <v>NO</v>
      </c>
      <c r="F67" s="2" t="s">
        <v>45</v>
      </c>
      <c r="G67" s="2" t="s">
        <v>60</v>
      </c>
      <c r="H67" s="2" t="s">
        <v>7</v>
      </c>
      <c r="I67" s="7">
        <v>40075366</v>
      </c>
      <c r="J67" s="16" t="s">
        <v>752</v>
      </c>
      <c r="K67" s="3"/>
      <c r="L67" s="2" t="s">
        <v>49</v>
      </c>
      <c r="M67" s="15" t="s">
        <v>685</v>
      </c>
      <c r="N67" s="10">
        <v>45924</v>
      </c>
      <c r="O67" s="10">
        <v>45972</v>
      </c>
      <c r="P67" s="37">
        <f>IF(NETWORKDAYS(N67,O67,Feriados!$I$2:$I$22)-1&gt;=0,NETWORKDAYS(N67,O67,Feriados!$I$2:$I$22)-1,"NO APLICA")</f>
        <v>33</v>
      </c>
      <c r="Q67" s="10">
        <v>46000</v>
      </c>
      <c r="R67" s="9">
        <f t="shared" si="9"/>
        <v>46015</v>
      </c>
      <c r="S67" s="43">
        <v>46014</v>
      </c>
      <c r="T67" s="2">
        <v>15</v>
      </c>
      <c r="U67" s="9">
        <f>WORKDAY(Q67,T67,Feriados!$I$2:$I$22)</f>
        <v>46022</v>
      </c>
      <c r="V67" s="2">
        <f t="shared" si="10"/>
        <v>14</v>
      </c>
      <c r="W67" s="38">
        <f>IF(NETWORKDAYS(Q67,S67,Feriados!$I$2:$I$22)-1&gt;=0,NETWORKDAYS(Q67,S67,Feriados!$I$2:$I$22)-1,"NO APLICA")</f>
        <v>10</v>
      </c>
      <c r="X67" s="13">
        <f t="shared" ca="1" si="8"/>
        <v>-274</v>
      </c>
      <c r="Y67" s="3"/>
      <c r="Z67" s="2"/>
      <c r="AA67" s="85"/>
      <c r="AB67" s="88" t="s">
        <v>31</v>
      </c>
      <c r="AC67" s="3" t="s">
        <v>366</v>
      </c>
    </row>
    <row r="68" spans="1:29" s="60" customFormat="1" ht="28.5" hidden="1" x14ac:dyDescent="0.2">
      <c r="A68" s="105">
        <v>67</v>
      </c>
      <c r="B68" s="3">
        <v>29</v>
      </c>
      <c r="C68" s="36" t="str">
        <f>IF(ISERROR(VLOOKUP(I68,[1]DEP!$B$3:$E$583,1,FALSE)),"NO","SI")</f>
        <v>NO</v>
      </c>
      <c r="D68" s="2" t="str">
        <f>IF(ISERROR(VLOOKUP(I68,[2]FRG!$S$19:$U$288,1,FALSE)),"NO","SI")</f>
        <v>NO</v>
      </c>
      <c r="E68" s="2" t="str">
        <f>IF(ISERROR(VLOOKUP(I68,'[4]ARI 26 C33'!$C$1:$D$490,1,FALSE)),"NO","SI")</f>
        <v>NO</v>
      </c>
      <c r="F68" s="2" t="s">
        <v>568</v>
      </c>
      <c r="G68" s="2" t="s">
        <v>707</v>
      </c>
      <c r="H68" s="2" t="s">
        <v>482</v>
      </c>
      <c r="I68" s="7">
        <v>40075714</v>
      </c>
      <c r="J68" s="3" t="s">
        <v>750</v>
      </c>
      <c r="K68" s="3"/>
      <c r="L68" s="2"/>
      <c r="M68" s="15" t="s">
        <v>685</v>
      </c>
      <c r="N68" s="10">
        <v>45925</v>
      </c>
      <c r="O68" s="10">
        <v>45952</v>
      </c>
      <c r="P68" s="37">
        <f>IF(NETWORKDAYS(N68,O68,Feriados!$I$2:$I$22)-1&gt;=0,NETWORKDAYS(N68,O68,Feriados!$I$2:$I$22)-1,"NO APLICA")</f>
        <v>19</v>
      </c>
      <c r="Q68" s="10">
        <v>45925</v>
      </c>
      <c r="R68" s="9">
        <f t="shared" si="9"/>
        <v>45940</v>
      </c>
      <c r="S68" s="43">
        <v>45952</v>
      </c>
      <c r="T68" s="2">
        <v>15</v>
      </c>
      <c r="U68" s="9">
        <f>WORKDAY(Q68,T68,Feriados!$I$2:$I$22)</f>
        <v>45946</v>
      </c>
      <c r="V68" s="2">
        <f t="shared" si="10"/>
        <v>27</v>
      </c>
      <c r="W68" s="38">
        <f>IF(NETWORKDAYS(Q68,S68,Feriados!$I$2:$I$22)-1&gt;=0,NETWORKDAYS(Q68,S68,Feriados!$I$2:$I$22)-1,"NO APLICA")</f>
        <v>19</v>
      </c>
      <c r="X68" s="13">
        <f t="shared" ca="1" si="8"/>
        <v>-350</v>
      </c>
      <c r="Y68" s="3"/>
      <c r="Z68" s="2"/>
      <c r="AA68" s="85"/>
      <c r="AB68" s="88" t="s">
        <v>31</v>
      </c>
      <c r="AC68" s="3" t="s">
        <v>757</v>
      </c>
    </row>
    <row r="69" spans="1:29" s="60" customFormat="1" ht="29.45" hidden="1" customHeight="1" x14ac:dyDescent="0.2">
      <c r="A69" s="105">
        <v>68</v>
      </c>
      <c r="B69" s="3">
        <v>31</v>
      </c>
      <c r="C69" s="36" t="str">
        <f>IF(ISERROR(VLOOKUP(I69,[1]DEP!$B$3:$E$583,1,FALSE)),"NO","SI")</f>
        <v>NO</v>
      </c>
      <c r="D69" s="2" t="str">
        <f>IF(ISERROR(VLOOKUP(I69,[2]FRG!$S$19:$U$288,1,FALSE)),"NO","SI")</f>
        <v>NO</v>
      </c>
      <c r="E69" s="2" t="str">
        <f>IF(ISERROR(VLOOKUP(I69,'[4]ARI 26 C33'!$C$1:$D$490,1,FALSE)),"NO","SI")</f>
        <v>SI</v>
      </c>
      <c r="F69" s="2" t="s">
        <v>45</v>
      </c>
      <c r="G69" s="2" t="s">
        <v>60</v>
      </c>
      <c r="H69" s="2" t="s">
        <v>7</v>
      </c>
      <c r="I69" s="7">
        <v>40073518</v>
      </c>
      <c r="J69" s="3" t="s">
        <v>751</v>
      </c>
      <c r="K69" s="3"/>
      <c r="L69" s="2"/>
      <c r="M69" s="15" t="s">
        <v>685</v>
      </c>
      <c r="N69" s="10">
        <v>45925</v>
      </c>
      <c r="O69" s="10">
        <v>45951</v>
      </c>
      <c r="P69" s="37">
        <f>IF(NETWORKDAYS(N69,O69,Feriados!$I$2:$I$22)-1&gt;=0,NETWORKDAYS(N69,O69,Feriados!$I$2:$I$22)-1,"NO APLICA")</f>
        <v>18</v>
      </c>
      <c r="Q69" s="10">
        <v>45925</v>
      </c>
      <c r="R69" s="9">
        <f t="shared" si="9"/>
        <v>45940</v>
      </c>
      <c r="S69" s="43">
        <v>45951</v>
      </c>
      <c r="T69" s="2">
        <v>15</v>
      </c>
      <c r="U69" s="9">
        <f>WORKDAY(Q69,T69,Feriados!$I$2:$I$22)</f>
        <v>45946</v>
      </c>
      <c r="V69" s="2">
        <f t="shared" si="10"/>
        <v>26</v>
      </c>
      <c r="W69" s="38">
        <f>IF(NETWORKDAYS(Q69,S69,Feriados!$I$2:$I$22)-1&gt;=0,NETWORKDAYS(Q69,S69,Feriados!$I$2:$I$22)-1,"NO APLICA")</f>
        <v>18</v>
      </c>
      <c r="X69" s="13">
        <f t="shared" ca="1" si="8"/>
        <v>-350</v>
      </c>
      <c r="Y69" s="3"/>
      <c r="Z69" s="2"/>
      <c r="AA69" s="85"/>
      <c r="AB69" s="88" t="s">
        <v>31</v>
      </c>
      <c r="AC69" s="3" t="s">
        <v>821</v>
      </c>
    </row>
    <row r="70" spans="1:29" s="60" customFormat="1" ht="29.45" hidden="1" customHeight="1" x14ac:dyDescent="0.2">
      <c r="A70" s="105">
        <v>69</v>
      </c>
      <c r="B70" s="3">
        <v>22</v>
      </c>
      <c r="C70" s="36" t="str">
        <f>IF(ISERROR(VLOOKUP(I70,[1]DEP!$B$3:$E$583,1,FALSE)),"NO","SI")</f>
        <v>NO</v>
      </c>
      <c r="D70" s="2" t="str">
        <f>IF(ISERROR(VLOOKUP(I70,[2]FRG!$S$19:$U$288,1,FALSE)),"NO","SI")</f>
        <v>NO</v>
      </c>
      <c r="E70" s="2" t="str">
        <f>IF(ISERROR(VLOOKUP(I70,'[4]ARI 26 C33'!$C$1:$D$490,1,FALSE)),"NO","SI")</f>
        <v>SI</v>
      </c>
      <c r="F70" s="2" t="s">
        <v>175</v>
      </c>
      <c r="G70" s="2" t="s">
        <v>175</v>
      </c>
      <c r="H70" s="2" t="s">
        <v>269</v>
      </c>
      <c r="I70" s="7">
        <v>40073955</v>
      </c>
      <c r="J70" s="3" t="s">
        <v>759</v>
      </c>
      <c r="K70" s="3">
        <v>100000000</v>
      </c>
      <c r="L70" s="2" t="s">
        <v>49</v>
      </c>
      <c r="M70" s="15" t="s">
        <v>62</v>
      </c>
      <c r="N70" s="10">
        <v>45930</v>
      </c>
      <c r="O70" s="10">
        <v>45943</v>
      </c>
      <c r="P70" s="37">
        <f>IF(NETWORKDAYS(N70,O70,Feriados!$I$2:$I$22)-1&gt;=0,NETWORKDAYS(N70,O70,Feriados!$I$2:$I$22)-1,"NO APLICA")</f>
        <v>9</v>
      </c>
      <c r="Q70" s="10">
        <v>45992</v>
      </c>
      <c r="R70" s="9">
        <f t="shared" si="9"/>
        <v>46007</v>
      </c>
      <c r="S70" s="43">
        <v>45943</v>
      </c>
      <c r="T70" s="2">
        <v>15</v>
      </c>
      <c r="U70" s="9">
        <f>WORKDAY(Q70,T70,Feriados!$I$2:$I$22)</f>
        <v>46014</v>
      </c>
      <c r="V70" s="2">
        <f t="shared" si="10"/>
        <v>-49</v>
      </c>
      <c r="W70" s="38" t="str">
        <f>IF(NETWORKDAYS(Q70,S70,Feriados!$I$2:$I$22)-1&gt;=0,NETWORKDAYS(Q70,S70,Feriados!$I$2:$I$22)-1,"NO APLICA")</f>
        <v>NO APLICA</v>
      </c>
      <c r="X70" s="13">
        <f t="shared" ca="1" si="8"/>
        <v>-282</v>
      </c>
      <c r="Y70" s="2" t="s">
        <v>831</v>
      </c>
      <c r="Z70" s="2" t="s">
        <v>824</v>
      </c>
      <c r="AA70" s="85"/>
      <c r="AB70" s="88" t="s">
        <v>31</v>
      </c>
      <c r="AC70" s="3" t="s">
        <v>820</v>
      </c>
    </row>
    <row r="71" spans="1:29" s="60" customFormat="1" ht="29.45" hidden="1" customHeight="1" x14ac:dyDescent="0.2">
      <c r="A71" s="105">
        <v>70</v>
      </c>
      <c r="B71" s="3">
        <v>22</v>
      </c>
      <c r="C71" s="36" t="str">
        <f>IF(ISERROR(VLOOKUP(I71,[1]DEP!$B$3:$E$583,1,FALSE)),"NO","SI")</f>
        <v>NO</v>
      </c>
      <c r="D71" s="2" t="str">
        <f>IF(ISERROR(VLOOKUP(I71,[2]FRG!$S$19:$U$288,1,FALSE)),"NO","SI")</f>
        <v>NO</v>
      </c>
      <c r="E71" s="2" t="str">
        <f>IF(ISERROR(VLOOKUP(I71,'[4]ARI 26 C33'!$C$1:$D$490,1,FALSE)),"NO","SI")</f>
        <v>SI</v>
      </c>
      <c r="F71" s="2" t="s">
        <v>568</v>
      </c>
      <c r="G71" s="2" t="s">
        <v>50</v>
      </c>
      <c r="H71" s="2" t="s">
        <v>9</v>
      </c>
      <c r="I71" s="7">
        <v>40014492</v>
      </c>
      <c r="J71" s="3" t="s">
        <v>761</v>
      </c>
      <c r="K71" s="3">
        <v>600000000</v>
      </c>
      <c r="L71" s="2" t="s">
        <v>49</v>
      </c>
      <c r="M71" s="15" t="s">
        <v>62</v>
      </c>
      <c r="N71" s="10">
        <v>45932</v>
      </c>
      <c r="O71" s="10">
        <v>45944</v>
      </c>
      <c r="P71" s="37">
        <f>IF(NETWORKDAYS(N71,O71,Feriados!$I$2:$I$22)-1&gt;=0,NETWORKDAYS(N71,O71,Feriados!$I$2:$I$22)-1,"NO APLICA")</f>
        <v>8</v>
      </c>
      <c r="Q71" s="10">
        <v>45992</v>
      </c>
      <c r="R71" s="9">
        <f t="shared" si="9"/>
        <v>46007</v>
      </c>
      <c r="S71" s="43">
        <v>46008</v>
      </c>
      <c r="T71" s="2">
        <v>15</v>
      </c>
      <c r="U71" s="9">
        <f>WORKDAY(Q71,T71,Feriados!$I$2:$I$22)</f>
        <v>46014</v>
      </c>
      <c r="V71" s="2">
        <f t="shared" si="10"/>
        <v>16</v>
      </c>
      <c r="W71" s="38">
        <f>IF(NETWORKDAYS(Q71,S71,Feriados!$I$2:$I$22)-1&gt;=0,NETWORKDAYS(Q71,S71,Feriados!$I$2:$I$22)-1,"NO APLICA")</f>
        <v>11</v>
      </c>
      <c r="X71" s="13">
        <f t="shared" ca="1" si="8"/>
        <v>-282</v>
      </c>
      <c r="Y71" s="3" t="s">
        <v>832</v>
      </c>
      <c r="Z71" s="2" t="s">
        <v>824</v>
      </c>
      <c r="AA71" s="85"/>
      <c r="AB71" s="88" t="s">
        <v>31</v>
      </c>
      <c r="AC71" s="3" t="s">
        <v>821</v>
      </c>
    </row>
    <row r="72" spans="1:29" s="60" customFormat="1" ht="29.45" hidden="1" customHeight="1" x14ac:dyDescent="0.2">
      <c r="A72" s="105">
        <v>71</v>
      </c>
      <c r="B72" s="3">
        <v>29</v>
      </c>
      <c r="C72" s="36" t="str">
        <f>IF(ISERROR(VLOOKUP(I72,[1]DEP!$B$3:$E$583,1,FALSE)),"NO","SI")</f>
        <v>NO</v>
      </c>
      <c r="D72" s="2" t="str">
        <f>IF(ISERROR(VLOOKUP(I72,[2]FRG!$S$19:$U$288,1,FALSE)),"NO","SI")</f>
        <v>NO</v>
      </c>
      <c r="E72" s="2" t="str">
        <f>IF(ISERROR(VLOOKUP(I72,'[4]ARI 26 C33'!$C$1:$D$490,1,FALSE)),"NO","SI")</f>
        <v>SI</v>
      </c>
      <c r="F72" s="2" t="s">
        <v>568</v>
      </c>
      <c r="G72" s="2" t="s">
        <v>76</v>
      </c>
      <c r="H72" s="2" t="s">
        <v>12</v>
      </c>
      <c r="I72" s="7">
        <v>40054224</v>
      </c>
      <c r="J72" s="3" t="s">
        <v>643</v>
      </c>
      <c r="K72" s="3"/>
      <c r="L72" s="2" t="s">
        <v>49</v>
      </c>
      <c r="M72" s="15" t="s">
        <v>685</v>
      </c>
      <c r="N72" s="10">
        <v>45943</v>
      </c>
      <c r="O72" s="10">
        <v>45979</v>
      </c>
      <c r="P72" s="37">
        <f>IF(NETWORKDAYS(N72,O72,Feriados!$I$2:$I$22)-1&gt;=0,NETWORKDAYS(N72,O72,Feriados!$I$2:$I$22)-1,"NO APLICA")</f>
        <v>25</v>
      </c>
      <c r="Q72" s="10">
        <v>45943</v>
      </c>
      <c r="R72" s="9">
        <f t="shared" si="9"/>
        <v>45958</v>
      </c>
      <c r="S72" s="43">
        <v>45979</v>
      </c>
      <c r="T72" s="2">
        <v>15</v>
      </c>
      <c r="U72" s="9">
        <f>WORKDAY(Q72,T72,Feriados!$I$2:$I$22)</f>
        <v>45965</v>
      </c>
      <c r="V72" s="2">
        <f t="shared" si="10"/>
        <v>36</v>
      </c>
      <c r="W72" s="38">
        <f>IF(NETWORKDAYS(Q72,S72,Feriados!$I$2:$I$22)-1&gt;=0,NETWORKDAYS(Q72,S72,Feriados!$I$2:$I$22)-1,"NO APLICA")</f>
        <v>25</v>
      </c>
      <c r="X72" s="13">
        <f t="shared" ca="1" si="8"/>
        <v>-331</v>
      </c>
      <c r="Y72" s="3"/>
      <c r="Z72" s="2" t="s">
        <v>164</v>
      </c>
      <c r="AA72" s="85"/>
      <c r="AB72" s="88" t="s">
        <v>31</v>
      </c>
      <c r="AC72" s="3" t="s">
        <v>757</v>
      </c>
    </row>
    <row r="73" spans="1:29" ht="28.5" hidden="1" x14ac:dyDescent="0.2">
      <c r="A73" s="105">
        <v>72</v>
      </c>
      <c r="B73" s="2">
        <v>29</v>
      </c>
      <c r="C73" s="36" t="str">
        <f>IF(ISERROR(VLOOKUP(I73,[1]DEP!$B$3:$E$583,1,FALSE)),"NO","SI")</f>
        <v>SI</v>
      </c>
      <c r="D73" s="2" t="str">
        <f>IF(ISERROR(VLOOKUP(I73,[2]FRG!$S$19:$U$288,1,FALSE)),"NO","SI")</f>
        <v>NO</v>
      </c>
      <c r="E73" s="2" t="str">
        <f>IF(ISERROR(VLOOKUP(I73,'[4]ARI 26 C33'!$C$1:$D$490,1,FALSE)),"NO","SI")</f>
        <v>SI</v>
      </c>
      <c r="F73" s="2" t="s">
        <v>568</v>
      </c>
      <c r="G73" s="2" t="s">
        <v>52</v>
      </c>
      <c r="H73" s="2" t="s">
        <v>25</v>
      </c>
      <c r="I73" s="7">
        <v>40043234</v>
      </c>
      <c r="J73" s="3" t="s">
        <v>324</v>
      </c>
      <c r="K73" s="3"/>
      <c r="L73" s="2" t="s">
        <v>49</v>
      </c>
      <c r="M73" s="15" t="s">
        <v>685</v>
      </c>
      <c r="N73" s="10">
        <v>45944</v>
      </c>
      <c r="O73" s="10">
        <v>45982</v>
      </c>
      <c r="P73" s="37">
        <f>IF(NETWORKDAYS(N73,O73,Feriados!$I$2:$I$22)-1&gt;=0,NETWORKDAYS(N73,O73,Feriados!$I$2:$I$22)-1,"NO APLICA")</f>
        <v>27</v>
      </c>
      <c r="Q73" s="10">
        <v>45944</v>
      </c>
      <c r="R73" s="9">
        <f t="shared" si="9"/>
        <v>45959</v>
      </c>
      <c r="S73" s="43">
        <v>45982</v>
      </c>
      <c r="T73" s="2">
        <v>15</v>
      </c>
      <c r="U73" s="9">
        <f>WORKDAY(Q73,T73,Feriados!$I$2:$I$22)</f>
        <v>45966</v>
      </c>
      <c r="V73" s="2">
        <f t="shared" si="10"/>
        <v>38</v>
      </c>
      <c r="W73" s="38">
        <f>IF(NETWORKDAYS(Q73,S73,Feriados!$I$2:$I$22)-1&gt;=0,NETWORKDAYS(Q73,S73,Feriados!$I$2:$I$22)-1,"NO APLICA")</f>
        <v>27</v>
      </c>
      <c r="X73" s="13">
        <f t="shared" ca="1" si="8"/>
        <v>-330</v>
      </c>
      <c r="Y73" s="2"/>
      <c r="Z73" s="2" t="s">
        <v>157</v>
      </c>
      <c r="AA73" s="57"/>
      <c r="AB73" s="88" t="s">
        <v>31</v>
      </c>
      <c r="AC73" s="2" t="s">
        <v>366</v>
      </c>
    </row>
    <row r="74" spans="1:29" ht="28.5" hidden="1" x14ac:dyDescent="0.2">
      <c r="A74" s="105">
        <v>73</v>
      </c>
      <c r="B74" s="2">
        <v>31</v>
      </c>
      <c r="C74" s="36" t="str">
        <f>IF(ISERROR(VLOOKUP(I74,[1]DEP!$B$3:$E$583,1,FALSE)),"NO","SI")</f>
        <v>NO</v>
      </c>
      <c r="D74" s="2" t="str">
        <f>IF(ISERROR(VLOOKUP(I74,[2]FRG!$S$19:$U$288,1,FALSE)),"NO","SI")</f>
        <v>NO</v>
      </c>
      <c r="E74" s="2" t="str">
        <f>IF(ISERROR(VLOOKUP(I74,'[4]ARI 26 C33'!$C$1:$D$490,1,FALSE)),"NO","SI")</f>
        <v>SI</v>
      </c>
      <c r="F74" s="2" t="s">
        <v>42</v>
      </c>
      <c r="G74" s="2" t="s">
        <v>71</v>
      </c>
      <c r="H74" s="2" t="s">
        <v>20</v>
      </c>
      <c r="I74" s="7">
        <v>40071304</v>
      </c>
      <c r="J74" s="3" t="s">
        <v>765</v>
      </c>
      <c r="K74" s="3"/>
      <c r="L74" s="2" t="s">
        <v>49</v>
      </c>
      <c r="M74" s="15" t="s">
        <v>685</v>
      </c>
      <c r="N74" s="10">
        <v>45940</v>
      </c>
      <c r="O74" s="10">
        <v>45985</v>
      </c>
      <c r="P74" s="37">
        <f>IF(NETWORKDAYS(N74,O74,Feriados!$I$2:$I$22)-1&gt;=0,NETWORKDAYS(N74,O74,Feriados!$I$2:$I$22)-1,"NO APLICA")</f>
        <v>30</v>
      </c>
      <c r="Q74" s="10">
        <v>45940</v>
      </c>
      <c r="R74" s="9">
        <f t="shared" si="9"/>
        <v>45955</v>
      </c>
      <c r="S74" s="43">
        <v>45985</v>
      </c>
      <c r="T74" s="2">
        <v>15</v>
      </c>
      <c r="U74" s="9">
        <f>WORKDAY(Q74,T74,Feriados!$I$2:$I$22)</f>
        <v>45964</v>
      </c>
      <c r="V74" s="2">
        <f t="shared" si="10"/>
        <v>45</v>
      </c>
      <c r="W74" s="38">
        <f>IF(NETWORKDAYS(Q74,S74,Feriados!$I$2:$I$22)-1&gt;=0,NETWORKDAYS(Q74,S74,Feriados!$I$2:$I$22)-1,"NO APLICA")</f>
        <v>30</v>
      </c>
      <c r="X74" s="13">
        <f t="shared" ca="1" si="8"/>
        <v>-332</v>
      </c>
      <c r="Y74" s="2"/>
      <c r="Z74" s="2"/>
      <c r="AA74" s="57"/>
      <c r="AB74" s="88" t="s">
        <v>31</v>
      </c>
      <c r="AC74" s="2" t="s">
        <v>366</v>
      </c>
    </row>
    <row r="75" spans="1:29" ht="28.5" hidden="1" x14ac:dyDescent="0.2">
      <c r="A75" s="105">
        <v>74</v>
      </c>
      <c r="B75" s="2">
        <v>31</v>
      </c>
      <c r="C75" s="36" t="str">
        <f>IF(ISERROR(VLOOKUP(I75,[1]DEP!$B$3:$E$583,1,FALSE)),"NO","SI")</f>
        <v>SI</v>
      </c>
      <c r="D75" s="2" t="str">
        <f>IF(ISERROR(VLOOKUP(I75,[2]FRG!$S$19:$U$288,1,FALSE)),"NO","SI")</f>
        <v>NO</v>
      </c>
      <c r="E75" s="2" t="str">
        <f>IF(ISERROR(VLOOKUP(I75,'[4]ARI 26 C33'!$C$1:$D$490,1,FALSE)),"NO","SI")</f>
        <v>SI</v>
      </c>
      <c r="F75" s="2" t="s">
        <v>45</v>
      </c>
      <c r="G75" s="2" t="s">
        <v>70</v>
      </c>
      <c r="H75" s="2" t="s">
        <v>6</v>
      </c>
      <c r="I75" s="7">
        <v>40038210</v>
      </c>
      <c r="J75" s="3" t="s">
        <v>326</v>
      </c>
      <c r="K75" s="3"/>
      <c r="L75" s="2" t="s">
        <v>49</v>
      </c>
      <c r="M75" s="15" t="s">
        <v>685</v>
      </c>
      <c r="N75" s="10">
        <v>45951</v>
      </c>
      <c r="O75" s="10"/>
      <c r="P75" s="37" t="str">
        <f>IF(NETWORKDAYS(N75,O75,Feriados!$I$2:$I$22)-1&gt;=0,NETWORKDAYS(N75,O75,Feriados!$I$2:$I$22)-1,"NO APLICA")</f>
        <v>NO APLICA</v>
      </c>
      <c r="Q75" s="10">
        <v>45951</v>
      </c>
      <c r="R75" s="9">
        <f t="shared" si="9"/>
        <v>45966</v>
      </c>
      <c r="S75" s="43"/>
      <c r="T75" s="2">
        <v>15</v>
      </c>
      <c r="U75" s="9">
        <f>WORKDAY(Q75,T75,Feriados!$I$2:$I$22)</f>
        <v>45973</v>
      </c>
      <c r="V75" s="2">
        <f t="shared" si="10"/>
        <v>-45951</v>
      </c>
      <c r="W75" s="38" t="str">
        <f>IF(NETWORKDAYS(Q75,S75,Feriados!$I$2:$I$22)-1&gt;=0,NETWORKDAYS(Q75,S75,Feriados!$I$2:$I$22)-1,"NO APLICA")</f>
        <v>NO APLICA</v>
      </c>
      <c r="X75" s="13">
        <f t="shared" ca="1" si="8"/>
        <v>-323</v>
      </c>
      <c r="Y75" s="2"/>
      <c r="Z75" s="2"/>
      <c r="AA75" s="57"/>
      <c r="AB75" s="88" t="s">
        <v>31</v>
      </c>
      <c r="AC75" s="2" t="s">
        <v>366</v>
      </c>
    </row>
    <row r="76" spans="1:29" ht="48" hidden="1" customHeight="1" x14ac:dyDescent="0.2">
      <c r="A76" s="105">
        <v>75</v>
      </c>
      <c r="B76" s="2">
        <v>29</v>
      </c>
      <c r="C76" s="36" t="str">
        <f>IF(ISERROR(VLOOKUP(I76,[1]DEP!$B$3:$E$583,1,FALSE)),"NO","SI")</f>
        <v>SI</v>
      </c>
      <c r="D76" s="2" t="str">
        <f>IF(ISERROR(VLOOKUP(I76,[2]FRG!$S$19:$U$288,1,FALSE)),"NO","SI")</f>
        <v>SI</v>
      </c>
      <c r="E76" s="2" t="str">
        <f>IF(ISERROR(VLOOKUP(I76,'[4]ARI 26 C33'!$C$1:$D$490,1,FALSE)),"NO","SI")</f>
        <v>NO</v>
      </c>
      <c r="F76" s="2" t="s">
        <v>179</v>
      </c>
      <c r="G76" s="2" t="s">
        <v>179</v>
      </c>
      <c r="H76" s="2" t="s">
        <v>102</v>
      </c>
      <c r="I76" s="7">
        <v>40020318</v>
      </c>
      <c r="J76" s="3" t="s">
        <v>236</v>
      </c>
      <c r="K76" s="3">
        <v>673588000</v>
      </c>
      <c r="L76" s="2" t="s">
        <v>49</v>
      </c>
      <c r="M76" s="17" t="s">
        <v>62</v>
      </c>
      <c r="N76" s="10"/>
      <c r="O76" s="10"/>
      <c r="P76" s="37" t="str">
        <f>IF(NETWORKDAYS(N76,O76,Feriados!$I$2:$I$22)-1&gt;=0,NETWORKDAYS(N76,O76,Feriados!$I$2:$I$22)-1,"NO APLICA")</f>
        <v>NO APLICA</v>
      </c>
      <c r="Q76" s="10">
        <v>45957</v>
      </c>
      <c r="R76" s="9">
        <f t="shared" si="9"/>
        <v>45967</v>
      </c>
      <c r="S76" s="43">
        <v>45967</v>
      </c>
      <c r="T76" s="2">
        <v>10</v>
      </c>
      <c r="U76" s="9">
        <f>WORKDAY(Q76,T76,Feriados!$I$2:$I$22)</f>
        <v>45972</v>
      </c>
      <c r="V76" s="2">
        <f t="shared" si="10"/>
        <v>10</v>
      </c>
      <c r="W76" s="38">
        <f>IF(NETWORKDAYS(Q76,S76,Feriados!$I$2:$I$22)-1&gt;=0,NETWORKDAYS(Q76,S76,Feriados!$I$2:$I$22)-1,"NO APLICA")</f>
        <v>7</v>
      </c>
      <c r="X76" s="13">
        <f t="shared" ca="1" si="8"/>
        <v>-324</v>
      </c>
      <c r="Y76" s="2" t="s">
        <v>178</v>
      </c>
      <c r="Z76" s="2" t="s">
        <v>166</v>
      </c>
      <c r="AA76" s="65">
        <v>891440</v>
      </c>
      <c r="AB76" s="88" t="s">
        <v>32</v>
      </c>
      <c r="AC76" s="2" t="s">
        <v>786</v>
      </c>
    </row>
    <row r="77" spans="1:29" ht="28.5" hidden="1" x14ac:dyDescent="0.2">
      <c r="A77" s="105">
        <v>76</v>
      </c>
      <c r="B77" s="2">
        <v>31</v>
      </c>
      <c r="C77" s="36" t="str">
        <f>IF(ISERROR(VLOOKUP(I77,[1]DEP!$B$3:$E$583,1,FALSE)),"NO","SI")</f>
        <v>NO</v>
      </c>
      <c r="D77" s="2" t="str">
        <f>IF(ISERROR(VLOOKUP(I77,[2]FRG!$S$19:$U$288,1,FALSE)),"NO","SI")</f>
        <v>NO</v>
      </c>
      <c r="E77" s="2" t="str">
        <f>IF(ISERROR(VLOOKUP(I77,'[4]ARI 26 C33'!$C$1:$D$490,1,FALSE)),"NO","SI")</f>
        <v>NO</v>
      </c>
      <c r="F77" s="2" t="s">
        <v>568</v>
      </c>
      <c r="G77" s="2" t="s">
        <v>53</v>
      </c>
      <c r="H77" s="2" t="s">
        <v>84</v>
      </c>
      <c r="I77" s="7">
        <v>40076410</v>
      </c>
      <c r="J77" s="3" t="s">
        <v>767</v>
      </c>
      <c r="K77" s="3"/>
      <c r="L77" s="2" t="s">
        <v>49</v>
      </c>
      <c r="M77" s="15" t="s">
        <v>685</v>
      </c>
      <c r="N77" s="10">
        <v>45951</v>
      </c>
      <c r="O77" s="10">
        <v>45971</v>
      </c>
      <c r="P77" s="37">
        <f>IF(NETWORKDAYS(N77,O77,Feriados!$I$2:$I$22)-1&gt;=0,NETWORKDAYS(N77,O77,Feriados!$I$2:$I$22)-1,"NO APLICA")</f>
        <v>13</v>
      </c>
      <c r="Q77" s="10">
        <v>45951</v>
      </c>
      <c r="R77" s="9">
        <f t="shared" si="9"/>
        <v>45966</v>
      </c>
      <c r="S77" s="43">
        <v>45971</v>
      </c>
      <c r="T77" s="2">
        <v>15</v>
      </c>
      <c r="U77" s="9">
        <f>WORKDAY(Q77,T77,Feriados!$I$2:$I$22)</f>
        <v>45973</v>
      </c>
      <c r="V77" s="2">
        <f t="shared" si="10"/>
        <v>20</v>
      </c>
      <c r="W77" s="38">
        <f>IF(NETWORKDAYS(Q77,S77,Feriados!$I$2:$I$22)-1&gt;=0,NETWORKDAYS(Q77,S77,Feriados!$I$2:$I$22)-1,"NO APLICA")</f>
        <v>13</v>
      </c>
      <c r="X77" s="13">
        <f t="shared" ref="X77:X96" ca="1" si="11">SUM(U77-TODAY())</f>
        <v>-323</v>
      </c>
      <c r="Y77" s="2"/>
      <c r="Z77" s="2"/>
      <c r="AA77" s="57"/>
      <c r="AB77" s="88" t="s">
        <v>31</v>
      </c>
      <c r="AC77" s="2" t="s">
        <v>366</v>
      </c>
    </row>
    <row r="78" spans="1:29" ht="28.5" hidden="1" x14ac:dyDescent="0.2">
      <c r="A78" s="105">
        <v>77</v>
      </c>
      <c r="B78" s="2">
        <v>22</v>
      </c>
      <c r="C78" s="36" t="str">
        <f>IF(ISERROR(VLOOKUP(I78,[1]DEP!$B$3:$E$583,1,FALSE)),"NO","SI")</f>
        <v>NO</v>
      </c>
      <c r="D78" s="2" t="str">
        <f>IF(ISERROR(VLOOKUP(I78,[2]FRG!$S$19:$U$288,1,FALSE)),"NO","SI")</f>
        <v>NO</v>
      </c>
      <c r="E78" s="2" t="str">
        <f>IF(ISERROR(VLOOKUP(I78,'[4]ARI 26 C33'!$C$1:$D$490,1,FALSE)),"NO","SI")</f>
        <v>SI</v>
      </c>
      <c r="F78" s="2" t="s">
        <v>568</v>
      </c>
      <c r="G78" s="2" t="s">
        <v>53</v>
      </c>
      <c r="H78" s="2" t="s">
        <v>399</v>
      </c>
      <c r="I78" s="7">
        <v>40048803</v>
      </c>
      <c r="J78" s="3" t="s">
        <v>768</v>
      </c>
      <c r="K78" s="3"/>
      <c r="L78" s="2" t="s">
        <v>49</v>
      </c>
      <c r="M78" s="15" t="s">
        <v>685</v>
      </c>
      <c r="N78" s="10">
        <v>45943</v>
      </c>
      <c r="O78" s="10">
        <v>45980</v>
      </c>
      <c r="P78" s="37">
        <f>IF(NETWORKDAYS(N78,O78,Feriados!$I$2:$I$22)-1&gt;=0,NETWORKDAYS(N78,O78,Feriados!$I$2:$I$22)-1,"NO APLICA")</f>
        <v>26</v>
      </c>
      <c r="Q78" s="10">
        <v>45943</v>
      </c>
      <c r="R78" s="9">
        <f t="shared" si="9"/>
        <v>45958</v>
      </c>
      <c r="S78" s="43">
        <v>45980</v>
      </c>
      <c r="T78" s="2">
        <v>15</v>
      </c>
      <c r="U78" s="9">
        <f>WORKDAY(Q78,T78,Feriados!$I$2:$I$22)</f>
        <v>45965</v>
      </c>
      <c r="V78" s="2">
        <f t="shared" si="10"/>
        <v>37</v>
      </c>
      <c r="W78" s="38">
        <f>IF(NETWORKDAYS(Q78,S78,Feriados!$I$2:$I$22)-1&gt;=0,NETWORKDAYS(Q78,S78,Feriados!$I$2:$I$22)-1,"NO APLICA")</f>
        <v>26</v>
      </c>
      <c r="X78" s="13">
        <f t="shared" ca="1" si="11"/>
        <v>-331</v>
      </c>
      <c r="Y78" s="2"/>
      <c r="Z78" s="2"/>
      <c r="AA78" s="57"/>
      <c r="AB78" s="88" t="s">
        <v>31</v>
      </c>
      <c r="AC78" s="2" t="s">
        <v>821</v>
      </c>
    </row>
    <row r="79" spans="1:29" ht="42.75" hidden="1" x14ac:dyDescent="0.2">
      <c r="A79" s="105">
        <v>78</v>
      </c>
      <c r="B79" s="2">
        <v>29</v>
      </c>
      <c r="C79" s="36" t="str">
        <f>IF(ISERROR(VLOOKUP(I79,[1]DEP!$B$3:$E$583,1,FALSE)),"NO","SI")</f>
        <v>NO</v>
      </c>
      <c r="D79" s="2" t="str">
        <f>IF(ISERROR(VLOOKUP(I79,[2]FRG!$S$19:$U$288,1,FALSE)),"NO","SI")</f>
        <v>NO</v>
      </c>
      <c r="E79" s="2" t="str">
        <f>IF(ISERROR(VLOOKUP(I79,'[4]ARI 26 C33'!$C$1:$D$490,1,FALSE)),"NO","SI")</f>
        <v>NO</v>
      </c>
      <c r="F79" s="2" t="s">
        <v>175</v>
      </c>
      <c r="G79" s="2" t="s">
        <v>175</v>
      </c>
      <c r="H79" s="2" t="s">
        <v>102</v>
      </c>
      <c r="I79" s="7">
        <v>40076624</v>
      </c>
      <c r="J79" s="3" t="s">
        <v>769</v>
      </c>
      <c r="K79" s="3"/>
      <c r="L79" s="2" t="s">
        <v>49</v>
      </c>
      <c r="M79" s="15" t="s">
        <v>685</v>
      </c>
      <c r="N79" s="10">
        <v>45958</v>
      </c>
      <c r="O79" s="10">
        <v>45987</v>
      </c>
      <c r="P79" s="37">
        <f>IF(NETWORKDAYS(N79,O79,Feriados!$I$2:$I$22)-1&gt;=0,NETWORKDAYS(N79,O79,Feriados!$I$2:$I$22)-1,"NO APLICA")</f>
        <v>20</v>
      </c>
      <c r="Q79" s="10">
        <v>45958</v>
      </c>
      <c r="R79" s="9">
        <f t="shared" si="9"/>
        <v>45973</v>
      </c>
      <c r="S79" s="43">
        <v>45987</v>
      </c>
      <c r="T79" s="2">
        <v>15</v>
      </c>
      <c r="U79" s="9">
        <f>WORKDAY(Q79,T79,Feriados!$I$2:$I$22)</f>
        <v>45980</v>
      </c>
      <c r="V79" s="2">
        <f t="shared" si="10"/>
        <v>29</v>
      </c>
      <c r="W79" s="38">
        <f>IF(NETWORKDAYS(Q79,S79,Feriados!$I$2:$I$22)-1&gt;=0,NETWORKDAYS(Q79,S79,Feriados!$I$2:$I$22)-1,"NO APLICA")</f>
        <v>20</v>
      </c>
      <c r="X79" s="13">
        <f t="shared" ca="1" si="11"/>
        <v>-316</v>
      </c>
      <c r="Y79" s="2"/>
      <c r="Z79" s="2"/>
      <c r="AA79" s="57"/>
      <c r="AB79" s="88" t="s">
        <v>31</v>
      </c>
      <c r="AC79" s="2" t="s">
        <v>786</v>
      </c>
    </row>
    <row r="80" spans="1:29" hidden="1" x14ac:dyDescent="0.2">
      <c r="A80" s="105">
        <v>79</v>
      </c>
      <c r="B80" s="2">
        <v>29</v>
      </c>
      <c r="C80" s="36" t="str">
        <f>IF(ISERROR(VLOOKUP(I80,[1]DEP!$B$3:$E$583,1,FALSE)),"NO","SI")</f>
        <v>NO</v>
      </c>
      <c r="D80" s="2" t="str">
        <f>IF(ISERROR(VLOOKUP(I80,[2]FRG!$S$19:$U$288,1,FALSE)),"NO","SI")</f>
        <v>NO</v>
      </c>
      <c r="E80" s="2" t="str">
        <f>IF(ISERROR(VLOOKUP(I80,'[4]ARI 26 C33'!$C$1:$D$490,1,FALSE)),"NO","SI")</f>
        <v>NO</v>
      </c>
      <c r="F80" s="2" t="s">
        <v>45</v>
      </c>
      <c r="G80" s="2" t="s">
        <v>69</v>
      </c>
      <c r="H80" s="2" t="s">
        <v>771</v>
      </c>
      <c r="I80" s="7">
        <v>40073734</v>
      </c>
      <c r="J80" s="3" t="s">
        <v>770</v>
      </c>
      <c r="K80" s="3"/>
      <c r="L80" s="2" t="s">
        <v>49</v>
      </c>
      <c r="M80" s="15" t="s">
        <v>685</v>
      </c>
      <c r="N80" s="10">
        <v>45968</v>
      </c>
      <c r="O80" s="10">
        <v>45989</v>
      </c>
      <c r="P80" s="37">
        <f>IF(NETWORKDAYS(N80,O80,Feriados!$I$2:$I$22)-1&gt;=0,NETWORKDAYS(N80,O80,Feriados!$I$2:$I$22)-1,"NO APLICA")</f>
        <v>15</v>
      </c>
      <c r="Q80" s="10">
        <v>46000</v>
      </c>
      <c r="R80" s="9">
        <f t="shared" si="9"/>
        <v>46015</v>
      </c>
      <c r="S80" s="43">
        <v>46020</v>
      </c>
      <c r="T80" s="2">
        <v>15</v>
      </c>
      <c r="U80" s="9">
        <f>WORKDAY(Q80,T80,Feriados!$I$2:$I$22)</f>
        <v>46022</v>
      </c>
      <c r="V80" s="2">
        <f t="shared" si="10"/>
        <v>20</v>
      </c>
      <c r="W80" s="38">
        <f>IF(NETWORKDAYS(Q80,S80,Feriados!$I$2:$I$22)-1&gt;=0,NETWORKDAYS(Q80,S80,Feriados!$I$2:$I$22)-1,"NO APLICA")</f>
        <v>13</v>
      </c>
      <c r="X80" s="13">
        <f t="shared" ca="1" si="11"/>
        <v>-274</v>
      </c>
      <c r="Y80" s="2"/>
      <c r="Z80" s="2"/>
      <c r="AA80" s="57"/>
      <c r="AB80" s="88" t="s">
        <v>31</v>
      </c>
      <c r="AC80" s="2" t="s">
        <v>823</v>
      </c>
    </row>
    <row r="81" spans="1:29" ht="28.5" hidden="1" x14ac:dyDescent="0.2">
      <c r="A81" s="105">
        <v>80</v>
      </c>
      <c r="B81" s="2">
        <v>29</v>
      </c>
      <c r="C81" s="36" t="str">
        <f>IF(ISERROR(VLOOKUP(I81,[1]DEP!$B$3:$E$583,1,FALSE)),"NO","SI")</f>
        <v>NO</v>
      </c>
      <c r="D81" s="2" t="str">
        <f>IF(ISERROR(VLOOKUP(I81,[2]FRG!$S$19:$U$288,1,FALSE)),"NO","SI")</f>
        <v>NO</v>
      </c>
      <c r="E81" s="2" t="str">
        <f>IF(ISERROR(VLOOKUP(I81,'[4]ARI 26 C33'!$C$1:$D$490,1,FALSE)),"NO","SI")</f>
        <v>NO</v>
      </c>
      <c r="F81" s="2" t="s">
        <v>175</v>
      </c>
      <c r="G81" s="2" t="s">
        <v>175</v>
      </c>
      <c r="H81" s="2" t="s">
        <v>78</v>
      </c>
      <c r="I81" s="7">
        <v>40075933</v>
      </c>
      <c r="J81" s="3" t="s">
        <v>792</v>
      </c>
      <c r="K81" s="3"/>
      <c r="L81" s="2" t="s">
        <v>49</v>
      </c>
      <c r="M81" s="15" t="s">
        <v>685</v>
      </c>
      <c r="N81" s="10">
        <v>45967</v>
      </c>
      <c r="O81" s="10">
        <v>45993</v>
      </c>
      <c r="P81" s="37">
        <f>IF(NETWORKDAYS(N81,O81,Feriados!$I$2:$I$22)-1&gt;=0,NETWORKDAYS(N81,O81,Feriados!$I$2:$I$22)-1,"NO APLICA")</f>
        <v>18</v>
      </c>
      <c r="Q81" s="10">
        <v>45967</v>
      </c>
      <c r="R81" s="9">
        <f t="shared" si="9"/>
        <v>45982</v>
      </c>
      <c r="S81" s="43">
        <v>45993</v>
      </c>
      <c r="T81" s="2">
        <v>15</v>
      </c>
      <c r="U81" s="9">
        <f>WORKDAY(Q81,T81,Feriados!$I$2:$I$22)</f>
        <v>45988</v>
      </c>
      <c r="V81" s="2">
        <f t="shared" si="10"/>
        <v>26</v>
      </c>
      <c r="W81" s="38">
        <f>IF(NETWORKDAYS(Q81,S81,Feriados!$I$2:$I$22)-1&gt;=0,NETWORKDAYS(Q81,S81,Feriados!$I$2:$I$22)-1,"NO APLICA")</f>
        <v>18</v>
      </c>
      <c r="X81" s="13">
        <f t="shared" ca="1" si="11"/>
        <v>-308</v>
      </c>
      <c r="Y81" s="2"/>
      <c r="Z81" s="2"/>
      <c r="AA81" s="57"/>
      <c r="AB81" s="88" t="s">
        <v>31</v>
      </c>
      <c r="AC81" s="2" t="s">
        <v>757</v>
      </c>
    </row>
    <row r="82" spans="1:29" ht="28.5" hidden="1" x14ac:dyDescent="0.2">
      <c r="A82" s="105">
        <v>81</v>
      </c>
      <c r="B82" s="2">
        <v>31</v>
      </c>
      <c r="C82" s="36" t="str">
        <f>IF(ISERROR(VLOOKUP(I82,[1]DEP!$B$3:$E$583,1,FALSE)),"NO","SI")</f>
        <v>NO</v>
      </c>
      <c r="D82" s="2" t="str">
        <f>IF(ISERROR(VLOOKUP(I82,[2]FRG!$S$19:$U$288,1,FALSE)),"NO","SI")</f>
        <v>NO</v>
      </c>
      <c r="E82" s="2" t="str">
        <f>IF(ISERROR(VLOOKUP(I82,'[4]ARI 26 C33'!$C$1:$D$490,1,FALSE)),"NO","SI")</f>
        <v>NO</v>
      </c>
      <c r="F82" s="2" t="s">
        <v>48</v>
      </c>
      <c r="G82" s="2" t="s">
        <v>794</v>
      </c>
      <c r="H82" s="2" t="s">
        <v>795</v>
      </c>
      <c r="I82" s="7">
        <v>40075367</v>
      </c>
      <c r="J82" s="3" t="s">
        <v>793</v>
      </c>
      <c r="K82" s="3"/>
      <c r="L82" s="2" t="s">
        <v>49</v>
      </c>
      <c r="M82" s="15" t="s">
        <v>685</v>
      </c>
      <c r="N82" s="10">
        <v>45979</v>
      </c>
      <c r="O82" s="10">
        <v>46001</v>
      </c>
      <c r="P82" s="37">
        <f>IF(NETWORKDAYS(N82,O82,Feriados!$I$2:$I$22)-1&gt;=0,NETWORKDAYS(N82,O82,Feriados!$I$2:$I$22)-1,"NO APLICA")</f>
        <v>15</v>
      </c>
      <c r="Q82" s="10">
        <v>45979</v>
      </c>
      <c r="R82" s="9">
        <f t="shared" si="9"/>
        <v>45994</v>
      </c>
      <c r="S82" s="43">
        <v>46001</v>
      </c>
      <c r="T82" s="2">
        <v>15</v>
      </c>
      <c r="U82" s="9">
        <f>WORKDAY(Q82,T82,Feriados!$I$2:$I$22)</f>
        <v>46001</v>
      </c>
      <c r="V82" s="2">
        <f t="shared" si="10"/>
        <v>22</v>
      </c>
      <c r="W82" s="38">
        <f>IF(NETWORKDAYS(Q82,S82,Feriados!$I$2:$I$22)-1&gt;=0,NETWORKDAYS(Q82,S82,Feriados!$I$2:$I$22)-1,"NO APLICA")</f>
        <v>15</v>
      </c>
      <c r="X82" s="13">
        <f t="shared" ca="1" si="11"/>
        <v>-295</v>
      </c>
      <c r="Y82" s="2"/>
      <c r="Z82" s="2"/>
      <c r="AA82" s="57"/>
      <c r="AB82" s="88" t="s">
        <v>31</v>
      </c>
      <c r="AC82" s="2" t="s">
        <v>366</v>
      </c>
    </row>
    <row r="83" spans="1:29" ht="28.5" hidden="1" x14ac:dyDescent="0.2">
      <c r="A83" s="105">
        <v>82</v>
      </c>
      <c r="B83" s="2">
        <v>31</v>
      </c>
      <c r="C83" s="36" t="str">
        <f>IF(ISERROR(VLOOKUP(I83,[1]DEP!$B$3:$E$583,1,FALSE)),"NO","SI")</f>
        <v>NO</v>
      </c>
      <c r="D83" s="2" t="str">
        <f>IF(ISERROR(VLOOKUP(I83,[2]FRG!$S$19:$U$288,1,FALSE)),"NO","SI")</f>
        <v>NO</v>
      </c>
      <c r="E83" s="2" t="str">
        <f>IF(ISERROR(VLOOKUP(I83,'[4]ARI 26 C33'!$C$1:$D$490,1,FALSE)),"NO","SI")</f>
        <v>SI</v>
      </c>
      <c r="F83" s="2" t="s">
        <v>45</v>
      </c>
      <c r="G83" s="2" t="s">
        <v>60</v>
      </c>
      <c r="H83" s="2" t="s">
        <v>797</v>
      </c>
      <c r="I83" s="7">
        <v>40064827</v>
      </c>
      <c r="J83" s="3" t="s">
        <v>796</v>
      </c>
      <c r="K83" s="3"/>
      <c r="L83" s="2" t="s">
        <v>49</v>
      </c>
      <c r="M83" s="15" t="s">
        <v>685</v>
      </c>
      <c r="N83" s="10">
        <v>45980</v>
      </c>
      <c r="O83" s="10">
        <v>46008</v>
      </c>
      <c r="P83" s="37">
        <f>IF(NETWORKDAYS(N83,O83,Feriados!$I$2:$I$22)-1&gt;=0,NETWORKDAYS(N83,O83,Feriados!$I$2:$I$22)-1,"NO APLICA")</f>
        <v>19</v>
      </c>
      <c r="Q83" s="10">
        <v>45980</v>
      </c>
      <c r="R83" s="9">
        <f t="shared" si="9"/>
        <v>45995</v>
      </c>
      <c r="S83" s="43">
        <v>46008</v>
      </c>
      <c r="T83" s="2">
        <v>15</v>
      </c>
      <c r="U83" s="9">
        <f>WORKDAY(Q83,T83,Feriados!$I$2:$I$22)</f>
        <v>46002</v>
      </c>
      <c r="V83" s="2">
        <f t="shared" si="10"/>
        <v>28</v>
      </c>
      <c r="W83" s="38">
        <f>IF(NETWORKDAYS(Q83,S83,Feriados!$I$2:$I$22)-1&gt;=0,NETWORKDAYS(Q83,S83,Feriados!$I$2:$I$22)-1,"NO APLICA")</f>
        <v>19</v>
      </c>
      <c r="X83" s="13">
        <f t="shared" ca="1" si="11"/>
        <v>-294</v>
      </c>
      <c r="Y83" s="2"/>
      <c r="Z83" s="2"/>
      <c r="AA83" s="57"/>
      <c r="AB83" s="88" t="s">
        <v>31</v>
      </c>
      <c r="AC83" s="2" t="s">
        <v>366</v>
      </c>
    </row>
    <row r="84" spans="1:29" ht="28.5" hidden="1" x14ac:dyDescent="0.2">
      <c r="A84" s="105">
        <v>83</v>
      </c>
      <c r="B84" s="2">
        <v>29</v>
      </c>
      <c r="C84" s="36" t="str">
        <f>IF(ISERROR(VLOOKUP(I84,[1]DEP!$B$3:$E$583,1,FALSE)),"NO","SI")</f>
        <v>NO</v>
      </c>
      <c r="D84" s="2" t="str">
        <f>IF(ISERROR(VLOOKUP(I84,[2]FRG!$S$19:$U$288,1,FALSE)),"NO","SI")</f>
        <v>NO</v>
      </c>
      <c r="E84" s="2" t="str">
        <f>IF(ISERROR(VLOOKUP(I84,'[4]ARI 26 C33'!$C$1:$D$490,1,FALSE)),"NO","SI")</f>
        <v>NO</v>
      </c>
      <c r="F84" s="2" t="s">
        <v>42</v>
      </c>
      <c r="G84" s="2" t="s">
        <v>42</v>
      </c>
      <c r="H84" s="2" t="s">
        <v>30</v>
      </c>
      <c r="I84" s="7">
        <v>40076844</v>
      </c>
      <c r="J84" s="3" t="s">
        <v>800</v>
      </c>
      <c r="K84" s="3"/>
      <c r="L84" s="2" t="s">
        <v>49</v>
      </c>
      <c r="M84" s="15" t="s">
        <v>685</v>
      </c>
      <c r="N84" s="10">
        <v>45981</v>
      </c>
      <c r="O84" s="10">
        <v>45994</v>
      </c>
      <c r="P84" s="37">
        <f>IF(NETWORKDAYS(N84,O84,Feriados!$I$2:$I$22)-1&gt;=0,NETWORKDAYS(N84,O84,Feriados!$I$2:$I$22)-1,"NO APLICA")</f>
        <v>9</v>
      </c>
      <c r="Q84" s="10">
        <v>45981</v>
      </c>
      <c r="R84" s="9">
        <f t="shared" si="9"/>
        <v>45996</v>
      </c>
      <c r="S84" s="43">
        <v>45994</v>
      </c>
      <c r="T84" s="2">
        <v>15</v>
      </c>
      <c r="U84" s="9">
        <f>WORKDAY(Q84,T84,Feriados!$I$2:$I$22)</f>
        <v>46003</v>
      </c>
      <c r="V84" s="2">
        <f t="shared" si="10"/>
        <v>13</v>
      </c>
      <c r="W84" s="38">
        <f>IF(NETWORKDAYS(Q84,S84,Feriados!$I$2:$I$22)-1&gt;=0,NETWORKDAYS(Q84,S84,Feriados!$I$2:$I$22)-1,"NO APLICA")</f>
        <v>9</v>
      </c>
      <c r="X84" s="13">
        <f t="shared" ca="1" si="11"/>
        <v>-293</v>
      </c>
      <c r="Y84" s="2"/>
      <c r="Z84" s="2"/>
      <c r="AA84" s="57"/>
      <c r="AB84" s="88" t="s">
        <v>31</v>
      </c>
      <c r="AC84" s="2" t="s">
        <v>757</v>
      </c>
    </row>
    <row r="85" spans="1:29" ht="28.5" hidden="1" x14ac:dyDescent="0.2">
      <c r="A85" s="105">
        <v>84</v>
      </c>
      <c r="B85" s="2">
        <v>31</v>
      </c>
      <c r="C85" s="36" t="str">
        <f>IF(ISERROR(VLOOKUP(I85,[1]DEP!$B$3:$E$583,1,FALSE)),"NO","SI")</f>
        <v>NO</v>
      </c>
      <c r="D85" s="2" t="str">
        <f>IF(ISERROR(VLOOKUP(I85,[2]FRG!$S$19:$U$288,1,FALSE)),"NO","SI")</f>
        <v>NO</v>
      </c>
      <c r="E85" s="2" t="str">
        <f>IF(ISERROR(VLOOKUP(I85,'[4]ARI 26 C33'!$C$1:$D$490,1,FALSE)),"NO","SI")</f>
        <v>SI</v>
      </c>
      <c r="F85" s="2" t="s">
        <v>568</v>
      </c>
      <c r="G85" s="2" t="s">
        <v>56</v>
      </c>
      <c r="H85" s="2" t="s">
        <v>802</v>
      </c>
      <c r="I85" s="7">
        <v>40072350</v>
      </c>
      <c r="J85" s="16" t="s">
        <v>801</v>
      </c>
      <c r="K85" s="3">
        <v>1202745000</v>
      </c>
      <c r="L85" s="2" t="s">
        <v>49</v>
      </c>
      <c r="M85" s="15" t="s">
        <v>62</v>
      </c>
      <c r="N85" s="10">
        <v>46015</v>
      </c>
      <c r="O85" s="10">
        <v>46020</v>
      </c>
      <c r="P85" s="37">
        <f>IF(NETWORKDAYS(N85,O85,Feriados!$I$2:$I$22)-1&gt;=0,NETWORKDAYS(N85,O85,Feriados!$I$2:$I$22)-1,"NO APLICA")</f>
        <v>2</v>
      </c>
      <c r="Q85" s="10">
        <v>46015</v>
      </c>
      <c r="R85" s="9">
        <f t="shared" si="9"/>
        <v>46030</v>
      </c>
      <c r="S85" s="43">
        <v>46020</v>
      </c>
      <c r="T85" s="2">
        <v>15</v>
      </c>
      <c r="U85" s="9">
        <f>WORKDAY(Q85,T85,Feriados!$I$2:$I$22)</f>
        <v>46037</v>
      </c>
      <c r="V85" s="2">
        <f t="shared" si="10"/>
        <v>5</v>
      </c>
      <c r="W85" s="38">
        <f>IF(NETWORKDAYS(Q85,S85,Feriados!$I$2:$I$22)-1&gt;=0,NETWORKDAYS(Q85,S85,Feriados!$I$2:$I$22)-1,"NO APLICA")</f>
        <v>2</v>
      </c>
      <c r="X85" s="13">
        <f t="shared" ca="1" si="11"/>
        <v>-259</v>
      </c>
      <c r="Y85" s="3" t="s">
        <v>833</v>
      </c>
      <c r="Z85" s="2" t="s">
        <v>154</v>
      </c>
      <c r="AA85" s="57"/>
      <c r="AB85" s="88" t="s">
        <v>31</v>
      </c>
      <c r="AC85" s="2" t="s">
        <v>366</v>
      </c>
    </row>
    <row r="86" spans="1:29" hidden="1" x14ac:dyDescent="0.2">
      <c r="A86" s="105">
        <v>85</v>
      </c>
      <c r="B86" s="2">
        <v>29</v>
      </c>
      <c r="C86" s="36" t="str">
        <f>IF(ISERROR(VLOOKUP(I86,[1]DEP!$B$3:$E$583,1,FALSE)),"NO","SI")</f>
        <v>NO</v>
      </c>
      <c r="D86" s="2" t="str">
        <f>IF(ISERROR(VLOOKUP(I86,[2]FRG!$S$19:$U$288,1,FALSE)),"NO","SI")</f>
        <v>NO</v>
      </c>
      <c r="E86" s="2" t="str">
        <f>IF(ISERROR(VLOOKUP(I86,'[4]ARI 26 C33'!$C$1:$D$490,1,FALSE)),"NO","SI")</f>
        <v>NO</v>
      </c>
      <c r="F86" s="2" t="s">
        <v>175</v>
      </c>
      <c r="G86" s="2" t="s">
        <v>175</v>
      </c>
      <c r="H86" s="2" t="s">
        <v>805</v>
      </c>
      <c r="I86" s="7">
        <v>40070111</v>
      </c>
      <c r="J86" s="3" t="s">
        <v>804</v>
      </c>
      <c r="K86" s="3"/>
      <c r="L86" s="2" t="s">
        <v>49</v>
      </c>
      <c r="M86" s="15" t="s">
        <v>685</v>
      </c>
      <c r="N86" s="10">
        <v>45980</v>
      </c>
      <c r="O86" s="10">
        <v>46003</v>
      </c>
      <c r="P86" s="37">
        <f>IF(NETWORKDAYS(N86,O86,Feriados!$I$2:$I$22)-1&gt;=0,NETWORKDAYS(N86,O86,Feriados!$I$2:$I$22)-1,"NO APLICA")</f>
        <v>16</v>
      </c>
      <c r="Q86" s="10">
        <v>45980</v>
      </c>
      <c r="R86" s="9">
        <f t="shared" si="9"/>
        <v>45995</v>
      </c>
      <c r="S86" s="43">
        <v>46003</v>
      </c>
      <c r="T86" s="2">
        <v>15</v>
      </c>
      <c r="U86" s="9">
        <f>WORKDAY(Q86,T86,Feriados!$I$2:$I$22)</f>
        <v>46002</v>
      </c>
      <c r="V86" s="2">
        <f t="shared" si="10"/>
        <v>23</v>
      </c>
      <c r="W86" s="38">
        <f>IF(NETWORKDAYS(Q86,S86,Feriados!$I$2:$I$22)-1&gt;=0,NETWORKDAYS(Q86,S86,Feriados!$I$2:$I$22)-1,"NO APLICA")</f>
        <v>16</v>
      </c>
      <c r="X86" s="13">
        <f t="shared" ca="1" si="11"/>
        <v>-294</v>
      </c>
      <c r="Y86" s="2"/>
      <c r="Z86" s="2"/>
      <c r="AA86" s="57"/>
      <c r="AB86" s="88" t="s">
        <v>31</v>
      </c>
      <c r="AC86" s="2" t="s">
        <v>757</v>
      </c>
    </row>
    <row r="87" spans="1:29" ht="28.5" hidden="1" x14ac:dyDescent="0.2">
      <c r="A87" s="105">
        <v>86</v>
      </c>
      <c r="B87" s="2">
        <v>29</v>
      </c>
      <c r="C87" s="36" t="str">
        <f>IF(ISERROR(VLOOKUP(I87,[1]DEP!$B$3:$E$583,1,FALSE)),"NO","SI")</f>
        <v>NO</v>
      </c>
      <c r="D87" s="2" t="str">
        <f>IF(ISERROR(VLOOKUP(I87,[2]FRG!$S$19:$U$288,1,FALSE)),"NO","SI")</f>
        <v>NO</v>
      </c>
      <c r="E87" s="2" t="str">
        <f>IF(ISERROR(VLOOKUP(I87,'[4]ARI 26 C33'!$C$1:$D$490,1,FALSE)),"NO","SI")</f>
        <v>NO</v>
      </c>
      <c r="F87" s="2" t="s">
        <v>48</v>
      </c>
      <c r="G87" s="2" t="s">
        <v>393</v>
      </c>
      <c r="H87" s="2" t="s">
        <v>397</v>
      </c>
      <c r="I87" s="7">
        <v>40066280</v>
      </c>
      <c r="J87" s="3" t="s">
        <v>807</v>
      </c>
      <c r="K87" s="3"/>
      <c r="L87" s="2" t="s">
        <v>49</v>
      </c>
      <c r="M87" s="15" t="s">
        <v>685</v>
      </c>
      <c r="N87" s="10">
        <v>45987</v>
      </c>
      <c r="O87" s="10">
        <v>46009</v>
      </c>
      <c r="P87" s="37">
        <f>IF(NETWORKDAYS(N87,O87,Feriados!$I$2:$I$22)-1&gt;=0,NETWORKDAYS(N87,O87,Feriados!$I$2:$I$22)-1,"NO APLICA")</f>
        <v>15</v>
      </c>
      <c r="Q87" s="10">
        <v>45987</v>
      </c>
      <c r="R87" s="9">
        <f t="shared" si="9"/>
        <v>46002</v>
      </c>
      <c r="S87" s="43">
        <v>46009</v>
      </c>
      <c r="T87" s="2">
        <v>15</v>
      </c>
      <c r="U87" s="9">
        <f>WORKDAY(Q87,T87,Feriados!$I$2:$I$22)</f>
        <v>46009</v>
      </c>
      <c r="V87" s="2">
        <f t="shared" si="10"/>
        <v>22</v>
      </c>
      <c r="W87" s="38">
        <f>IF(NETWORKDAYS(Q87,S87,Feriados!$I$2:$I$22)-1&gt;=0,NETWORKDAYS(Q87,S87,Feriados!$I$2:$I$22)-1,"NO APLICA")</f>
        <v>15</v>
      </c>
      <c r="X87" s="13">
        <f t="shared" ca="1" si="11"/>
        <v>-287</v>
      </c>
      <c r="Y87" s="2"/>
      <c r="Z87" s="2"/>
      <c r="AA87" s="57"/>
      <c r="AB87" s="88" t="s">
        <v>31</v>
      </c>
      <c r="AC87" s="2" t="s">
        <v>820</v>
      </c>
    </row>
    <row r="88" spans="1:29" ht="16.5" hidden="1" customHeight="1" x14ac:dyDescent="0.2">
      <c r="A88" s="105">
        <v>87</v>
      </c>
      <c r="B88" s="2">
        <v>29</v>
      </c>
      <c r="C88" s="36" t="str">
        <f>IF(ISERROR(VLOOKUP(I88,[1]DEP!$B$3:$E$583,1,FALSE)),"NO","SI")</f>
        <v>NO</v>
      </c>
      <c r="D88" s="2" t="str">
        <f>IF(ISERROR(VLOOKUP(I88,[2]FRG!$S$19:$U$288,1,FALSE)),"NO","SI")</f>
        <v>NO</v>
      </c>
      <c r="E88" s="2" t="str">
        <f>IF(ISERROR(VLOOKUP(I88,'[4]ARI 26 C33'!$C$1:$D$490,1,FALSE)),"NO","SI")</f>
        <v>NO</v>
      </c>
      <c r="F88" s="2" t="s">
        <v>45</v>
      </c>
      <c r="G88" s="2" t="s">
        <v>70</v>
      </c>
      <c r="H88" s="2" t="s">
        <v>78</v>
      </c>
      <c r="I88" s="7">
        <v>40072810</v>
      </c>
      <c r="J88" s="3" t="s">
        <v>809</v>
      </c>
      <c r="K88" s="3"/>
      <c r="L88" s="2" t="s">
        <v>49</v>
      </c>
      <c r="M88" s="15" t="s">
        <v>685</v>
      </c>
      <c r="N88" s="10">
        <v>45957</v>
      </c>
      <c r="O88" s="10">
        <v>45994</v>
      </c>
      <c r="P88" s="37">
        <f>IF(NETWORKDAYS(N88,O88,Feriados!$I$2:$I$22)-1&gt;=0,NETWORKDAYS(N88,O88,Feriados!$I$2:$I$22)-1,"NO APLICA")</f>
        <v>26</v>
      </c>
      <c r="Q88" s="10">
        <v>45957</v>
      </c>
      <c r="R88" s="9">
        <f t="shared" si="9"/>
        <v>45972</v>
      </c>
      <c r="S88" s="43">
        <v>45994</v>
      </c>
      <c r="T88" s="2">
        <v>15</v>
      </c>
      <c r="U88" s="9">
        <f>WORKDAY(Q88,T88,Feriados!$I$2:$I$22)</f>
        <v>45979</v>
      </c>
      <c r="V88" s="2">
        <f t="shared" si="10"/>
        <v>37</v>
      </c>
      <c r="W88" s="38">
        <f>IF(NETWORKDAYS(Q88,S88,Feriados!$I$2:$I$22)-1&gt;=0,NETWORKDAYS(Q88,S88,Feriados!$I$2:$I$22)-1,"NO APLICA")</f>
        <v>26</v>
      </c>
      <c r="X88" s="13">
        <f t="shared" ca="1" si="11"/>
        <v>-317</v>
      </c>
      <c r="Y88" s="2"/>
      <c r="Z88" s="2"/>
      <c r="AA88" s="57"/>
      <c r="AB88" s="88" t="s">
        <v>31</v>
      </c>
      <c r="AC88" s="2" t="s">
        <v>757</v>
      </c>
    </row>
    <row r="89" spans="1:29" ht="28.5" hidden="1" x14ac:dyDescent="0.2">
      <c r="A89" s="105">
        <v>88</v>
      </c>
      <c r="B89" s="2">
        <v>29</v>
      </c>
      <c r="C89" s="36" t="str">
        <f>IF(ISERROR(VLOOKUP(I89,[1]DEP!$B$3:$E$583,1,FALSE)),"NO","SI")</f>
        <v>NO</v>
      </c>
      <c r="D89" s="2" t="str">
        <f>IF(ISERROR(VLOOKUP(I89,[2]FRG!$S$19:$U$288,1,FALSE)),"NO","SI")</f>
        <v>NO</v>
      </c>
      <c r="E89" s="2" t="str">
        <f>IF(ISERROR(VLOOKUP(I89,'[4]ARI 26 C33'!$C$1:$D$490,1,FALSE)),"NO","SI")</f>
        <v>NO</v>
      </c>
      <c r="F89" s="2" t="s">
        <v>175</v>
      </c>
      <c r="G89" s="2" t="s">
        <v>175</v>
      </c>
      <c r="H89" s="2" t="s">
        <v>102</v>
      </c>
      <c r="I89" s="7">
        <v>40077203</v>
      </c>
      <c r="J89" s="3" t="s">
        <v>808</v>
      </c>
      <c r="K89" s="3"/>
      <c r="L89" s="2" t="s">
        <v>49</v>
      </c>
      <c r="M89" s="15" t="s">
        <v>685</v>
      </c>
      <c r="N89" s="10">
        <v>45988</v>
      </c>
      <c r="O89" s="10">
        <v>46009</v>
      </c>
      <c r="P89" s="37">
        <f>IF(NETWORKDAYS(N89,O89,Feriados!$I$2:$I$22)-1&gt;=0,NETWORKDAYS(N89,O89,Feriados!$I$2:$I$22)-1,"NO APLICA")</f>
        <v>14</v>
      </c>
      <c r="Q89" s="10">
        <v>45988</v>
      </c>
      <c r="R89" s="9">
        <f t="shared" si="9"/>
        <v>46003</v>
      </c>
      <c r="S89" s="43">
        <v>46009</v>
      </c>
      <c r="T89" s="2">
        <v>15</v>
      </c>
      <c r="U89" s="9">
        <f>WORKDAY(Q89,T89,Feriados!$I$2:$I$22)</f>
        <v>46010</v>
      </c>
      <c r="V89" s="2">
        <f t="shared" si="10"/>
        <v>21</v>
      </c>
      <c r="W89" s="38">
        <f>IF(NETWORKDAYS(Q89,S89,Feriados!$I$2:$I$22)-1&gt;=0,NETWORKDAYS(Q89,S89,Feriados!$I$2:$I$22)-1,"NO APLICA")</f>
        <v>14</v>
      </c>
      <c r="X89" s="13">
        <f t="shared" ca="1" si="11"/>
        <v>-286</v>
      </c>
      <c r="Y89" s="2"/>
      <c r="Z89" s="2"/>
      <c r="AA89" s="57"/>
      <c r="AB89" s="88" t="s">
        <v>31</v>
      </c>
      <c r="AC89" s="2" t="s">
        <v>786</v>
      </c>
    </row>
    <row r="90" spans="1:29" ht="28.5" hidden="1" x14ac:dyDescent="0.2">
      <c r="A90" s="105">
        <v>89</v>
      </c>
      <c r="B90" s="2">
        <v>29</v>
      </c>
      <c r="C90" s="36" t="str">
        <f>IF(ISERROR(VLOOKUP(I90,[1]DEP!$B$3:$E$583,1,FALSE)),"NO","SI")</f>
        <v>NO</v>
      </c>
      <c r="D90" s="2" t="str">
        <f>IF(ISERROR(VLOOKUP(I90,[2]FRG!$S$19:$U$288,1,FALSE)),"NO","SI")</f>
        <v>NO</v>
      </c>
      <c r="E90" s="2" t="str">
        <f>IF(ISERROR(VLOOKUP(I90,'[4]ARI 26 C33'!$C$1:$D$490,1,FALSE)),"NO","SI")</f>
        <v>NO</v>
      </c>
      <c r="F90" s="2" t="s">
        <v>48</v>
      </c>
      <c r="G90" s="2" t="s">
        <v>69</v>
      </c>
      <c r="H90" s="2" t="s">
        <v>78</v>
      </c>
      <c r="I90" s="7">
        <v>40071986</v>
      </c>
      <c r="J90" s="3" t="s">
        <v>810</v>
      </c>
      <c r="K90" s="3"/>
      <c r="L90" s="2" t="s">
        <v>49</v>
      </c>
      <c r="M90" s="15" t="s">
        <v>685</v>
      </c>
      <c r="N90" s="10">
        <v>45995</v>
      </c>
      <c r="O90" s="10">
        <v>46020</v>
      </c>
      <c r="P90" s="37">
        <f>IF(NETWORKDAYS(N90,O90,Feriados!$I$2:$I$22)-1&gt;=0,NETWORKDAYS(N90,O90,Feriados!$I$2:$I$22)-1,"NO APLICA")</f>
        <v>15</v>
      </c>
      <c r="Q90" s="10">
        <v>45995</v>
      </c>
      <c r="R90" s="9">
        <f t="shared" si="9"/>
        <v>46010</v>
      </c>
      <c r="S90" s="43">
        <v>46020</v>
      </c>
      <c r="T90" s="2">
        <v>15</v>
      </c>
      <c r="U90" s="9">
        <f>WORKDAY(Q90,T90,Feriados!$I$2:$I$22)</f>
        <v>46020</v>
      </c>
      <c r="V90" s="2">
        <f t="shared" si="10"/>
        <v>25</v>
      </c>
      <c r="W90" s="38">
        <f>IF(NETWORKDAYS(Q90,S90,Feriados!$I$2:$I$22)-1&gt;=0,NETWORKDAYS(Q90,S90,Feriados!$I$2:$I$22)-1,"NO APLICA")</f>
        <v>15</v>
      </c>
      <c r="X90" s="13">
        <f t="shared" ca="1" si="11"/>
        <v>-276</v>
      </c>
      <c r="Y90" s="2"/>
      <c r="Z90" s="2"/>
      <c r="AA90" s="57"/>
      <c r="AB90" s="88" t="s">
        <v>31</v>
      </c>
      <c r="AC90" s="2" t="s">
        <v>757</v>
      </c>
    </row>
    <row r="91" spans="1:29" ht="28.5" hidden="1" x14ac:dyDescent="0.2">
      <c r="A91" s="105">
        <v>90</v>
      </c>
      <c r="B91" s="2">
        <v>29</v>
      </c>
      <c r="C91" s="36" t="str">
        <f>IF(ISERROR(VLOOKUP(I91,[1]DEP!$B$3:$E$583,1,FALSE)),"NO","SI")</f>
        <v>NO</v>
      </c>
      <c r="D91" s="2" t="str">
        <f>IF(ISERROR(VLOOKUP(I91,[2]FRG!$S$19:$U$288,1,FALSE)),"NO","SI")</f>
        <v>NO</v>
      </c>
      <c r="E91" s="2" t="str">
        <f>IF(ISERROR(VLOOKUP(I91,'[4]ARI 26 C33'!$C$1:$D$490,1,FALSE)),"NO","SI")</f>
        <v>NO</v>
      </c>
      <c r="F91" s="2" t="s">
        <v>568</v>
      </c>
      <c r="G91" s="2" t="s">
        <v>50</v>
      </c>
      <c r="H91" s="2" t="s">
        <v>814</v>
      </c>
      <c r="I91" s="7">
        <v>40077486</v>
      </c>
      <c r="J91" s="3" t="s">
        <v>813</v>
      </c>
      <c r="K91" s="3"/>
      <c r="L91" s="2" t="s">
        <v>49</v>
      </c>
      <c r="M91" s="15" t="s">
        <v>685</v>
      </c>
      <c r="N91" s="10">
        <v>46000</v>
      </c>
      <c r="O91" s="10">
        <v>46020</v>
      </c>
      <c r="P91" s="37">
        <f>IF(NETWORKDAYS(N91,O91,Feriados!$I$2:$I$22)-1&gt;=0,NETWORKDAYS(N91,O91,Feriados!$I$2:$I$22)-1,"NO APLICA")</f>
        <v>13</v>
      </c>
      <c r="Q91" s="10">
        <v>46000</v>
      </c>
      <c r="R91" s="9">
        <f t="shared" si="9"/>
        <v>46015</v>
      </c>
      <c r="S91" s="43">
        <v>46020</v>
      </c>
      <c r="T91" s="2">
        <v>15</v>
      </c>
      <c r="U91" s="9">
        <f>WORKDAY(Q91,T91,Feriados!$I$2:$I$22)</f>
        <v>46022</v>
      </c>
      <c r="V91" s="2">
        <f t="shared" si="10"/>
        <v>20</v>
      </c>
      <c r="W91" s="38">
        <f>IF(NETWORKDAYS(Q91,S91,Feriados!$I$2:$I$22)-1&gt;=0,NETWORKDAYS(Q91,S91,Feriados!$I$2:$I$22)-1,"NO APLICA")</f>
        <v>13</v>
      </c>
      <c r="X91" s="13">
        <f t="shared" ca="1" si="11"/>
        <v>-274</v>
      </c>
      <c r="Y91" s="2"/>
      <c r="Z91" s="2"/>
      <c r="AA91" s="57"/>
      <c r="AB91" s="88" t="s">
        <v>31</v>
      </c>
      <c r="AC91" s="2" t="s">
        <v>366</v>
      </c>
    </row>
    <row r="92" spans="1:29" ht="28.5" hidden="1" x14ac:dyDescent="0.2">
      <c r="A92" s="105">
        <v>91</v>
      </c>
      <c r="B92" s="2">
        <v>31</v>
      </c>
      <c r="C92" s="36" t="str">
        <f>IF(ISERROR(VLOOKUP(I92,[1]DEP!$B$3:$E$583,1,FALSE)),"NO","SI")</f>
        <v>NO</v>
      </c>
      <c r="D92" s="2" t="str">
        <f>IF(ISERROR(VLOOKUP(I92,[2]FRG!$S$19:$U$288,1,FALSE)),"NO","SI")</f>
        <v>NO</v>
      </c>
      <c r="E92" s="2" t="str">
        <f>IF(ISERROR(VLOOKUP(I92,'[4]ARI 26 C33'!$C$1:$D$490,1,FALSE)),"NO","SI")</f>
        <v>SI</v>
      </c>
      <c r="F92" s="2" t="s">
        <v>42</v>
      </c>
      <c r="G92" s="2" t="s">
        <v>43</v>
      </c>
      <c r="H92" s="2" t="s">
        <v>26</v>
      </c>
      <c r="I92" s="7">
        <v>40055184</v>
      </c>
      <c r="J92" s="3" t="s">
        <v>639</v>
      </c>
      <c r="K92" s="3"/>
      <c r="L92" s="2" t="s">
        <v>49</v>
      </c>
      <c r="M92" s="15" t="s">
        <v>685</v>
      </c>
      <c r="N92" s="10">
        <v>46000</v>
      </c>
      <c r="O92" s="10">
        <v>46385</v>
      </c>
      <c r="P92" s="37">
        <f>IF(NETWORKDAYS(N92,O92,Feriados!$I$2:$I$22)-1&gt;=0,NETWORKDAYS(N92,O92,Feriados!$I$2:$I$22)-1,"NO APLICA")</f>
        <v>274</v>
      </c>
      <c r="Q92" s="10">
        <v>46000</v>
      </c>
      <c r="R92" s="9">
        <f t="shared" si="9"/>
        <v>46015</v>
      </c>
      <c r="S92" s="43">
        <v>46385</v>
      </c>
      <c r="T92" s="2">
        <v>15</v>
      </c>
      <c r="U92" s="9">
        <f>WORKDAY(Q92,T92,Feriados!$I$2:$I$22)</f>
        <v>46022</v>
      </c>
      <c r="V92" s="2">
        <f t="shared" si="10"/>
        <v>385</v>
      </c>
      <c r="W92" s="38">
        <f>IF(NETWORKDAYS(Q92,S92,Feriados!$I$2:$I$22)-1&gt;=0,NETWORKDAYS(Q92,S92,Feriados!$I$2:$I$22)-1,"NO APLICA")</f>
        <v>274</v>
      </c>
      <c r="X92" s="13">
        <f t="shared" ca="1" si="11"/>
        <v>-274</v>
      </c>
      <c r="Y92" s="2"/>
      <c r="Z92" s="12" t="s">
        <v>161</v>
      </c>
      <c r="AA92" s="64"/>
      <c r="AB92" s="88" t="s">
        <v>31</v>
      </c>
      <c r="AC92" s="3" t="s">
        <v>821</v>
      </c>
    </row>
    <row r="93" spans="1:29" ht="28.5" hidden="1" x14ac:dyDescent="0.2">
      <c r="A93" s="105">
        <v>92</v>
      </c>
      <c r="B93" s="2">
        <v>29</v>
      </c>
      <c r="C93" s="36" t="str">
        <f>IF(ISERROR(VLOOKUP(I93,[1]DEP!$B$3:$E$583,1,FALSE)),"NO","SI")</f>
        <v>NO</v>
      </c>
      <c r="D93" s="2" t="str">
        <f>IF(ISERROR(VLOOKUP(I93,[2]FRG!$S$19:$U$288,1,FALSE)),"NO","SI")</f>
        <v>NO</v>
      </c>
      <c r="E93" s="2" t="str">
        <f>IF(ISERROR(VLOOKUP(I93,'[4]ARI 26 C33'!$C$1:$D$490,1,FALSE)),"NO","SI")</f>
        <v>NO</v>
      </c>
      <c r="F93" s="2" t="s">
        <v>48</v>
      </c>
      <c r="G93" s="2" t="s">
        <v>48</v>
      </c>
      <c r="H93" s="2" t="s">
        <v>5</v>
      </c>
      <c r="I93" s="7">
        <v>40076387</v>
      </c>
      <c r="J93" s="16" t="s">
        <v>815</v>
      </c>
      <c r="K93" s="3"/>
      <c r="L93" s="2" t="s">
        <v>49</v>
      </c>
      <c r="M93" s="15" t="s">
        <v>685</v>
      </c>
      <c r="N93" s="10">
        <v>46000</v>
      </c>
      <c r="O93" s="10">
        <v>46020</v>
      </c>
      <c r="P93" s="37">
        <f>IF(NETWORKDAYS(N93,O93,Feriados!$I$2:$I$22)-1&gt;=0,NETWORKDAYS(N93,O93,Feriados!$I$2:$I$22)-1,"NO APLICA")</f>
        <v>13</v>
      </c>
      <c r="Q93" s="10">
        <v>46000</v>
      </c>
      <c r="R93" s="9">
        <f t="shared" si="9"/>
        <v>46015</v>
      </c>
      <c r="S93" s="43">
        <v>46020</v>
      </c>
      <c r="T93" s="2">
        <v>15</v>
      </c>
      <c r="U93" s="9">
        <f>WORKDAY(Q93,T93,Feriados!$I$2:$I$22)</f>
        <v>46022</v>
      </c>
      <c r="V93" s="2">
        <f t="shared" si="10"/>
        <v>20</v>
      </c>
      <c r="W93" s="38">
        <f>IF(NETWORKDAYS(Q93,S93,Feriados!$I$2:$I$22)-1&gt;=0,NETWORKDAYS(Q93,S93,Feriados!$I$2:$I$22)-1,"NO APLICA")</f>
        <v>13</v>
      </c>
      <c r="X93" s="13">
        <f t="shared" ca="1" si="11"/>
        <v>-274</v>
      </c>
      <c r="Y93" s="2"/>
      <c r="Z93" s="12" t="s">
        <v>151</v>
      </c>
      <c r="AA93" s="64"/>
      <c r="AB93" s="88" t="s">
        <v>31</v>
      </c>
      <c r="AC93" s="2" t="s">
        <v>820</v>
      </c>
    </row>
    <row r="94" spans="1:29" ht="28.5" hidden="1" x14ac:dyDescent="0.2">
      <c r="A94" s="105">
        <v>93</v>
      </c>
      <c r="B94" s="2">
        <v>29</v>
      </c>
      <c r="C94" s="36" t="str">
        <f>IF(ISERROR(VLOOKUP(I94,[1]DEP!$B$3:$E$583,1,FALSE)),"NO","SI")</f>
        <v>NO</v>
      </c>
      <c r="D94" s="2" t="str">
        <f>IF(ISERROR(VLOOKUP(I94,[2]FRG!$S$19:$U$288,1,FALSE)),"NO","SI")</f>
        <v>NO</v>
      </c>
      <c r="E94" s="2" t="str">
        <f>IF(ISERROR(VLOOKUP(I94,'[4]ARI 26 C33'!$C$1:$D$490,1,FALSE)),"NO","SI")</f>
        <v>SI</v>
      </c>
      <c r="F94" s="2" t="s">
        <v>45</v>
      </c>
      <c r="G94" s="2" t="s">
        <v>55</v>
      </c>
      <c r="H94" s="2" t="s">
        <v>4</v>
      </c>
      <c r="I94" s="7">
        <v>40072782</v>
      </c>
      <c r="J94" s="3" t="s">
        <v>816</v>
      </c>
      <c r="K94" s="3"/>
      <c r="L94" s="2" t="s">
        <v>49</v>
      </c>
      <c r="M94" s="15" t="s">
        <v>685</v>
      </c>
      <c r="N94" s="125">
        <v>46001</v>
      </c>
      <c r="O94" s="10">
        <v>46020</v>
      </c>
      <c r="P94" s="37">
        <f>IF(NETWORKDAYS(N94,O94,Feriados!$I$2:$I$22)-1&gt;=0,NETWORKDAYS(N94,O94,Feriados!$I$2:$I$22)-1,"NO APLICA")</f>
        <v>12</v>
      </c>
      <c r="Q94" s="10">
        <v>46001</v>
      </c>
      <c r="R94" s="9">
        <f t="shared" si="9"/>
        <v>46016</v>
      </c>
      <c r="S94" s="43">
        <v>46020</v>
      </c>
      <c r="T94" s="2">
        <v>15</v>
      </c>
      <c r="U94" s="9">
        <f>WORKDAY(Q94,T94,Feriados!$I$2:$I$22)</f>
        <v>46023</v>
      </c>
      <c r="V94" s="2">
        <f t="shared" si="10"/>
        <v>19</v>
      </c>
      <c r="W94" s="38">
        <f>IF(NETWORKDAYS(Q94,S94,Feriados!$I$2:$I$22)-1&gt;=0,NETWORKDAYS(Q94,S94,Feriados!$I$2:$I$22)-1,"NO APLICA")</f>
        <v>12</v>
      </c>
      <c r="X94" s="13">
        <f t="shared" ca="1" si="11"/>
        <v>-273</v>
      </c>
      <c r="Y94" s="2"/>
      <c r="Z94" s="12"/>
      <c r="AA94" s="64"/>
      <c r="AB94" s="88" t="s">
        <v>31</v>
      </c>
      <c r="AC94" s="2" t="s">
        <v>366</v>
      </c>
    </row>
    <row r="95" spans="1:29" ht="28.5" hidden="1" x14ac:dyDescent="0.2">
      <c r="A95" s="105">
        <v>94</v>
      </c>
      <c r="B95" s="2">
        <v>29</v>
      </c>
      <c r="C95" s="36" t="str">
        <f>IF(ISERROR(VLOOKUP(I95,[1]DEP!$B$3:$E$583,1,FALSE)),"NO","SI")</f>
        <v>NO</v>
      </c>
      <c r="D95" s="2" t="str">
        <f>IF(ISERROR(VLOOKUP(I95,[2]FRG!$S$19:$U$288,1,FALSE)),"NO","SI")</f>
        <v>NO</v>
      </c>
      <c r="E95" s="2" t="str">
        <f>IF(ISERROR(VLOOKUP(I95,'[4]ARI 26 C33'!$C$1:$D$490,1,FALSE)),"NO","SI")</f>
        <v>NO</v>
      </c>
      <c r="F95" s="2" t="s">
        <v>42</v>
      </c>
      <c r="G95" s="2" t="s">
        <v>42</v>
      </c>
      <c r="H95" s="2" t="s">
        <v>30</v>
      </c>
      <c r="I95" s="7">
        <v>40077448</v>
      </c>
      <c r="J95" s="3" t="s">
        <v>817</v>
      </c>
      <c r="K95" s="3"/>
      <c r="L95" s="2" t="s">
        <v>49</v>
      </c>
      <c r="M95" s="15" t="s">
        <v>685</v>
      </c>
      <c r="N95" s="10">
        <v>46000</v>
      </c>
      <c r="O95" s="10">
        <v>46013</v>
      </c>
      <c r="P95" s="37">
        <f>IF(NETWORKDAYS(N95,O95,Feriados!$I$2:$I$22)-1&gt;=0,NETWORKDAYS(N95,O95,Feriados!$I$2:$I$22)-1,"NO APLICA")</f>
        <v>9</v>
      </c>
      <c r="Q95" s="10">
        <v>46000</v>
      </c>
      <c r="R95" s="9">
        <f t="shared" si="9"/>
        <v>46015</v>
      </c>
      <c r="S95" s="43">
        <v>46013</v>
      </c>
      <c r="T95" s="2">
        <v>15</v>
      </c>
      <c r="U95" s="9">
        <f>WORKDAY(Q95,T95,Feriados!$I$2:$I$22)</f>
        <v>46022</v>
      </c>
      <c r="V95" s="2">
        <f t="shared" si="10"/>
        <v>13</v>
      </c>
      <c r="W95" s="38">
        <f>IF(NETWORKDAYS(Q95,S95,Feriados!$I$2:$I$22)-1&gt;=0,NETWORKDAYS(Q95,S95,Feriados!$I$2:$I$22)-1,"NO APLICA")</f>
        <v>9</v>
      </c>
      <c r="X95" s="13">
        <f t="shared" ca="1" si="11"/>
        <v>-274</v>
      </c>
      <c r="Y95" s="2"/>
      <c r="Z95" s="12"/>
      <c r="AA95" s="64"/>
      <c r="AB95" s="88" t="s">
        <v>31</v>
      </c>
      <c r="AC95" s="2" t="s">
        <v>757</v>
      </c>
    </row>
    <row r="96" spans="1:29" ht="28.5" hidden="1" x14ac:dyDescent="0.2">
      <c r="A96" s="105">
        <v>95</v>
      </c>
      <c r="B96" s="2">
        <v>29</v>
      </c>
      <c r="C96" s="36" t="str">
        <f>IF(ISERROR(VLOOKUP(I96,[1]DEP!$B$3:$E$583,1,FALSE)),"NO","SI")</f>
        <v>NO</v>
      </c>
      <c r="D96" s="2" t="str">
        <f>IF(ISERROR(VLOOKUP(I96,[2]FRG!$S$19:$U$288,1,FALSE)),"NO","SI")</f>
        <v>NO</v>
      </c>
      <c r="E96" s="2" t="str">
        <f>IF(ISERROR(VLOOKUP(I96,'[4]ARI 26 C33'!$C$1:$D$490,1,FALSE)),"NO","SI")</f>
        <v>NO</v>
      </c>
      <c r="F96" s="2" t="s">
        <v>42</v>
      </c>
      <c r="G96" s="2" t="s">
        <v>42</v>
      </c>
      <c r="H96" s="2" t="s">
        <v>30</v>
      </c>
      <c r="I96" s="7">
        <v>40077453</v>
      </c>
      <c r="J96" s="3" t="s">
        <v>818</v>
      </c>
      <c r="K96" s="3"/>
      <c r="L96" s="2" t="s">
        <v>49</v>
      </c>
      <c r="M96" s="15" t="s">
        <v>685</v>
      </c>
      <c r="N96" s="10">
        <v>46000</v>
      </c>
      <c r="O96" s="10">
        <v>46010</v>
      </c>
      <c r="P96" s="37">
        <f>IF(NETWORKDAYS(N96,O96,Feriados!$I$2:$I$22)-1&gt;=0,NETWORKDAYS(N96,O96,Feriados!$I$2:$I$22)-1,"NO APLICA")</f>
        <v>8</v>
      </c>
      <c r="Q96" s="10">
        <v>46000</v>
      </c>
      <c r="R96" s="9">
        <f t="shared" si="9"/>
        <v>46015</v>
      </c>
      <c r="S96" s="43">
        <v>46010</v>
      </c>
      <c r="T96" s="2">
        <v>15</v>
      </c>
      <c r="U96" s="9">
        <f>WORKDAY(Q96,T96,Feriados!$I$2:$I$22)</f>
        <v>46022</v>
      </c>
      <c r="V96" s="2">
        <f t="shared" si="10"/>
        <v>10</v>
      </c>
      <c r="W96" s="38">
        <f>IF(NETWORKDAYS(Q96,S96,Feriados!$I$2:$I$22)-1&gt;=0,NETWORKDAYS(Q96,S96,Feriados!$I$2:$I$22)-1,"NO APLICA")</f>
        <v>8</v>
      </c>
      <c r="X96" s="13">
        <f t="shared" ca="1" si="11"/>
        <v>-274</v>
      </c>
      <c r="Y96" s="2"/>
      <c r="Z96" s="12"/>
      <c r="AA96" s="64"/>
      <c r="AB96" s="88" t="s">
        <v>31</v>
      </c>
      <c r="AC96" s="2" t="s">
        <v>757</v>
      </c>
    </row>
    <row r="97" spans="10:21" x14ac:dyDescent="0.2">
      <c r="M97" s="53"/>
    </row>
    <row r="98" spans="10:21" x14ac:dyDescent="0.2">
      <c r="M98" s="53"/>
    </row>
    <row r="99" spans="10:21" x14ac:dyDescent="0.2">
      <c r="K99" s="19">
        <f>87.03/2.5</f>
        <v>34.811999999999998</v>
      </c>
      <c r="M99" s="53"/>
    </row>
    <row r="100" spans="10:21" x14ac:dyDescent="0.2">
      <c r="J100" s="19">
        <f>50*6</f>
        <v>300</v>
      </c>
      <c r="M100" s="53"/>
    </row>
    <row r="101" spans="10:21" ht="15" thickBot="1" x14ac:dyDescent="0.25">
      <c r="J101" s="53"/>
      <c r="K101" s="19">
        <v>800</v>
      </c>
      <c r="M101" s="15" t="s">
        <v>698</v>
      </c>
      <c r="O101" s="53"/>
      <c r="P101" s="19">
        <v>12.77</v>
      </c>
    </row>
    <row r="102" spans="10:21" ht="15" thickBot="1" x14ac:dyDescent="0.25">
      <c r="J102" s="53"/>
      <c r="K102" s="19">
        <v>1000</v>
      </c>
      <c r="M102" s="15" t="s">
        <v>705</v>
      </c>
      <c r="O102" s="53"/>
      <c r="P102" s="19">
        <f>SUBTOTAL(9,P101:P101)</f>
        <v>12.77</v>
      </c>
      <c r="S102" s="113">
        <v>731063</v>
      </c>
      <c r="U102" s="115">
        <v>558177</v>
      </c>
    </row>
    <row r="103" spans="10:21" ht="27" thickBot="1" x14ac:dyDescent="0.25">
      <c r="J103" s="124" t="s">
        <v>803</v>
      </c>
      <c r="M103" s="53"/>
      <c r="S103" s="114">
        <v>39846</v>
      </c>
      <c r="U103" s="115">
        <v>11580</v>
      </c>
    </row>
    <row r="104" spans="10:21" ht="15" thickBot="1" x14ac:dyDescent="0.25">
      <c r="M104" s="53">
        <v>1175</v>
      </c>
      <c r="S104" s="120">
        <v>902</v>
      </c>
      <c r="U104" s="115">
        <v>52598</v>
      </c>
    </row>
    <row r="105" spans="10:21" ht="15" thickBot="1" x14ac:dyDescent="0.25">
      <c r="J105" s="19">
        <f>4*52</f>
        <v>208</v>
      </c>
      <c r="K105" s="19">
        <v>25.93</v>
      </c>
      <c r="M105" s="19">
        <f>+M104/5</f>
        <v>235</v>
      </c>
      <c r="N105" s="19">
        <f>+M105/52</f>
        <v>4.5192307692307692</v>
      </c>
      <c r="S105" s="114">
        <f>SUBTOTAL(9,S102:S104)</f>
        <v>771811</v>
      </c>
      <c r="U105" s="115">
        <v>85646</v>
      </c>
    </row>
    <row r="106" spans="10:21" ht="15" thickBot="1" x14ac:dyDescent="0.25">
      <c r="J106" s="53">
        <f>4.8*6.2</f>
        <v>29.759999999999998</v>
      </c>
      <c r="S106" s="114"/>
      <c r="U106" s="19">
        <f>SUBTOTAL(9,U102:U105)</f>
        <v>708001</v>
      </c>
    </row>
    <row r="107" spans="10:21" x14ac:dyDescent="0.2">
      <c r="J107" s="53">
        <v>15</v>
      </c>
      <c r="K107" s="19">
        <f>+K105/J105</f>
        <v>0.12466346153846154</v>
      </c>
    </row>
    <row r="108" spans="10:21" ht="15" thickBot="1" x14ac:dyDescent="0.25">
      <c r="J108" s="53"/>
    </row>
    <row r="109" spans="10:21" ht="15" thickBot="1" x14ac:dyDescent="0.25">
      <c r="M109" s="19">
        <v>105830500</v>
      </c>
      <c r="N109" s="113">
        <v>15400</v>
      </c>
      <c r="Q109" s="19">
        <v>634</v>
      </c>
    </row>
    <row r="110" spans="10:21" ht="15" thickBot="1" x14ac:dyDescent="0.25">
      <c r="J110" s="110"/>
      <c r="M110" s="19">
        <v>197600000</v>
      </c>
      <c r="N110" s="114">
        <v>676098</v>
      </c>
      <c r="Q110" s="19">
        <v>22</v>
      </c>
    </row>
    <row r="111" spans="10:21" ht="15" thickBot="1" x14ac:dyDescent="0.25">
      <c r="J111" s="110">
        <f>18-66</f>
        <v>-48</v>
      </c>
      <c r="M111" s="19">
        <f>SUM(M109:M110)</f>
        <v>303430500</v>
      </c>
      <c r="N111" s="114">
        <f>SUBTOTAL(9,N109:N110)</f>
        <v>691498</v>
      </c>
      <c r="Q111" s="19">
        <v>192</v>
      </c>
      <c r="S111" s="19">
        <f>4*9+8</f>
        <v>44</v>
      </c>
    </row>
    <row r="112" spans="10:21" x14ac:dyDescent="0.2">
      <c r="J112" s="110"/>
      <c r="Q112" s="19">
        <f>SUM(Q109:Q111)</f>
        <v>848</v>
      </c>
    </row>
    <row r="113" spans="7:21" ht="15" thickBot="1" x14ac:dyDescent="0.25">
      <c r="J113" s="110"/>
    </row>
    <row r="114" spans="7:21" ht="15" thickBot="1" x14ac:dyDescent="0.25">
      <c r="G114" s="113">
        <v>11580</v>
      </c>
      <c r="H114" s="122">
        <v>11580</v>
      </c>
      <c r="J114" s="19">
        <f>18/8</f>
        <v>2.25</v>
      </c>
      <c r="U114" s="19">
        <f>180/30</f>
        <v>6</v>
      </c>
    </row>
    <row r="115" spans="7:21" ht="16.5" thickBot="1" x14ac:dyDescent="0.3">
      <c r="G115" s="114">
        <v>551084</v>
      </c>
      <c r="H115" s="123">
        <v>551084</v>
      </c>
      <c r="J115" s="111"/>
      <c r="M115" s="109">
        <v>22932</v>
      </c>
      <c r="N115" s="109">
        <f>+M115*2</f>
        <v>45864</v>
      </c>
    </row>
    <row r="116" spans="7:21" ht="15" thickBot="1" x14ac:dyDescent="0.25">
      <c r="G116" s="114">
        <v>85646</v>
      </c>
      <c r="H116" s="123">
        <v>85646</v>
      </c>
    </row>
    <row r="117" spans="7:21" ht="15" thickBot="1" x14ac:dyDescent="0.25">
      <c r="G117" s="114">
        <v>52598</v>
      </c>
      <c r="H117" s="123">
        <v>52598</v>
      </c>
      <c r="J117" s="47"/>
      <c r="M117" s="108"/>
    </row>
    <row r="118" spans="7:21" ht="15" thickBot="1" x14ac:dyDescent="0.25">
      <c r="G118" s="19">
        <f>SUBTOTAL(9,G114:G117)</f>
        <v>700908</v>
      </c>
      <c r="H118" s="123">
        <f>SUBTOTAL(9,H114:H117)</f>
        <v>700908</v>
      </c>
      <c r="J118" s="126">
        <v>22.45</v>
      </c>
      <c r="M118" s="19">
        <f>28+8</f>
        <v>36</v>
      </c>
      <c r="R118" s="19">
        <f>3*52</f>
        <v>156</v>
      </c>
    </row>
    <row r="119" spans="7:21" x14ac:dyDescent="0.2">
      <c r="J119" s="126">
        <v>22.72</v>
      </c>
      <c r="M119" s="19">
        <v>42</v>
      </c>
      <c r="R119" s="19">
        <f>+R118/30</f>
        <v>5.2</v>
      </c>
    </row>
    <row r="120" spans="7:21" x14ac:dyDescent="0.2">
      <c r="J120" s="126"/>
      <c r="M120" s="19">
        <v>25</v>
      </c>
    </row>
    <row r="121" spans="7:21" x14ac:dyDescent="0.2">
      <c r="J121" s="126">
        <v>22.95</v>
      </c>
      <c r="L121" s="19">
        <f>900000/12</f>
        <v>75000</v>
      </c>
      <c r="M121" s="19">
        <v>18</v>
      </c>
    </row>
    <row r="122" spans="7:21" x14ac:dyDescent="0.2">
      <c r="J122" s="126">
        <v>23.01</v>
      </c>
      <c r="M122" s="19">
        <v>21</v>
      </c>
    </row>
    <row r="123" spans="7:21" x14ac:dyDescent="0.2">
      <c r="G123" s="19">
        <f>180/30</f>
        <v>6</v>
      </c>
      <c r="J123" s="126">
        <f>+J121-J122</f>
        <v>-6.0000000000002274E-2</v>
      </c>
      <c r="Q123" s="19">
        <v>10830</v>
      </c>
    </row>
    <row r="124" spans="7:21" x14ac:dyDescent="0.2">
      <c r="I124" s="116"/>
      <c r="Q124" s="19">
        <v>12460</v>
      </c>
    </row>
    <row r="125" spans="7:21" x14ac:dyDescent="0.2">
      <c r="J125" s="47"/>
      <c r="M125" s="19">
        <v>2008</v>
      </c>
      <c r="Q125" s="19">
        <f>SUBTOTAL(9,Q123:Q124)</f>
        <v>23290</v>
      </c>
    </row>
    <row r="126" spans="7:21" x14ac:dyDescent="0.2">
      <c r="I126" s="116"/>
      <c r="J126" s="112"/>
      <c r="M126" s="19">
        <v>2025</v>
      </c>
    </row>
    <row r="127" spans="7:21" x14ac:dyDescent="0.2">
      <c r="M127" s="19">
        <f>+M126-M125</f>
        <v>17</v>
      </c>
    </row>
    <row r="128" spans="7:21" x14ac:dyDescent="0.2">
      <c r="I128" s="117"/>
      <c r="J128" s="116"/>
      <c r="M128" s="19">
        <v>381529</v>
      </c>
      <c r="Q128" s="19">
        <v>607177000</v>
      </c>
    </row>
    <row r="129" spans="9:25" x14ac:dyDescent="0.2">
      <c r="I129" s="118"/>
      <c r="M129" s="53">
        <f>+M128/M127</f>
        <v>22442.882352941175</v>
      </c>
    </row>
    <row r="133" spans="9:25" x14ac:dyDescent="0.2">
      <c r="S133" t="s">
        <v>753</v>
      </c>
      <c r="X133" s="19">
        <f>1458/52</f>
        <v>28.03846153846154</v>
      </c>
      <c r="Y133" s="19">
        <f>+X133/4</f>
        <v>7.009615384615385</v>
      </c>
    </row>
    <row r="134" spans="9:25" x14ac:dyDescent="0.2">
      <c r="S134" t="s">
        <v>754</v>
      </c>
      <c r="X134" s="19">
        <f>1708/52</f>
        <v>32.846153846153847</v>
      </c>
      <c r="Y134" s="19">
        <f>+X134/5</f>
        <v>6.569230769230769</v>
      </c>
    </row>
    <row r="135" spans="9:25" x14ac:dyDescent="0.2">
      <c r="J135" s="110">
        <v>20526</v>
      </c>
      <c r="K135" s="110">
        <v>20525058</v>
      </c>
    </row>
    <row r="136" spans="9:25" x14ac:dyDescent="0.2">
      <c r="J136" s="110">
        <v>1100</v>
      </c>
      <c r="K136" s="110">
        <v>1100000</v>
      </c>
    </row>
    <row r="137" spans="9:25" x14ac:dyDescent="0.2">
      <c r="J137" s="110">
        <v>1800932</v>
      </c>
      <c r="K137" s="110">
        <v>1800931295</v>
      </c>
    </row>
    <row r="138" spans="9:25" x14ac:dyDescent="0.2">
      <c r="J138" s="110">
        <f>SUBTOTAL(9,J135:J137)</f>
        <v>1822558</v>
      </c>
      <c r="K138" s="110">
        <f>SUBTOTAL(9,K135:K137)</f>
        <v>1822556353</v>
      </c>
    </row>
    <row r="144" spans="9:25" x14ac:dyDescent="0.25">
      <c r="J144" s="111">
        <v>1532214</v>
      </c>
    </row>
    <row r="146" spans="10:10" x14ac:dyDescent="0.2">
      <c r="J146" s="47">
        <f>+J138-J144</f>
        <v>290344</v>
      </c>
    </row>
    <row r="147" spans="10:10" x14ac:dyDescent="0.2">
      <c r="J147" s="112">
        <f>+J146/J144</f>
        <v>0.1894931125808797</v>
      </c>
    </row>
  </sheetData>
  <autoFilter ref="A1:AC96" xr:uid="{00000000-0009-0000-0000-000001000000}">
    <filterColumn colId="12">
      <filters>
        <filter val="CUMPLE RT"/>
      </filters>
    </filterColumn>
    <filterColumn colId="28">
      <filters>
        <filter val="SALUD"/>
      </filters>
    </filterColumn>
  </autoFilter>
  <conditionalFormatting sqref="C1:C1048576">
    <cfRule type="containsText" dxfId="785" priority="12" operator="containsText" text="NO">
      <formula>NOT(ISERROR(SEARCH("NO",C1)))</formula>
    </cfRule>
    <cfRule type="containsText" dxfId="784" priority="13" operator="containsText" text="SI">
      <formula>NOT(ISERROR(SEARCH("SI",C1)))</formula>
    </cfRule>
  </conditionalFormatting>
  <conditionalFormatting sqref="C2:E96">
    <cfRule type="cellIs" dxfId="783" priority="16" operator="equal">
      <formula>"SI"</formula>
    </cfRule>
    <cfRule type="cellIs" dxfId="782" priority="17" operator="equal">
      <formula>"NO"</formula>
    </cfRule>
  </conditionalFormatting>
  <conditionalFormatting sqref="I1">
    <cfRule type="duplicateValues" dxfId="781" priority="1360"/>
    <cfRule type="duplicateValues" dxfId="780" priority="4996"/>
  </conditionalFormatting>
  <conditionalFormatting sqref="I1:I54 I97:I65536">
    <cfRule type="duplicateValues" dxfId="779" priority="409"/>
  </conditionalFormatting>
  <conditionalFormatting sqref="I1:I57 I97:I65536">
    <cfRule type="duplicateValues" dxfId="778" priority="378"/>
  </conditionalFormatting>
  <conditionalFormatting sqref="I2">
    <cfRule type="duplicateValues" dxfId="777" priority="1145"/>
    <cfRule type="duplicateValues" dxfId="776" priority="1146"/>
    <cfRule type="duplicateValues" dxfId="775" priority="1147"/>
    <cfRule type="duplicateValues" dxfId="774" priority="1148"/>
    <cfRule type="duplicateValues" dxfId="773" priority="1149"/>
  </conditionalFormatting>
  <conditionalFormatting sqref="I2:I16">
    <cfRule type="duplicateValues" dxfId="772" priority="5003"/>
  </conditionalFormatting>
  <conditionalFormatting sqref="I3">
    <cfRule type="duplicateValues" dxfId="771" priority="1110"/>
    <cfRule type="duplicateValues" dxfId="770" priority="1111"/>
    <cfRule type="duplicateValues" dxfId="769" priority="1112"/>
    <cfRule type="duplicateValues" dxfId="768" priority="1113"/>
    <cfRule type="duplicateValues" dxfId="767" priority="1114"/>
  </conditionalFormatting>
  <conditionalFormatting sqref="I4">
    <cfRule type="duplicateValues" dxfId="766" priority="1100"/>
    <cfRule type="duplicateValues" dxfId="765" priority="1101"/>
    <cfRule type="duplicateValues" dxfId="764" priority="1102"/>
  </conditionalFormatting>
  <conditionalFormatting sqref="I6">
    <cfRule type="duplicateValues" dxfId="763" priority="1081"/>
    <cfRule type="duplicateValues" dxfId="762" priority="1082"/>
  </conditionalFormatting>
  <conditionalFormatting sqref="I7">
    <cfRule type="duplicateValues" dxfId="761" priority="1062"/>
    <cfRule type="duplicateValues" dxfId="760" priority="1063"/>
    <cfRule type="duplicateValues" dxfId="759" priority="1064"/>
    <cfRule type="duplicateValues" dxfId="758" priority="1065"/>
    <cfRule type="duplicateValues" dxfId="757" priority="1066"/>
  </conditionalFormatting>
  <conditionalFormatting sqref="I8">
    <cfRule type="duplicateValues" dxfId="756" priority="1050"/>
    <cfRule type="duplicateValues" dxfId="755" priority="1051"/>
    <cfRule type="duplicateValues" dxfId="754" priority="1054"/>
    <cfRule type="duplicateValues" dxfId="753" priority="1055"/>
  </conditionalFormatting>
  <conditionalFormatting sqref="I9">
    <cfRule type="duplicateValues" dxfId="752" priority="1003"/>
    <cfRule type="duplicateValues" dxfId="751" priority="1004"/>
    <cfRule type="duplicateValues" dxfId="750" priority="1005"/>
    <cfRule type="duplicateValues" dxfId="749" priority="1006"/>
  </conditionalFormatting>
  <conditionalFormatting sqref="I10:I11">
    <cfRule type="duplicateValues" dxfId="748" priority="991"/>
    <cfRule type="duplicateValues" dxfId="747" priority="992"/>
    <cfRule type="duplicateValues" dxfId="746" priority="993"/>
    <cfRule type="duplicateValues" dxfId="745" priority="994"/>
    <cfRule type="duplicateValues" dxfId="744" priority="995"/>
  </conditionalFormatting>
  <conditionalFormatting sqref="I11">
    <cfRule type="duplicateValues" dxfId="743" priority="59"/>
    <cfRule type="duplicateValues" dxfId="742" priority="60"/>
    <cfRule type="duplicateValues" dxfId="741" priority="61"/>
  </conditionalFormatting>
  <conditionalFormatting sqref="I12">
    <cfRule type="duplicateValues" dxfId="740" priority="979"/>
    <cfRule type="duplicateValues" dxfId="739" priority="980"/>
    <cfRule type="duplicateValues" dxfId="738" priority="981"/>
  </conditionalFormatting>
  <conditionalFormatting sqref="I13">
    <cfRule type="duplicateValues" dxfId="737" priority="964"/>
    <cfRule type="duplicateValues" dxfId="736" priority="965"/>
    <cfRule type="duplicateValues" dxfId="735" priority="968"/>
  </conditionalFormatting>
  <conditionalFormatting sqref="I14:I15">
    <cfRule type="duplicateValues" dxfId="734" priority="946"/>
    <cfRule type="duplicateValues" dxfId="733" priority="947"/>
    <cfRule type="duplicateValues" dxfId="732" priority="948"/>
  </conditionalFormatting>
  <conditionalFormatting sqref="I16">
    <cfRule type="duplicateValues" dxfId="731" priority="925"/>
    <cfRule type="duplicateValues" dxfId="730" priority="926"/>
    <cfRule type="duplicateValues" dxfId="729" priority="927"/>
    <cfRule type="duplicateValues" dxfId="728" priority="928"/>
    <cfRule type="duplicateValues" dxfId="727" priority="929"/>
    <cfRule type="duplicateValues" dxfId="726" priority="930"/>
    <cfRule type="duplicateValues" dxfId="725" priority="931"/>
    <cfRule type="duplicateValues" dxfId="724" priority="932"/>
    <cfRule type="duplicateValues" dxfId="723" priority="933"/>
    <cfRule type="duplicateValues" dxfId="722" priority="936"/>
    <cfRule type="duplicateValues" dxfId="721" priority="937"/>
    <cfRule type="duplicateValues" dxfId="720" priority="940"/>
  </conditionalFormatting>
  <conditionalFormatting sqref="I17">
    <cfRule type="duplicateValues" dxfId="719" priority="897"/>
    <cfRule type="duplicateValues" dxfId="718" priority="898"/>
    <cfRule type="duplicateValues" dxfId="717" priority="901"/>
  </conditionalFormatting>
  <conditionalFormatting sqref="I18">
    <cfRule type="duplicateValues" dxfId="716" priority="884"/>
    <cfRule type="duplicateValues" dxfId="715" priority="885"/>
    <cfRule type="duplicateValues" dxfId="714" priority="886"/>
  </conditionalFormatting>
  <conditionalFormatting sqref="I19">
    <cfRule type="duplicateValues" dxfId="713" priority="85"/>
    <cfRule type="duplicateValues" dxfId="712" priority="86"/>
    <cfRule type="duplicateValues" dxfId="711" priority="87"/>
    <cfRule type="duplicateValues" dxfId="710" priority="88"/>
    <cfRule type="duplicateValues" dxfId="709" priority="89"/>
    <cfRule type="duplicateValues" dxfId="708" priority="90"/>
    <cfRule type="duplicateValues" dxfId="707" priority="91"/>
    <cfRule type="duplicateValues" dxfId="706" priority="92"/>
    <cfRule type="duplicateValues" dxfId="705" priority="93"/>
    <cfRule type="duplicateValues" dxfId="704" priority="869"/>
    <cfRule type="duplicateValues" dxfId="703" priority="870"/>
    <cfRule type="duplicateValues" dxfId="702" priority="871"/>
  </conditionalFormatting>
  <conditionalFormatting sqref="I20">
    <cfRule type="duplicateValues" dxfId="701" priority="856"/>
    <cfRule type="duplicateValues" dxfId="700" priority="857"/>
    <cfRule type="duplicateValues" dxfId="699" priority="858"/>
  </conditionalFormatting>
  <conditionalFormatting sqref="I21">
    <cfRule type="duplicateValues" dxfId="698" priority="844"/>
    <cfRule type="duplicateValues" dxfId="697" priority="845"/>
    <cfRule type="duplicateValues" dxfId="696" priority="846"/>
    <cfRule type="duplicateValues" dxfId="695" priority="847"/>
    <cfRule type="duplicateValues" dxfId="694" priority="848"/>
    <cfRule type="duplicateValues" dxfId="693" priority="849"/>
  </conditionalFormatting>
  <conditionalFormatting sqref="I22">
    <cfRule type="duplicateValues" dxfId="692" priority="814"/>
    <cfRule type="duplicateValues" dxfId="691" priority="815"/>
    <cfRule type="duplicateValues" dxfId="690" priority="816"/>
  </conditionalFormatting>
  <conditionalFormatting sqref="I24">
    <cfRule type="duplicateValues" dxfId="689" priority="793"/>
    <cfRule type="duplicateValues" dxfId="688" priority="794"/>
    <cfRule type="duplicateValues" dxfId="687" priority="795"/>
  </conditionalFormatting>
  <conditionalFormatting sqref="I25">
    <cfRule type="duplicateValues" dxfId="686" priority="64"/>
    <cfRule type="duplicateValues" dxfId="685" priority="65"/>
    <cfRule type="duplicateValues" dxfId="684" priority="66"/>
    <cfRule type="duplicateValues" dxfId="683" priority="782"/>
    <cfRule type="duplicateValues" dxfId="682" priority="783"/>
    <cfRule type="duplicateValues" dxfId="681" priority="784"/>
  </conditionalFormatting>
  <conditionalFormatting sqref="I26">
    <cfRule type="duplicateValues" dxfId="680" priority="766"/>
    <cfRule type="duplicateValues" dxfId="679" priority="767"/>
    <cfRule type="duplicateValues" dxfId="678" priority="768"/>
    <cfRule type="duplicateValues" dxfId="677" priority="769"/>
    <cfRule type="duplicateValues" dxfId="676" priority="770"/>
    <cfRule type="duplicateValues" dxfId="675" priority="771"/>
  </conditionalFormatting>
  <conditionalFormatting sqref="I27">
    <cfRule type="duplicateValues" dxfId="674" priority="749"/>
    <cfRule type="duplicateValues" dxfId="673" priority="750"/>
    <cfRule type="duplicateValues" dxfId="672" priority="751"/>
  </conditionalFormatting>
  <conditionalFormatting sqref="I28">
    <cfRule type="duplicateValues" dxfId="671" priority="736"/>
    <cfRule type="duplicateValues" dxfId="670" priority="737"/>
    <cfRule type="duplicateValues" dxfId="669" priority="738"/>
  </conditionalFormatting>
  <conditionalFormatting sqref="I29">
    <cfRule type="duplicateValues" dxfId="668" priority="725"/>
    <cfRule type="duplicateValues" dxfId="667" priority="726"/>
    <cfRule type="duplicateValues" dxfId="666" priority="727"/>
  </conditionalFormatting>
  <conditionalFormatting sqref="I30">
    <cfRule type="duplicateValues" dxfId="665" priority="713"/>
    <cfRule type="duplicateValues" dxfId="664" priority="714"/>
    <cfRule type="duplicateValues" dxfId="663" priority="715"/>
    <cfRule type="duplicateValues" dxfId="662" priority="716"/>
  </conditionalFormatting>
  <conditionalFormatting sqref="I31">
    <cfRule type="duplicateValues" dxfId="661" priority="696"/>
    <cfRule type="duplicateValues" dxfId="660" priority="697"/>
    <cfRule type="duplicateValues" dxfId="659" priority="698"/>
  </conditionalFormatting>
  <conditionalFormatting sqref="I32">
    <cfRule type="duplicateValues" dxfId="658" priority="683"/>
    <cfRule type="duplicateValues" dxfId="657" priority="684"/>
    <cfRule type="duplicateValues" dxfId="656" priority="685"/>
  </conditionalFormatting>
  <conditionalFormatting sqref="I33">
    <cfRule type="duplicateValues" dxfId="655" priority="670"/>
    <cfRule type="duplicateValues" dxfId="654" priority="671"/>
    <cfRule type="duplicateValues" dxfId="653" priority="672"/>
  </conditionalFormatting>
  <conditionalFormatting sqref="I34">
    <cfRule type="duplicateValues" dxfId="652" priority="657"/>
    <cfRule type="duplicateValues" dxfId="651" priority="658"/>
    <cfRule type="duplicateValues" dxfId="650" priority="659"/>
  </conditionalFormatting>
  <conditionalFormatting sqref="I35">
    <cfRule type="duplicateValues" dxfId="649" priority="649"/>
    <cfRule type="duplicateValues" dxfId="648" priority="650"/>
    <cfRule type="duplicateValues" dxfId="647" priority="651"/>
  </conditionalFormatting>
  <conditionalFormatting sqref="I36">
    <cfRule type="duplicateValues" dxfId="646" priority="633"/>
    <cfRule type="duplicateValues" dxfId="645" priority="634"/>
    <cfRule type="duplicateValues" dxfId="644" priority="635"/>
  </conditionalFormatting>
  <conditionalFormatting sqref="I37">
    <cfRule type="duplicateValues" dxfId="643" priority="603"/>
    <cfRule type="duplicateValues" dxfId="642" priority="604"/>
    <cfRule type="duplicateValues" dxfId="641" priority="605"/>
  </conditionalFormatting>
  <conditionalFormatting sqref="I38">
    <cfRule type="duplicateValues" dxfId="640" priority="594"/>
    <cfRule type="duplicateValues" dxfId="639" priority="595"/>
    <cfRule type="duplicateValues" dxfId="638" priority="596"/>
  </conditionalFormatting>
  <conditionalFormatting sqref="I39">
    <cfRule type="duplicateValues" dxfId="637" priority="577"/>
    <cfRule type="duplicateValues" dxfId="636" priority="578"/>
    <cfRule type="duplicateValues" dxfId="635" priority="579"/>
  </conditionalFormatting>
  <conditionalFormatting sqref="I40">
    <cfRule type="duplicateValues" dxfId="634" priority="567"/>
    <cfRule type="duplicateValues" dxfId="633" priority="568"/>
    <cfRule type="duplicateValues" dxfId="632" priority="569"/>
  </conditionalFormatting>
  <conditionalFormatting sqref="I41">
    <cfRule type="duplicateValues" dxfId="631" priority="554"/>
    <cfRule type="duplicateValues" dxfId="630" priority="555"/>
    <cfRule type="duplicateValues" dxfId="629" priority="556"/>
  </conditionalFormatting>
  <conditionalFormatting sqref="I42">
    <cfRule type="duplicateValues" dxfId="628" priority="541"/>
    <cfRule type="duplicateValues" dxfId="627" priority="542"/>
    <cfRule type="duplicateValues" dxfId="626" priority="543"/>
  </conditionalFormatting>
  <conditionalFormatting sqref="I43">
    <cfRule type="duplicateValues" dxfId="625" priority="528"/>
    <cfRule type="duplicateValues" dxfId="624" priority="529"/>
    <cfRule type="duplicateValues" dxfId="623" priority="530"/>
  </conditionalFormatting>
  <conditionalFormatting sqref="I44">
    <cfRule type="duplicateValues" dxfId="622" priority="513"/>
    <cfRule type="duplicateValues" dxfId="621" priority="514"/>
    <cfRule type="duplicateValues" dxfId="620" priority="515"/>
  </conditionalFormatting>
  <conditionalFormatting sqref="I45">
    <cfRule type="duplicateValues" dxfId="619" priority="500"/>
    <cfRule type="duplicateValues" dxfId="618" priority="501"/>
    <cfRule type="duplicateValues" dxfId="617" priority="502"/>
  </conditionalFormatting>
  <conditionalFormatting sqref="I46">
    <cfRule type="duplicateValues" dxfId="616" priority="486"/>
    <cfRule type="duplicateValues" dxfId="615" priority="487"/>
    <cfRule type="duplicateValues" dxfId="614" priority="488"/>
  </conditionalFormatting>
  <conditionalFormatting sqref="I47">
    <cfRule type="duplicateValues" dxfId="613" priority="474"/>
    <cfRule type="duplicateValues" dxfId="612" priority="475"/>
    <cfRule type="duplicateValues" dxfId="611" priority="476"/>
  </conditionalFormatting>
  <conditionalFormatting sqref="I48">
    <cfRule type="duplicateValues" dxfId="610" priority="461"/>
    <cfRule type="duplicateValues" dxfId="609" priority="462"/>
    <cfRule type="duplicateValues" dxfId="608" priority="463"/>
  </conditionalFormatting>
  <conditionalFormatting sqref="I49">
    <cfRule type="duplicateValues" dxfId="607" priority="448"/>
    <cfRule type="duplicateValues" dxfId="606" priority="449"/>
    <cfRule type="duplicateValues" dxfId="605" priority="450"/>
  </conditionalFormatting>
  <conditionalFormatting sqref="I50">
    <cfRule type="duplicateValues" dxfId="604" priority="435"/>
    <cfRule type="duplicateValues" dxfId="603" priority="436"/>
    <cfRule type="duplicateValues" dxfId="602" priority="437"/>
  </conditionalFormatting>
  <conditionalFormatting sqref="I51:I54">
    <cfRule type="duplicateValues" dxfId="601" priority="422"/>
    <cfRule type="duplicateValues" dxfId="600" priority="423"/>
    <cfRule type="duplicateValues" dxfId="599" priority="424"/>
  </conditionalFormatting>
  <conditionalFormatting sqref="I55">
    <cfRule type="duplicateValues" dxfId="598" priority="398"/>
    <cfRule type="duplicateValues" dxfId="597" priority="402"/>
    <cfRule type="duplicateValues" dxfId="596" priority="403"/>
    <cfRule type="duplicateValues" dxfId="595" priority="404"/>
  </conditionalFormatting>
  <conditionalFormatting sqref="I56:I57">
    <cfRule type="duplicateValues" dxfId="594" priority="387"/>
    <cfRule type="duplicateValues" dxfId="593" priority="388"/>
    <cfRule type="duplicateValues" dxfId="592" priority="389"/>
    <cfRule type="duplicateValues" dxfId="591" priority="390"/>
  </conditionalFormatting>
  <conditionalFormatting sqref="I58">
    <cfRule type="duplicateValues" dxfId="590" priority="366"/>
    <cfRule type="duplicateValues" dxfId="589" priority="370"/>
    <cfRule type="duplicateValues" dxfId="588" priority="371"/>
    <cfRule type="duplicateValues" dxfId="587" priority="372"/>
    <cfRule type="duplicateValues" dxfId="586" priority="373"/>
  </conditionalFormatting>
  <conditionalFormatting sqref="I59">
    <cfRule type="duplicateValues" dxfId="585" priority="351"/>
    <cfRule type="duplicateValues" dxfId="584" priority="355"/>
    <cfRule type="duplicateValues" dxfId="583" priority="356"/>
    <cfRule type="duplicateValues" dxfId="582" priority="357"/>
    <cfRule type="duplicateValues" dxfId="581" priority="358"/>
  </conditionalFormatting>
  <conditionalFormatting sqref="I60">
    <cfRule type="duplicateValues" dxfId="580" priority="54"/>
    <cfRule type="duplicateValues" dxfId="579" priority="55"/>
    <cfRule type="duplicateValues" dxfId="578" priority="56"/>
    <cfRule type="duplicateValues" dxfId="577" priority="57"/>
    <cfRule type="duplicateValues" dxfId="576" priority="58"/>
  </conditionalFormatting>
  <conditionalFormatting sqref="I61">
    <cfRule type="duplicateValues" dxfId="575" priority="309"/>
    <cfRule type="duplicateValues" dxfId="574" priority="310"/>
    <cfRule type="duplicateValues" dxfId="573" priority="313"/>
    <cfRule type="duplicateValues" dxfId="572" priority="314"/>
    <cfRule type="duplicateValues" dxfId="571" priority="315"/>
    <cfRule type="duplicateValues" dxfId="570" priority="316"/>
    <cfRule type="duplicateValues" dxfId="569" priority="317"/>
    <cfRule type="duplicateValues" dxfId="568" priority="318"/>
  </conditionalFormatting>
  <conditionalFormatting sqref="I62">
    <cfRule type="duplicateValues" dxfId="567" priority="288"/>
    <cfRule type="duplicateValues" dxfId="566" priority="289"/>
    <cfRule type="duplicateValues" dxfId="565" priority="292"/>
    <cfRule type="duplicateValues" dxfId="564" priority="293"/>
    <cfRule type="duplicateValues" dxfId="563" priority="294"/>
    <cfRule type="duplicateValues" dxfId="562" priority="295"/>
    <cfRule type="duplicateValues" dxfId="561" priority="296"/>
    <cfRule type="duplicateValues" dxfId="560" priority="297"/>
  </conditionalFormatting>
  <conditionalFormatting sqref="I63">
    <cfRule type="duplicateValues" dxfId="559" priority="277"/>
    <cfRule type="duplicateValues" dxfId="558" priority="278"/>
    <cfRule type="duplicateValues" dxfId="557" priority="279"/>
    <cfRule type="duplicateValues" dxfId="556" priority="280"/>
    <cfRule type="duplicateValues" dxfId="555" priority="281"/>
  </conditionalFormatting>
  <conditionalFormatting sqref="I64">
    <cfRule type="duplicateValues" dxfId="554" priority="252"/>
    <cfRule type="duplicateValues" dxfId="553" priority="253"/>
    <cfRule type="duplicateValues" dxfId="552" priority="254"/>
    <cfRule type="duplicateValues" dxfId="551" priority="255"/>
    <cfRule type="duplicateValues" dxfId="550" priority="256"/>
  </conditionalFormatting>
  <conditionalFormatting sqref="I65">
    <cfRule type="duplicateValues" dxfId="549" priority="247"/>
    <cfRule type="duplicateValues" dxfId="548" priority="248"/>
    <cfRule type="duplicateValues" dxfId="547" priority="249"/>
    <cfRule type="duplicateValues" dxfId="546" priority="250"/>
    <cfRule type="duplicateValues" dxfId="545" priority="251"/>
  </conditionalFormatting>
  <conditionalFormatting sqref="I66">
    <cfRule type="duplicateValues" dxfId="544" priority="233"/>
    <cfRule type="duplicateValues" dxfId="543" priority="234"/>
    <cfRule type="duplicateValues" dxfId="542" priority="235"/>
    <cfRule type="duplicateValues" dxfId="541" priority="236"/>
    <cfRule type="duplicateValues" dxfId="540" priority="237"/>
  </conditionalFormatting>
  <conditionalFormatting sqref="I67">
    <cfRule type="duplicateValues" dxfId="539" priority="223"/>
    <cfRule type="duplicateValues" dxfId="538" priority="224"/>
    <cfRule type="duplicateValues" dxfId="537" priority="225"/>
    <cfRule type="duplicateValues" dxfId="536" priority="226"/>
    <cfRule type="duplicateValues" dxfId="535" priority="227"/>
  </conditionalFormatting>
  <conditionalFormatting sqref="I68">
    <cfRule type="duplicateValues" dxfId="534" priority="216"/>
    <cfRule type="duplicateValues" dxfId="533" priority="217"/>
    <cfRule type="duplicateValues" dxfId="532" priority="218"/>
    <cfRule type="duplicateValues" dxfId="531" priority="219"/>
    <cfRule type="duplicateValues" dxfId="530" priority="220"/>
  </conditionalFormatting>
  <conditionalFormatting sqref="I69">
    <cfRule type="duplicateValues" dxfId="529" priority="209"/>
    <cfRule type="duplicateValues" dxfId="528" priority="210"/>
    <cfRule type="duplicateValues" dxfId="527" priority="211"/>
    <cfRule type="duplicateValues" dxfId="526" priority="212"/>
    <cfRule type="duplicateValues" dxfId="525" priority="213"/>
  </conditionalFormatting>
  <conditionalFormatting sqref="I70">
    <cfRule type="duplicateValues" dxfId="524" priority="197"/>
    <cfRule type="duplicateValues" dxfId="523" priority="198"/>
    <cfRule type="duplicateValues" dxfId="522" priority="199"/>
    <cfRule type="duplicateValues" dxfId="521" priority="200"/>
    <cfRule type="duplicateValues" dxfId="520" priority="201"/>
  </conditionalFormatting>
  <conditionalFormatting sqref="I71">
    <cfRule type="duplicateValues" dxfId="519" priority="185"/>
    <cfRule type="duplicateValues" dxfId="518" priority="186"/>
    <cfRule type="duplicateValues" dxfId="517" priority="187"/>
    <cfRule type="duplicateValues" dxfId="516" priority="188"/>
    <cfRule type="duplicateValues" dxfId="515" priority="189"/>
  </conditionalFormatting>
  <conditionalFormatting sqref="I72">
    <cfRule type="duplicateValues" dxfId="514" priority="170"/>
    <cfRule type="duplicateValues" dxfId="513" priority="171"/>
    <cfRule type="duplicateValues" dxfId="512" priority="172"/>
    <cfRule type="duplicateValues" dxfId="511" priority="173"/>
    <cfRule type="duplicateValues" dxfId="510" priority="174"/>
  </conditionalFormatting>
  <conditionalFormatting sqref="I73:I74">
    <cfRule type="duplicateValues" dxfId="509" priority="161"/>
    <cfRule type="duplicateValues" dxfId="508" priority="162"/>
    <cfRule type="duplicateValues" dxfId="507" priority="163"/>
  </conditionalFormatting>
  <conditionalFormatting sqref="I75">
    <cfRule type="duplicateValues" dxfId="506" priority="142"/>
    <cfRule type="duplicateValues" dxfId="505" priority="143"/>
    <cfRule type="duplicateValues" dxfId="504" priority="144"/>
  </conditionalFormatting>
  <conditionalFormatting sqref="I76">
    <cfRule type="duplicateValues" dxfId="503" priority="134"/>
    <cfRule type="duplicateValues" dxfId="502" priority="135"/>
  </conditionalFormatting>
  <conditionalFormatting sqref="I77">
    <cfRule type="duplicateValues" dxfId="501" priority="117"/>
    <cfRule type="duplicateValues" dxfId="500" priority="118"/>
    <cfRule type="duplicateValues" dxfId="499" priority="119"/>
  </conditionalFormatting>
  <conditionalFormatting sqref="I78">
    <cfRule type="duplicateValues" dxfId="498" priority="104"/>
    <cfRule type="duplicateValues" dxfId="497" priority="105"/>
    <cfRule type="duplicateValues" dxfId="496" priority="106"/>
  </conditionalFormatting>
  <conditionalFormatting sqref="I79:I91">
    <cfRule type="duplicateValues" dxfId="495" priority="80"/>
    <cfRule type="duplicateValues" dxfId="494" priority="81"/>
    <cfRule type="duplicateValues" dxfId="493" priority="82"/>
  </conditionalFormatting>
  <conditionalFormatting sqref="I92:I96">
    <cfRule type="duplicateValues" dxfId="492" priority="14"/>
    <cfRule type="duplicateValues" dxfId="491" priority="15"/>
    <cfRule type="duplicateValues" dxfId="490" priority="18"/>
  </conditionalFormatting>
  <conditionalFormatting sqref="X2:X96">
    <cfRule type="cellIs" dxfId="489" priority="72" operator="greaterThan">
      <formula>5</formula>
    </cfRule>
    <cfRule type="cellIs" dxfId="488" priority="73" operator="between">
      <formula>0</formula>
      <formula>5</formula>
    </cfRule>
    <cfRule type="cellIs" dxfId="487" priority="74" operator="lessThan">
      <formula>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74" orientation="landscape" r:id="rId1"/>
  <colBreaks count="1" manualBreakCount="1">
    <brk id="13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110"/>
  <sheetViews>
    <sheetView zoomScale="85" zoomScaleNormal="85" zoomScaleSheetLayoutView="80" workbookViewId="0">
      <pane ySplit="1" topLeftCell="A2" activePane="bottomLeft" state="frozen"/>
      <selection pane="bottomLeft" activeCell="I109" sqref="I109"/>
    </sheetView>
  </sheetViews>
  <sheetFormatPr baseColWidth="10" defaultColWidth="11.42578125" defaultRowHeight="30.75" customHeight="1" x14ac:dyDescent="0.2"/>
  <cols>
    <col min="1" max="1" width="4.5703125" style="19" customWidth="1"/>
    <col min="2" max="2" width="5.28515625" style="19" customWidth="1"/>
    <col min="3" max="3" width="6.7109375" style="39" customWidth="1"/>
    <col min="4" max="5" width="6.7109375" style="19" customWidth="1"/>
    <col min="6" max="6" width="12.85546875" style="19" bestFit="1" customWidth="1"/>
    <col min="7" max="7" width="12.85546875" style="19" customWidth="1"/>
    <col min="8" max="8" width="12.42578125" style="19" customWidth="1"/>
    <col min="9" max="9" width="10.5703125" style="19" bestFit="1" customWidth="1"/>
    <col min="10" max="10" width="38.42578125" style="19" customWidth="1"/>
    <col min="11" max="11" width="13.28515625" style="19" customWidth="1"/>
    <col min="12" max="12" width="9.140625" style="19" customWidth="1"/>
    <col min="13" max="13" width="14.85546875" style="19" bestFit="1" customWidth="1"/>
    <col min="14" max="14" width="11.5703125" style="19" customWidth="1"/>
    <col min="15" max="15" width="10.140625" style="19" customWidth="1"/>
    <col min="16" max="16" width="7.28515625" style="19" customWidth="1"/>
    <col min="17" max="17" width="11.140625" style="19" customWidth="1"/>
    <col min="18" max="18" width="11.28515625" style="19" customWidth="1"/>
    <col min="19" max="19" width="13.5703125" style="19" customWidth="1"/>
    <col min="20" max="20" width="7.85546875" style="19" customWidth="1"/>
    <col min="21" max="21" width="13" style="19" bestFit="1" customWidth="1"/>
    <col min="22" max="22" width="6.28515625" style="19" customWidth="1"/>
    <col min="23" max="23" width="7.85546875" style="19" customWidth="1"/>
    <col min="24" max="24" width="8.85546875" style="19" customWidth="1"/>
    <col min="25" max="26" width="13.42578125" style="19" customWidth="1"/>
    <col min="27" max="27" width="11.42578125" style="19"/>
    <col min="28" max="28" width="12" style="39" customWidth="1"/>
    <col min="29" max="29" width="13.28515625" style="8" customWidth="1"/>
    <col min="30" max="16384" width="11.42578125" style="19"/>
  </cols>
  <sheetData>
    <row r="1" spans="1:29" s="1" customFormat="1" ht="45" customHeight="1" x14ac:dyDescent="0.2">
      <c r="A1" s="5" t="s">
        <v>82</v>
      </c>
      <c r="B1" s="5" t="s">
        <v>33</v>
      </c>
      <c r="C1" s="6" t="s">
        <v>254</v>
      </c>
      <c r="D1" s="6" t="s">
        <v>521</v>
      </c>
      <c r="E1" s="45" t="s">
        <v>620</v>
      </c>
      <c r="F1" s="5" t="s">
        <v>35</v>
      </c>
      <c r="G1" s="5" t="s">
        <v>36</v>
      </c>
      <c r="H1" s="5" t="s">
        <v>75</v>
      </c>
      <c r="I1" s="5" t="s">
        <v>37</v>
      </c>
      <c r="J1" s="5" t="s">
        <v>342</v>
      </c>
      <c r="K1" s="5" t="s">
        <v>39</v>
      </c>
      <c r="L1" s="5" t="s">
        <v>40</v>
      </c>
      <c r="M1" s="5" t="s">
        <v>34</v>
      </c>
      <c r="N1" s="5" t="s">
        <v>93</v>
      </c>
      <c r="O1" s="5" t="s">
        <v>94</v>
      </c>
      <c r="P1" s="34" t="s">
        <v>99</v>
      </c>
      <c r="Q1" s="5" t="s">
        <v>83</v>
      </c>
      <c r="R1" s="5" t="s">
        <v>98</v>
      </c>
      <c r="S1" s="42" t="s">
        <v>41</v>
      </c>
      <c r="T1" s="35" t="s">
        <v>80</v>
      </c>
      <c r="U1" s="35" t="s">
        <v>95</v>
      </c>
      <c r="V1" s="5" t="s">
        <v>81</v>
      </c>
      <c r="W1" s="5" t="s">
        <v>97</v>
      </c>
      <c r="X1" s="14" t="s">
        <v>85</v>
      </c>
      <c r="Y1" s="5" t="s">
        <v>90</v>
      </c>
      <c r="Z1" s="5" t="s">
        <v>150</v>
      </c>
      <c r="AA1" s="11" t="s">
        <v>229</v>
      </c>
      <c r="AB1" s="86" t="s">
        <v>343</v>
      </c>
      <c r="AC1" s="11" t="s">
        <v>365</v>
      </c>
    </row>
    <row r="2" spans="1:29" ht="57" hidden="1" x14ac:dyDescent="0.2">
      <c r="A2" s="2">
        <v>1</v>
      </c>
      <c r="B2" s="2">
        <v>31</v>
      </c>
      <c r="C2" s="36" t="s">
        <v>32</v>
      </c>
      <c r="D2" s="2" t="s">
        <v>32</v>
      </c>
      <c r="E2" s="2" t="s">
        <v>32</v>
      </c>
      <c r="F2" s="2" t="s">
        <v>568</v>
      </c>
      <c r="G2" s="93" t="s">
        <v>0</v>
      </c>
      <c r="H2" s="2" t="s">
        <v>18</v>
      </c>
      <c r="I2" s="40">
        <v>40022712</v>
      </c>
      <c r="J2" s="3" t="s">
        <v>330</v>
      </c>
      <c r="K2" s="3">
        <v>489402000</v>
      </c>
      <c r="L2" s="2" t="s">
        <v>49</v>
      </c>
      <c r="M2" s="17" t="s">
        <v>62</v>
      </c>
      <c r="N2" s="10"/>
      <c r="O2" s="10"/>
      <c r="P2" s="37" t="s">
        <v>686</v>
      </c>
      <c r="Q2" s="10">
        <v>45328</v>
      </c>
      <c r="R2" s="9">
        <v>45338</v>
      </c>
      <c r="S2" s="43">
        <v>45345</v>
      </c>
      <c r="T2" s="2">
        <v>10</v>
      </c>
      <c r="U2" s="9">
        <v>45342</v>
      </c>
      <c r="V2" s="2">
        <v>17</v>
      </c>
      <c r="W2" s="38">
        <v>13</v>
      </c>
      <c r="X2" s="13">
        <v>-330</v>
      </c>
      <c r="Y2" s="2" t="s">
        <v>535</v>
      </c>
      <c r="Z2" s="12" t="s">
        <v>165</v>
      </c>
      <c r="AA2" s="3">
        <v>103</v>
      </c>
      <c r="AB2" s="87" t="s">
        <v>32</v>
      </c>
      <c r="AC2" s="3" t="s">
        <v>419</v>
      </c>
    </row>
    <row r="3" spans="1:29" ht="28.5" hidden="1" x14ac:dyDescent="0.2">
      <c r="A3" s="2">
        <v>2</v>
      </c>
      <c r="B3" s="2">
        <v>31</v>
      </c>
      <c r="C3" s="36" t="s">
        <v>32</v>
      </c>
      <c r="D3" s="2" t="s">
        <v>32</v>
      </c>
      <c r="E3" s="2" t="s">
        <v>31</v>
      </c>
      <c r="F3" s="2" t="s">
        <v>45</v>
      </c>
      <c r="G3" s="2" t="s">
        <v>565</v>
      </c>
      <c r="H3" s="2" t="s">
        <v>23</v>
      </c>
      <c r="I3" s="40">
        <v>40034637</v>
      </c>
      <c r="J3" s="3" t="s">
        <v>518</v>
      </c>
      <c r="K3" s="3">
        <v>408871000</v>
      </c>
      <c r="L3" s="2" t="s">
        <v>49</v>
      </c>
      <c r="M3" s="17" t="s">
        <v>62</v>
      </c>
      <c r="N3" s="10"/>
      <c r="O3" s="10"/>
      <c r="P3" s="37" t="s">
        <v>686</v>
      </c>
      <c r="Q3" s="10">
        <v>45357</v>
      </c>
      <c r="R3" s="9">
        <v>45367</v>
      </c>
      <c r="S3" s="43">
        <v>45350</v>
      </c>
      <c r="T3" s="2">
        <v>10</v>
      </c>
      <c r="U3" s="9">
        <v>45371</v>
      </c>
      <c r="V3" s="2">
        <v>-7</v>
      </c>
      <c r="W3" s="38" t="s">
        <v>686</v>
      </c>
      <c r="X3" s="13">
        <v>-301</v>
      </c>
      <c r="Y3" s="2" t="s">
        <v>303</v>
      </c>
      <c r="Z3" s="12" t="s">
        <v>154</v>
      </c>
      <c r="AA3" s="65">
        <v>365</v>
      </c>
      <c r="AB3" s="88" t="s">
        <v>32</v>
      </c>
      <c r="AC3" s="57"/>
    </row>
    <row r="4" spans="1:29" ht="28.5" hidden="1" x14ac:dyDescent="0.2">
      <c r="A4" s="2">
        <v>3</v>
      </c>
      <c r="B4" s="2">
        <v>29</v>
      </c>
      <c r="C4" s="36" t="s">
        <v>32</v>
      </c>
      <c r="D4" s="2" t="s">
        <v>31</v>
      </c>
      <c r="E4" s="2" t="s">
        <v>32</v>
      </c>
      <c r="F4" s="2" t="s">
        <v>568</v>
      </c>
      <c r="G4" s="2" t="s">
        <v>56</v>
      </c>
      <c r="H4" s="2" t="s">
        <v>13</v>
      </c>
      <c r="I4" s="7">
        <v>40043567</v>
      </c>
      <c r="J4" s="3" t="s">
        <v>520</v>
      </c>
      <c r="K4" s="3"/>
      <c r="L4" s="2" t="s">
        <v>49</v>
      </c>
      <c r="M4" s="15" t="s">
        <v>74</v>
      </c>
      <c r="N4" s="10">
        <v>45299</v>
      </c>
      <c r="O4" s="10">
        <v>45314</v>
      </c>
      <c r="P4" s="37">
        <v>11</v>
      </c>
      <c r="Q4" s="10">
        <v>45300</v>
      </c>
      <c r="R4" s="9">
        <v>45315</v>
      </c>
      <c r="S4" s="43">
        <v>45314</v>
      </c>
      <c r="T4" s="2">
        <v>15</v>
      </c>
      <c r="U4" s="9">
        <v>45321</v>
      </c>
      <c r="V4" s="2">
        <v>14</v>
      </c>
      <c r="W4" s="38">
        <v>10</v>
      </c>
      <c r="X4" s="13">
        <v>-351</v>
      </c>
      <c r="Y4" s="2"/>
      <c r="Z4" s="12" t="s">
        <v>157</v>
      </c>
      <c r="AA4" s="65"/>
      <c r="AB4" s="88" t="s">
        <v>31</v>
      </c>
      <c r="AC4" s="57"/>
    </row>
    <row r="5" spans="1:29" ht="48" hidden="1" customHeight="1" x14ac:dyDescent="0.2">
      <c r="A5" s="2">
        <v>4</v>
      </c>
      <c r="B5" s="2">
        <v>29</v>
      </c>
      <c r="C5" s="36" t="s">
        <v>32</v>
      </c>
      <c r="D5" s="2" t="s">
        <v>32</v>
      </c>
      <c r="E5" s="2" t="s">
        <v>31</v>
      </c>
      <c r="F5" s="2" t="s">
        <v>179</v>
      </c>
      <c r="G5" s="2" t="s">
        <v>179</v>
      </c>
      <c r="H5" s="2" t="s">
        <v>102</v>
      </c>
      <c r="I5" s="7">
        <v>40020318</v>
      </c>
      <c r="J5" s="3" t="s">
        <v>236</v>
      </c>
      <c r="K5" s="3">
        <v>673588000</v>
      </c>
      <c r="L5" s="2" t="s">
        <v>49</v>
      </c>
      <c r="M5" s="17" t="s">
        <v>62</v>
      </c>
      <c r="N5" s="10"/>
      <c r="O5" s="10"/>
      <c r="P5" s="37" t="s">
        <v>686</v>
      </c>
      <c r="Q5" s="10">
        <v>45316</v>
      </c>
      <c r="R5" s="9">
        <v>45326</v>
      </c>
      <c r="S5" s="43">
        <v>45341</v>
      </c>
      <c r="T5" s="2">
        <v>10</v>
      </c>
      <c r="U5" s="9">
        <v>45330</v>
      </c>
      <c r="V5" s="2">
        <v>25</v>
      </c>
      <c r="W5" s="38">
        <v>17</v>
      </c>
      <c r="X5" s="13">
        <v>-342</v>
      </c>
      <c r="Y5" s="2" t="s">
        <v>178</v>
      </c>
      <c r="Z5" s="2" t="s">
        <v>166</v>
      </c>
      <c r="AA5" s="65">
        <v>891440</v>
      </c>
      <c r="AB5" s="88" t="s">
        <v>32</v>
      </c>
      <c r="AC5" s="57"/>
    </row>
    <row r="6" spans="1:29" ht="28.5" hidden="1" x14ac:dyDescent="0.2">
      <c r="A6" s="2">
        <v>5</v>
      </c>
      <c r="B6" s="2">
        <v>29</v>
      </c>
      <c r="C6" s="36" t="s">
        <v>31</v>
      </c>
      <c r="D6" s="2" t="s">
        <v>32</v>
      </c>
      <c r="E6" s="2" t="s">
        <v>31</v>
      </c>
      <c r="F6" s="2" t="s">
        <v>48</v>
      </c>
      <c r="G6" s="2" t="s">
        <v>393</v>
      </c>
      <c r="H6" s="2" t="s">
        <v>397</v>
      </c>
      <c r="I6" s="7">
        <v>40048688</v>
      </c>
      <c r="J6" s="3" t="s">
        <v>516</v>
      </c>
      <c r="K6" s="3">
        <v>109951000</v>
      </c>
      <c r="L6" s="2" t="s">
        <v>49</v>
      </c>
      <c r="M6" s="17" t="s">
        <v>62</v>
      </c>
      <c r="N6" s="10">
        <v>44945</v>
      </c>
      <c r="O6" s="10">
        <v>44966</v>
      </c>
      <c r="P6" s="37">
        <v>15</v>
      </c>
      <c r="Q6" s="10">
        <v>45327</v>
      </c>
      <c r="R6" s="9">
        <v>45337</v>
      </c>
      <c r="S6" s="43">
        <v>45341</v>
      </c>
      <c r="T6" s="2">
        <v>10</v>
      </c>
      <c r="U6" s="9">
        <v>45341</v>
      </c>
      <c r="V6" s="2">
        <v>14</v>
      </c>
      <c r="W6" s="38">
        <v>10</v>
      </c>
      <c r="X6" s="13">
        <v>-331</v>
      </c>
      <c r="Y6" s="2" t="s">
        <v>411</v>
      </c>
      <c r="Z6" s="2" t="s">
        <v>338</v>
      </c>
      <c r="AA6" s="65">
        <v>8944</v>
      </c>
      <c r="AB6" s="87" t="s">
        <v>32</v>
      </c>
      <c r="AC6" s="3" t="s">
        <v>366</v>
      </c>
    </row>
    <row r="7" spans="1:29" ht="28.5" hidden="1" x14ac:dyDescent="0.2">
      <c r="A7" s="2">
        <v>6</v>
      </c>
      <c r="B7" s="2">
        <v>31</v>
      </c>
      <c r="C7" s="36" t="s">
        <v>31</v>
      </c>
      <c r="D7" s="2" t="s">
        <v>31</v>
      </c>
      <c r="E7" s="2" t="s">
        <v>32</v>
      </c>
      <c r="F7" s="2" t="s">
        <v>568</v>
      </c>
      <c r="G7" s="2" t="s">
        <v>395</v>
      </c>
      <c r="H7" s="2" t="s">
        <v>406</v>
      </c>
      <c r="I7" s="40">
        <v>40056255</v>
      </c>
      <c r="J7" s="3" t="s">
        <v>523</v>
      </c>
      <c r="K7" s="3">
        <v>790967000</v>
      </c>
      <c r="L7" s="2" t="s">
        <v>49</v>
      </c>
      <c r="M7" s="15" t="s">
        <v>62</v>
      </c>
      <c r="N7" s="10">
        <v>45309</v>
      </c>
      <c r="O7" s="10">
        <v>45351</v>
      </c>
      <c r="P7" s="37">
        <v>30</v>
      </c>
      <c r="Q7" s="10">
        <v>45372</v>
      </c>
      <c r="R7" s="9">
        <v>45387</v>
      </c>
      <c r="S7" s="43">
        <v>45351</v>
      </c>
      <c r="T7" s="2">
        <v>15</v>
      </c>
      <c r="U7" s="9">
        <v>45394</v>
      </c>
      <c r="V7" s="2">
        <v>-21</v>
      </c>
      <c r="W7" s="38" t="s">
        <v>686</v>
      </c>
      <c r="X7" s="13">
        <v>-278</v>
      </c>
      <c r="Y7" s="2" t="s">
        <v>546</v>
      </c>
      <c r="Z7" s="48" t="s">
        <v>154</v>
      </c>
      <c r="AA7" s="65">
        <v>194</v>
      </c>
      <c r="AB7" s="88" t="s">
        <v>31</v>
      </c>
      <c r="AC7" s="2" t="s">
        <v>366</v>
      </c>
    </row>
    <row r="8" spans="1:29" ht="28.5" hidden="1" x14ac:dyDescent="0.2">
      <c r="A8" s="2">
        <v>7</v>
      </c>
      <c r="B8" s="2">
        <v>22</v>
      </c>
      <c r="C8" s="36" t="s">
        <v>32</v>
      </c>
      <c r="D8" s="2" t="s">
        <v>32</v>
      </c>
      <c r="E8" s="2" t="s">
        <v>31</v>
      </c>
      <c r="F8" s="2" t="s">
        <v>179</v>
      </c>
      <c r="G8" s="2" t="s">
        <v>179</v>
      </c>
      <c r="H8" s="2" t="s">
        <v>269</v>
      </c>
      <c r="I8" s="7">
        <v>40043665</v>
      </c>
      <c r="J8" s="3" t="s">
        <v>524</v>
      </c>
      <c r="K8" s="3">
        <v>300000000</v>
      </c>
      <c r="L8" s="2" t="s">
        <v>49</v>
      </c>
      <c r="M8" s="17" t="s">
        <v>62</v>
      </c>
      <c r="N8" s="10"/>
      <c r="O8" s="10"/>
      <c r="P8" s="37" t="s">
        <v>686</v>
      </c>
      <c r="Q8" s="10">
        <v>45303</v>
      </c>
      <c r="R8" s="9">
        <v>45313</v>
      </c>
      <c r="S8" s="43">
        <v>45306</v>
      </c>
      <c r="T8" s="2">
        <v>10</v>
      </c>
      <c r="U8" s="9">
        <v>45317</v>
      </c>
      <c r="V8" s="2">
        <v>3</v>
      </c>
      <c r="W8" s="38">
        <v>1</v>
      </c>
      <c r="X8" s="13">
        <v>-355</v>
      </c>
      <c r="Y8" s="2" t="s">
        <v>353</v>
      </c>
      <c r="Z8" s="2" t="s">
        <v>168</v>
      </c>
      <c r="AA8" s="3">
        <v>828708</v>
      </c>
      <c r="AB8" s="87" t="s">
        <v>32</v>
      </c>
      <c r="AC8" s="2" t="s">
        <v>369</v>
      </c>
    </row>
    <row r="9" spans="1:29" ht="30.75" hidden="1" customHeight="1" x14ac:dyDescent="0.2">
      <c r="A9" s="2">
        <v>8</v>
      </c>
      <c r="B9" s="2">
        <v>29</v>
      </c>
      <c r="C9" s="36" t="s">
        <v>32</v>
      </c>
      <c r="D9" s="2" t="s">
        <v>31</v>
      </c>
      <c r="E9" s="2" t="s">
        <v>31</v>
      </c>
      <c r="F9" s="2" t="s">
        <v>45</v>
      </c>
      <c r="G9" s="2" t="s">
        <v>565</v>
      </c>
      <c r="H9" s="2" t="s">
        <v>23</v>
      </c>
      <c r="I9" s="40">
        <v>40031422</v>
      </c>
      <c r="J9" s="49" t="s">
        <v>333</v>
      </c>
      <c r="K9" s="3">
        <v>238375000</v>
      </c>
      <c r="L9" s="2" t="s">
        <v>49</v>
      </c>
      <c r="M9" s="15" t="s">
        <v>62</v>
      </c>
      <c r="N9" s="10">
        <v>45310</v>
      </c>
      <c r="O9" s="10">
        <v>45351</v>
      </c>
      <c r="P9" s="37">
        <v>29</v>
      </c>
      <c r="Q9" s="10">
        <v>45310</v>
      </c>
      <c r="R9" s="9">
        <v>45325</v>
      </c>
      <c r="S9" s="43">
        <v>45351</v>
      </c>
      <c r="T9" s="2">
        <v>15</v>
      </c>
      <c r="U9" s="9">
        <v>45331</v>
      </c>
      <c r="V9" s="2">
        <v>41</v>
      </c>
      <c r="W9" s="38">
        <v>29</v>
      </c>
      <c r="X9" s="13">
        <v>-341</v>
      </c>
      <c r="Y9" s="2" t="s">
        <v>536</v>
      </c>
      <c r="Z9" s="2" t="s">
        <v>152</v>
      </c>
      <c r="AA9" s="3">
        <v>9915</v>
      </c>
      <c r="AB9" s="87" t="s">
        <v>31</v>
      </c>
      <c r="AC9" s="2"/>
    </row>
    <row r="10" spans="1:29" ht="28.5" hidden="1" x14ac:dyDescent="0.2">
      <c r="A10" s="2">
        <v>9</v>
      </c>
      <c r="B10" s="2">
        <v>29</v>
      </c>
      <c r="C10" s="36" t="s">
        <v>31</v>
      </c>
      <c r="D10" s="2" t="s">
        <v>31</v>
      </c>
      <c r="E10" s="2" t="s">
        <v>31</v>
      </c>
      <c r="F10" s="2" t="s">
        <v>45</v>
      </c>
      <c r="G10" s="2" t="s">
        <v>60</v>
      </c>
      <c r="H10" s="2" t="s">
        <v>526</v>
      </c>
      <c r="I10" s="7">
        <v>40059586</v>
      </c>
      <c r="J10" s="3" t="s">
        <v>525</v>
      </c>
      <c r="K10" s="3"/>
      <c r="L10" s="2" t="s">
        <v>49</v>
      </c>
      <c r="M10" s="15" t="s">
        <v>74</v>
      </c>
      <c r="N10" s="10">
        <v>45302</v>
      </c>
      <c r="O10" s="10">
        <v>45315</v>
      </c>
      <c r="P10" s="37">
        <v>9</v>
      </c>
      <c r="Q10" s="10">
        <v>45302</v>
      </c>
      <c r="R10" s="9">
        <v>45317</v>
      </c>
      <c r="S10" s="43">
        <v>45315</v>
      </c>
      <c r="T10" s="2">
        <v>15</v>
      </c>
      <c r="U10" s="9">
        <v>45323</v>
      </c>
      <c r="V10" s="2">
        <v>13</v>
      </c>
      <c r="W10" s="38">
        <v>9</v>
      </c>
      <c r="X10" s="13">
        <v>-349</v>
      </c>
      <c r="Y10" s="2"/>
      <c r="Z10" s="2" t="s">
        <v>156</v>
      </c>
      <c r="AA10" s="65"/>
      <c r="AB10" s="88" t="s">
        <v>31</v>
      </c>
      <c r="AC10" s="2"/>
    </row>
    <row r="11" spans="1:29" ht="28.5" hidden="1" x14ac:dyDescent="0.2">
      <c r="A11" s="2">
        <v>10</v>
      </c>
      <c r="B11" s="2">
        <v>29</v>
      </c>
      <c r="C11" s="36" t="s">
        <v>31</v>
      </c>
      <c r="D11" s="2" t="s">
        <v>31</v>
      </c>
      <c r="E11" s="2" t="s">
        <v>32</v>
      </c>
      <c r="F11" s="2" t="s">
        <v>45</v>
      </c>
      <c r="G11" s="2" t="s">
        <v>60</v>
      </c>
      <c r="H11" s="2" t="s">
        <v>7</v>
      </c>
      <c r="I11" s="40">
        <v>30079814</v>
      </c>
      <c r="J11" s="3" t="s">
        <v>527</v>
      </c>
      <c r="K11" s="3">
        <v>118121000</v>
      </c>
      <c r="L11" s="2" t="s">
        <v>49</v>
      </c>
      <c r="M11" s="15" t="s">
        <v>62</v>
      </c>
      <c r="N11" s="10">
        <v>45314</v>
      </c>
      <c r="O11" s="10">
        <v>45348</v>
      </c>
      <c r="P11" s="37">
        <v>24</v>
      </c>
      <c r="Q11" s="10">
        <v>45476</v>
      </c>
      <c r="R11" s="9">
        <v>45491</v>
      </c>
      <c r="S11" s="43">
        <v>45512</v>
      </c>
      <c r="T11" s="2">
        <v>15</v>
      </c>
      <c r="U11" s="9">
        <v>45498</v>
      </c>
      <c r="V11" s="2">
        <v>36</v>
      </c>
      <c r="W11" s="38">
        <v>25</v>
      </c>
      <c r="X11" s="13">
        <v>-174</v>
      </c>
      <c r="Y11" s="2" t="s">
        <v>628</v>
      </c>
      <c r="Z11" s="48" t="s">
        <v>223</v>
      </c>
      <c r="AA11" s="65">
        <v>487</v>
      </c>
      <c r="AB11" s="88" t="s">
        <v>31</v>
      </c>
      <c r="AC11" s="2"/>
    </row>
    <row r="12" spans="1:29" ht="28.5" hidden="1" x14ac:dyDescent="0.2">
      <c r="A12" s="2">
        <v>11</v>
      </c>
      <c r="B12" s="2">
        <v>29</v>
      </c>
      <c r="C12" s="36" t="s">
        <v>31</v>
      </c>
      <c r="D12" s="2" t="s">
        <v>31</v>
      </c>
      <c r="E12" s="2" t="s">
        <v>32</v>
      </c>
      <c r="F12" s="2" t="s">
        <v>42</v>
      </c>
      <c r="G12" s="2" t="s">
        <v>68</v>
      </c>
      <c r="H12" s="2" t="s">
        <v>21</v>
      </c>
      <c r="I12" s="40">
        <v>40059680</v>
      </c>
      <c r="J12" s="3" t="s">
        <v>528</v>
      </c>
      <c r="K12" s="3">
        <v>400787000</v>
      </c>
      <c r="L12" s="2" t="s">
        <v>49</v>
      </c>
      <c r="M12" s="15" t="s">
        <v>62</v>
      </c>
      <c r="N12" s="10">
        <v>45309</v>
      </c>
      <c r="O12" s="10">
        <v>45324</v>
      </c>
      <c r="P12" s="37">
        <v>11</v>
      </c>
      <c r="Q12" s="10">
        <v>45590</v>
      </c>
      <c r="R12" s="9">
        <v>45605</v>
      </c>
      <c r="S12" s="43">
        <v>45608</v>
      </c>
      <c r="T12" s="2">
        <v>15</v>
      </c>
      <c r="U12" s="9">
        <v>45615</v>
      </c>
      <c r="V12" s="2">
        <v>18</v>
      </c>
      <c r="W12" s="38">
        <v>10</v>
      </c>
      <c r="X12" s="13">
        <v>-57</v>
      </c>
      <c r="Y12" s="3" t="s">
        <v>671</v>
      </c>
      <c r="Z12" s="48" t="s">
        <v>157</v>
      </c>
      <c r="AA12" s="65"/>
      <c r="AB12" s="88" t="s">
        <v>31</v>
      </c>
      <c r="AC12" s="2"/>
    </row>
    <row r="13" spans="1:29" ht="48" hidden="1" customHeight="1" x14ac:dyDescent="0.2">
      <c r="A13" s="2">
        <v>12</v>
      </c>
      <c r="B13" s="2">
        <v>31</v>
      </c>
      <c r="C13" s="36" t="s">
        <v>32</v>
      </c>
      <c r="D13" s="2" t="s">
        <v>32</v>
      </c>
      <c r="E13" s="2" t="s">
        <v>31</v>
      </c>
      <c r="F13" s="2" t="s">
        <v>45</v>
      </c>
      <c r="G13" s="2" t="s">
        <v>61</v>
      </c>
      <c r="H13" s="2" t="s">
        <v>15</v>
      </c>
      <c r="I13" s="40">
        <v>40015147</v>
      </c>
      <c r="J13" s="2" t="s">
        <v>529</v>
      </c>
      <c r="K13" s="3">
        <v>1007608000</v>
      </c>
      <c r="L13" s="2" t="s">
        <v>49</v>
      </c>
      <c r="M13" s="17" t="s">
        <v>62</v>
      </c>
      <c r="N13" s="10"/>
      <c r="O13" s="10"/>
      <c r="P13" s="37" t="s">
        <v>686</v>
      </c>
      <c r="Q13" s="10">
        <v>45337</v>
      </c>
      <c r="R13" s="9">
        <v>45347</v>
      </c>
      <c r="S13" s="43">
        <v>45341</v>
      </c>
      <c r="T13" s="2">
        <v>10</v>
      </c>
      <c r="U13" s="9">
        <v>45351</v>
      </c>
      <c r="V13" s="2">
        <v>4</v>
      </c>
      <c r="W13" s="38">
        <v>2</v>
      </c>
      <c r="X13" s="13">
        <v>-321</v>
      </c>
      <c r="Y13" s="2" t="s">
        <v>181</v>
      </c>
      <c r="Z13" s="2" t="s">
        <v>161</v>
      </c>
      <c r="AA13" s="65"/>
      <c r="AB13" s="88" t="s">
        <v>32</v>
      </c>
      <c r="AC13" s="2"/>
    </row>
    <row r="14" spans="1:29" ht="48" hidden="1" customHeight="1" x14ac:dyDescent="0.2">
      <c r="A14" s="2">
        <v>13</v>
      </c>
      <c r="B14" s="2"/>
      <c r="C14" s="36" t="s">
        <v>31</v>
      </c>
      <c r="D14" s="2" t="s">
        <v>31</v>
      </c>
      <c r="E14" s="2" t="s">
        <v>31</v>
      </c>
      <c r="F14" s="2" t="s">
        <v>45</v>
      </c>
      <c r="G14" s="2" t="s">
        <v>51</v>
      </c>
      <c r="H14" s="2" t="s">
        <v>78</v>
      </c>
      <c r="I14" s="7">
        <v>40060019</v>
      </c>
      <c r="J14" s="2" t="s">
        <v>530</v>
      </c>
      <c r="K14" s="3"/>
      <c r="L14" s="2" t="s">
        <v>49</v>
      </c>
      <c r="M14" s="15" t="s">
        <v>74</v>
      </c>
      <c r="N14" s="10">
        <v>45315</v>
      </c>
      <c r="O14" s="10">
        <v>45316</v>
      </c>
      <c r="P14" s="37">
        <v>1</v>
      </c>
      <c r="Q14" s="10">
        <v>45315</v>
      </c>
      <c r="R14" s="9">
        <v>45330</v>
      </c>
      <c r="S14" s="43">
        <v>45316</v>
      </c>
      <c r="T14" s="2">
        <v>15</v>
      </c>
      <c r="U14" s="9">
        <v>45336</v>
      </c>
      <c r="V14" s="2">
        <v>1</v>
      </c>
      <c r="W14" s="38">
        <v>1</v>
      </c>
      <c r="X14" s="13">
        <v>-336</v>
      </c>
      <c r="Y14" s="2"/>
      <c r="Z14" s="2" t="s">
        <v>476</v>
      </c>
      <c r="AA14" s="65"/>
      <c r="AB14" s="88" t="s">
        <v>31</v>
      </c>
      <c r="AC14" s="2"/>
    </row>
    <row r="15" spans="1:29" ht="28.5" hidden="1" x14ac:dyDescent="0.2">
      <c r="A15" s="2">
        <v>14</v>
      </c>
      <c r="B15" s="2">
        <v>31</v>
      </c>
      <c r="C15" s="36" t="s">
        <v>31</v>
      </c>
      <c r="D15" s="2" t="s">
        <v>31</v>
      </c>
      <c r="E15" s="2" t="s">
        <v>32</v>
      </c>
      <c r="F15" s="2" t="s">
        <v>45</v>
      </c>
      <c r="G15" s="2" t="s">
        <v>51</v>
      </c>
      <c r="H15" s="2" t="s">
        <v>11</v>
      </c>
      <c r="I15" s="7">
        <v>40056949</v>
      </c>
      <c r="J15" s="3" t="s">
        <v>439</v>
      </c>
      <c r="K15" s="3">
        <v>1532214000</v>
      </c>
      <c r="L15" s="2" t="s">
        <v>49</v>
      </c>
      <c r="M15" s="15" t="s">
        <v>62</v>
      </c>
      <c r="N15" s="10">
        <v>45320</v>
      </c>
      <c r="O15" s="10">
        <v>45323</v>
      </c>
      <c r="P15" s="37">
        <v>3</v>
      </c>
      <c r="Q15" s="10">
        <v>45334</v>
      </c>
      <c r="R15" s="9">
        <v>45349</v>
      </c>
      <c r="S15" s="43">
        <v>45350</v>
      </c>
      <c r="T15" s="2">
        <v>15</v>
      </c>
      <c r="U15" s="9">
        <v>45355</v>
      </c>
      <c r="V15" s="2">
        <v>16</v>
      </c>
      <c r="W15" s="38">
        <v>12</v>
      </c>
      <c r="X15" s="13">
        <v>-317</v>
      </c>
      <c r="Y15" s="2" t="s">
        <v>534</v>
      </c>
      <c r="Z15" s="2" t="s">
        <v>155</v>
      </c>
      <c r="AA15" s="3">
        <v>130270</v>
      </c>
      <c r="AB15" s="89" t="s">
        <v>31</v>
      </c>
      <c r="AC15" s="2" t="s">
        <v>366</v>
      </c>
    </row>
    <row r="16" spans="1:29" ht="28.5" hidden="1" x14ac:dyDescent="0.2">
      <c r="A16" s="2">
        <v>15</v>
      </c>
      <c r="B16" s="2">
        <v>31</v>
      </c>
      <c r="C16" s="36" t="s">
        <v>31</v>
      </c>
      <c r="D16" s="2" t="s">
        <v>31</v>
      </c>
      <c r="E16" s="2" t="s">
        <v>32</v>
      </c>
      <c r="F16" s="2" t="s">
        <v>42</v>
      </c>
      <c r="G16" s="2" t="s">
        <v>42</v>
      </c>
      <c r="H16" s="2" t="s">
        <v>17</v>
      </c>
      <c r="I16" s="7">
        <v>40059081</v>
      </c>
      <c r="J16" s="3" t="s">
        <v>512</v>
      </c>
      <c r="K16" s="3">
        <v>486647000</v>
      </c>
      <c r="L16" s="2" t="s">
        <v>49</v>
      </c>
      <c r="M16" s="15" t="s">
        <v>62</v>
      </c>
      <c r="N16" s="10">
        <v>45320</v>
      </c>
      <c r="O16" s="10">
        <v>45358</v>
      </c>
      <c r="P16" s="37">
        <v>28</v>
      </c>
      <c r="Q16" s="10">
        <v>45551</v>
      </c>
      <c r="R16" s="9">
        <v>45566</v>
      </c>
      <c r="S16" s="43">
        <v>45574</v>
      </c>
      <c r="T16" s="2">
        <v>15</v>
      </c>
      <c r="U16" s="9">
        <v>45575</v>
      </c>
      <c r="V16" s="2">
        <v>23</v>
      </c>
      <c r="W16" s="38">
        <v>14</v>
      </c>
      <c r="X16" s="13">
        <v>-97</v>
      </c>
      <c r="Y16" s="2" t="s">
        <v>649</v>
      </c>
      <c r="Z16" s="48" t="s">
        <v>165</v>
      </c>
      <c r="AA16" s="65"/>
      <c r="AB16" s="88" t="s">
        <v>31</v>
      </c>
      <c r="AC16" s="2"/>
    </row>
    <row r="17" spans="1:29" ht="57" hidden="1" x14ac:dyDescent="0.2">
      <c r="A17" s="2">
        <v>16</v>
      </c>
      <c r="B17" s="2">
        <v>29</v>
      </c>
      <c r="C17" s="36" t="s">
        <v>31</v>
      </c>
      <c r="D17" s="2" t="s">
        <v>32</v>
      </c>
      <c r="E17" s="2" t="s">
        <v>32</v>
      </c>
      <c r="F17" s="2" t="s">
        <v>179</v>
      </c>
      <c r="G17" s="2" t="s">
        <v>179</v>
      </c>
      <c r="H17" s="2" t="s">
        <v>185</v>
      </c>
      <c r="I17" s="7">
        <v>40052706</v>
      </c>
      <c r="J17" s="3" t="s">
        <v>410</v>
      </c>
      <c r="K17" s="3">
        <v>198024000</v>
      </c>
      <c r="L17" s="2" t="s">
        <v>49</v>
      </c>
      <c r="M17" s="15" t="s">
        <v>62</v>
      </c>
      <c r="N17" s="10">
        <v>45320</v>
      </c>
      <c r="O17" s="10">
        <v>45323</v>
      </c>
      <c r="P17" s="37">
        <v>3</v>
      </c>
      <c r="Q17" s="10">
        <v>45488</v>
      </c>
      <c r="R17" s="9">
        <v>45503</v>
      </c>
      <c r="S17" s="43">
        <v>45497</v>
      </c>
      <c r="T17" s="2">
        <v>15</v>
      </c>
      <c r="U17" s="9">
        <v>45510</v>
      </c>
      <c r="V17" s="2">
        <v>9</v>
      </c>
      <c r="W17" s="38">
        <v>6</v>
      </c>
      <c r="X17" s="13">
        <v>-162</v>
      </c>
      <c r="Y17" s="2" t="s">
        <v>616</v>
      </c>
      <c r="Z17" s="48" t="s">
        <v>413</v>
      </c>
      <c r="AA17" s="3">
        <v>828708</v>
      </c>
      <c r="AB17" s="90" t="s">
        <v>31</v>
      </c>
      <c r="AC17" s="2" t="s">
        <v>542</v>
      </c>
    </row>
    <row r="18" spans="1:29" ht="28.5" hidden="1" x14ac:dyDescent="0.2">
      <c r="A18" s="2">
        <v>17</v>
      </c>
      <c r="B18" s="2">
        <v>31</v>
      </c>
      <c r="C18" s="36" t="s">
        <v>32</v>
      </c>
      <c r="D18" s="2" t="s">
        <v>31</v>
      </c>
      <c r="E18" s="2" t="s">
        <v>32</v>
      </c>
      <c r="F18" s="2" t="s">
        <v>42</v>
      </c>
      <c r="G18" s="2" t="s">
        <v>58</v>
      </c>
      <c r="H18" s="2" t="s">
        <v>404</v>
      </c>
      <c r="I18" s="7">
        <v>40032117</v>
      </c>
      <c r="J18" s="3" t="s">
        <v>604</v>
      </c>
      <c r="K18" s="3">
        <v>1022266000</v>
      </c>
      <c r="L18" s="2" t="s">
        <v>49</v>
      </c>
      <c r="M18" s="15" t="s">
        <v>62</v>
      </c>
      <c r="N18" s="10">
        <v>45320</v>
      </c>
      <c r="O18" s="10">
        <v>45356</v>
      </c>
      <c r="P18" s="37">
        <v>26</v>
      </c>
      <c r="Q18" s="10">
        <v>45569</v>
      </c>
      <c r="R18" s="9">
        <v>45584</v>
      </c>
      <c r="S18" s="43">
        <v>45590</v>
      </c>
      <c r="T18" s="2">
        <v>15</v>
      </c>
      <c r="U18" s="9">
        <v>45590</v>
      </c>
      <c r="V18" s="2">
        <v>21</v>
      </c>
      <c r="W18" s="38">
        <v>15</v>
      </c>
      <c r="X18" s="13">
        <v>-82</v>
      </c>
      <c r="Y18" s="2" t="s">
        <v>659</v>
      </c>
      <c r="Z18" s="48" t="s">
        <v>154</v>
      </c>
      <c r="AA18" s="3"/>
      <c r="AB18" s="88" t="s">
        <v>31</v>
      </c>
      <c r="AC18" s="2"/>
    </row>
    <row r="19" spans="1:29" s="60" customFormat="1" ht="42.75" hidden="1" x14ac:dyDescent="0.2">
      <c r="A19" s="2">
        <v>18</v>
      </c>
      <c r="B19" s="3">
        <v>29</v>
      </c>
      <c r="C19" s="36" t="s">
        <v>31</v>
      </c>
      <c r="D19" s="2" t="s">
        <v>31</v>
      </c>
      <c r="E19" s="2" t="s">
        <v>32</v>
      </c>
      <c r="F19" s="2" t="s">
        <v>42</v>
      </c>
      <c r="G19" s="2" t="s">
        <v>42</v>
      </c>
      <c r="H19" s="2" t="s">
        <v>17</v>
      </c>
      <c r="I19" s="7">
        <v>40053613</v>
      </c>
      <c r="J19" s="49" t="s">
        <v>510</v>
      </c>
      <c r="K19" s="3">
        <v>949305000</v>
      </c>
      <c r="L19" s="2" t="s">
        <v>49</v>
      </c>
      <c r="M19" s="15" t="s">
        <v>62</v>
      </c>
      <c r="N19" s="10">
        <v>45324</v>
      </c>
      <c r="O19" s="10">
        <v>45355</v>
      </c>
      <c r="P19" s="37">
        <v>21</v>
      </c>
      <c r="Q19" s="10">
        <v>45379</v>
      </c>
      <c r="R19" s="9">
        <v>45394</v>
      </c>
      <c r="S19" s="43">
        <v>45393</v>
      </c>
      <c r="T19" s="2">
        <v>15</v>
      </c>
      <c r="U19" s="9">
        <v>45401</v>
      </c>
      <c r="V19" s="2">
        <v>14</v>
      </c>
      <c r="W19" s="38">
        <v>9</v>
      </c>
      <c r="X19" s="13">
        <v>-271</v>
      </c>
      <c r="Y19" s="3" t="s">
        <v>547</v>
      </c>
      <c r="Z19" s="2" t="s">
        <v>157</v>
      </c>
      <c r="AA19" s="3">
        <v>161460</v>
      </c>
      <c r="AB19" s="88" t="s">
        <v>31</v>
      </c>
      <c r="AC19" s="2" t="s">
        <v>367</v>
      </c>
    </row>
    <row r="20" spans="1:29" ht="28.5" hidden="1" x14ac:dyDescent="0.2">
      <c r="A20" s="2">
        <v>19</v>
      </c>
      <c r="B20" s="2">
        <v>31</v>
      </c>
      <c r="C20" s="36" t="s">
        <v>32</v>
      </c>
      <c r="D20" s="2" t="s">
        <v>32</v>
      </c>
      <c r="E20" s="2" t="s">
        <v>31</v>
      </c>
      <c r="F20" s="2" t="s">
        <v>42</v>
      </c>
      <c r="G20" s="2" t="s">
        <v>43</v>
      </c>
      <c r="H20" s="2" t="s">
        <v>26</v>
      </c>
      <c r="I20" s="7">
        <v>40039693</v>
      </c>
      <c r="J20" s="3" t="s">
        <v>531</v>
      </c>
      <c r="K20" s="3">
        <v>413159000</v>
      </c>
      <c r="L20" s="2" t="s">
        <v>49</v>
      </c>
      <c r="M20" s="17" t="s">
        <v>62</v>
      </c>
      <c r="N20" s="10"/>
      <c r="O20" s="10"/>
      <c r="P20" s="37" t="s">
        <v>686</v>
      </c>
      <c r="Q20" s="10">
        <v>45385</v>
      </c>
      <c r="R20" s="9">
        <v>45395</v>
      </c>
      <c r="S20" s="43">
        <v>45387</v>
      </c>
      <c r="T20" s="2">
        <v>10</v>
      </c>
      <c r="U20" s="9">
        <v>45399</v>
      </c>
      <c r="V20" s="2">
        <v>2</v>
      </c>
      <c r="W20" s="38">
        <v>2</v>
      </c>
      <c r="X20" s="13">
        <v>-273</v>
      </c>
      <c r="Y20" s="2" t="s">
        <v>267</v>
      </c>
      <c r="Z20" s="2" t="s">
        <v>154</v>
      </c>
      <c r="AA20" s="65">
        <v>317</v>
      </c>
      <c r="AB20" s="88" t="s">
        <v>32</v>
      </c>
      <c r="AC20" s="2" t="s">
        <v>366</v>
      </c>
    </row>
    <row r="21" spans="1:29" ht="57" hidden="1" x14ac:dyDescent="0.2">
      <c r="A21" s="2">
        <v>20</v>
      </c>
      <c r="B21" s="2">
        <v>31</v>
      </c>
      <c r="C21" s="36" t="s">
        <v>32</v>
      </c>
      <c r="D21" s="2" t="s">
        <v>31</v>
      </c>
      <c r="E21" s="2" t="s">
        <v>32</v>
      </c>
      <c r="F21" s="2" t="s">
        <v>568</v>
      </c>
      <c r="G21" s="93" t="s">
        <v>0</v>
      </c>
      <c r="H21" s="2" t="s">
        <v>18</v>
      </c>
      <c r="I21" s="7">
        <v>40040291</v>
      </c>
      <c r="J21" s="3" t="s">
        <v>532</v>
      </c>
      <c r="K21" s="3">
        <v>326471000</v>
      </c>
      <c r="L21" s="2" t="s">
        <v>49</v>
      </c>
      <c r="M21" s="15" t="s">
        <v>62</v>
      </c>
      <c r="N21" s="10">
        <v>45327</v>
      </c>
      <c r="O21" s="10">
        <v>45364</v>
      </c>
      <c r="P21" s="37">
        <v>27</v>
      </c>
      <c r="Q21" s="10">
        <v>45576</v>
      </c>
      <c r="R21" s="9">
        <v>45591</v>
      </c>
      <c r="S21" s="43">
        <v>45364</v>
      </c>
      <c r="T21" s="2">
        <v>15</v>
      </c>
      <c r="U21" s="9">
        <v>45601</v>
      </c>
      <c r="V21" s="2">
        <v>-212</v>
      </c>
      <c r="W21" s="38" t="s">
        <v>686</v>
      </c>
      <c r="X21" s="13">
        <v>-71</v>
      </c>
      <c r="Y21" s="2" t="s">
        <v>665</v>
      </c>
      <c r="Z21" s="48" t="s">
        <v>155</v>
      </c>
      <c r="AA21" s="3">
        <v>1009</v>
      </c>
      <c r="AB21" s="88" t="s">
        <v>31</v>
      </c>
      <c r="AC21" s="2" t="s">
        <v>427</v>
      </c>
    </row>
    <row r="22" spans="1:29" ht="42.75" hidden="1" x14ac:dyDescent="0.2">
      <c r="A22" s="2">
        <v>21</v>
      </c>
      <c r="B22" s="2">
        <v>29</v>
      </c>
      <c r="C22" s="36" t="s">
        <v>31</v>
      </c>
      <c r="D22" s="2" t="s">
        <v>31</v>
      </c>
      <c r="E22" s="2" t="s">
        <v>32</v>
      </c>
      <c r="F22" s="2" t="s">
        <v>568</v>
      </c>
      <c r="G22" s="2" t="s">
        <v>54</v>
      </c>
      <c r="H22" s="2" t="s">
        <v>407</v>
      </c>
      <c r="I22" s="7">
        <v>40051860</v>
      </c>
      <c r="J22" s="49" t="s">
        <v>382</v>
      </c>
      <c r="K22" s="3">
        <v>962867000</v>
      </c>
      <c r="L22" s="2" t="s">
        <v>49</v>
      </c>
      <c r="M22" s="15" t="s">
        <v>62</v>
      </c>
      <c r="N22" s="10">
        <v>45327</v>
      </c>
      <c r="O22" s="10">
        <v>45355</v>
      </c>
      <c r="P22" s="37">
        <v>20</v>
      </c>
      <c r="Q22" s="10">
        <v>45327</v>
      </c>
      <c r="R22" s="9">
        <v>45342</v>
      </c>
      <c r="S22" s="43">
        <v>45355</v>
      </c>
      <c r="T22" s="2">
        <v>15</v>
      </c>
      <c r="U22" s="9">
        <v>45348</v>
      </c>
      <c r="V22" s="2">
        <v>28</v>
      </c>
      <c r="W22" s="38">
        <v>20</v>
      </c>
      <c r="X22" s="13">
        <v>-324</v>
      </c>
      <c r="Y22" s="2" t="s">
        <v>539</v>
      </c>
      <c r="Z22" s="2" t="s">
        <v>383</v>
      </c>
      <c r="AA22" s="3">
        <v>4973</v>
      </c>
      <c r="AB22" s="88" t="s">
        <v>31</v>
      </c>
      <c r="AC22" s="2" t="s">
        <v>367</v>
      </c>
    </row>
    <row r="23" spans="1:29" s="60" customFormat="1" ht="57" hidden="1" x14ac:dyDescent="0.2">
      <c r="A23" s="2">
        <v>22</v>
      </c>
      <c r="B23" s="3">
        <v>29</v>
      </c>
      <c r="C23" s="36" t="s">
        <v>31</v>
      </c>
      <c r="D23" s="2" t="s">
        <v>31</v>
      </c>
      <c r="E23" s="2" t="s">
        <v>32</v>
      </c>
      <c r="F23" s="2" t="s">
        <v>48</v>
      </c>
      <c r="G23" s="2" t="s">
        <v>590</v>
      </c>
      <c r="H23" s="2" t="s">
        <v>398</v>
      </c>
      <c r="I23" s="7">
        <v>40053669</v>
      </c>
      <c r="J23" s="49" t="s">
        <v>540</v>
      </c>
      <c r="K23" s="3">
        <v>167604000</v>
      </c>
      <c r="L23" s="2" t="s">
        <v>49</v>
      </c>
      <c r="M23" s="15" t="s">
        <v>62</v>
      </c>
      <c r="N23" s="10">
        <v>45341</v>
      </c>
      <c r="O23" s="10">
        <v>45362</v>
      </c>
      <c r="P23" s="37">
        <v>15</v>
      </c>
      <c r="Q23" s="10">
        <v>45341</v>
      </c>
      <c r="R23" s="9">
        <v>45356</v>
      </c>
      <c r="S23" s="43">
        <v>45362</v>
      </c>
      <c r="T23" s="2">
        <v>15</v>
      </c>
      <c r="U23" s="9">
        <v>45362</v>
      </c>
      <c r="V23" s="2">
        <v>21</v>
      </c>
      <c r="W23" s="38">
        <v>15</v>
      </c>
      <c r="X23" s="13">
        <v>-310</v>
      </c>
      <c r="Y23" s="3" t="s">
        <v>541</v>
      </c>
      <c r="Z23" s="12" t="s">
        <v>371</v>
      </c>
      <c r="AA23" s="3">
        <v>3107</v>
      </c>
      <c r="AB23" s="88" t="s">
        <v>31</v>
      </c>
      <c r="AC23" s="2" t="s">
        <v>542</v>
      </c>
    </row>
    <row r="24" spans="1:29" ht="28.5" x14ac:dyDescent="0.2">
      <c r="A24" s="2">
        <v>23</v>
      </c>
      <c r="B24" s="2">
        <v>31</v>
      </c>
      <c r="C24" s="36" t="s">
        <v>32</v>
      </c>
      <c r="D24" s="2" t="s">
        <v>32</v>
      </c>
      <c r="E24" s="2" t="s">
        <v>31</v>
      </c>
      <c r="F24" s="2" t="s">
        <v>45</v>
      </c>
      <c r="G24" s="2" t="s">
        <v>561</v>
      </c>
      <c r="H24" s="2" t="s">
        <v>19</v>
      </c>
      <c r="I24" s="7">
        <v>40035233</v>
      </c>
      <c r="J24" s="3" t="s">
        <v>533</v>
      </c>
      <c r="K24" s="3">
        <v>666470000</v>
      </c>
      <c r="L24" s="2" t="s">
        <v>49</v>
      </c>
      <c r="M24" s="17" t="s">
        <v>62</v>
      </c>
      <c r="N24" s="10"/>
      <c r="O24" s="10"/>
      <c r="P24" s="37" t="s">
        <v>686</v>
      </c>
      <c r="Q24" s="10">
        <v>45371</v>
      </c>
      <c r="R24" s="9">
        <v>45381</v>
      </c>
      <c r="S24" s="43">
        <v>45372</v>
      </c>
      <c r="T24" s="2">
        <v>10</v>
      </c>
      <c r="U24" s="9">
        <v>45386</v>
      </c>
      <c r="V24" s="2">
        <v>1</v>
      </c>
      <c r="W24" s="38">
        <v>1</v>
      </c>
      <c r="X24" s="13">
        <v>-286</v>
      </c>
      <c r="Y24" s="2" t="s">
        <v>231</v>
      </c>
      <c r="Z24" s="2" t="s">
        <v>154</v>
      </c>
      <c r="AA24" s="12">
        <v>300</v>
      </c>
      <c r="AB24" s="88" t="s">
        <v>32</v>
      </c>
      <c r="AC24" s="2" t="s">
        <v>366</v>
      </c>
    </row>
    <row r="25" spans="1:29" ht="28.5" hidden="1" x14ac:dyDescent="0.2">
      <c r="A25" s="2">
        <v>24</v>
      </c>
      <c r="B25" s="2">
        <v>29</v>
      </c>
      <c r="C25" s="36" t="s">
        <v>31</v>
      </c>
      <c r="D25" s="2" t="s">
        <v>31</v>
      </c>
      <c r="E25" s="2" t="s">
        <v>31</v>
      </c>
      <c r="F25" s="2" t="s">
        <v>45</v>
      </c>
      <c r="G25" s="2" t="s">
        <v>55</v>
      </c>
      <c r="H25" s="2" t="s">
        <v>78</v>
      </c>
      <c r="I25" s="7">
        <v>40060299</v>
      </c>
      <c r="J25" s="3" t="s">
        <v>609</v>
      </c>
      <c r="K25" s="3">
        <v>368927000</v>
      </c>
      <c r="L25" s="2" t="s">
        <v>49</v>
      </c>
      <c r="M25" s="15" t="s">
        <v>62</v>
      </c>
      <c r="N25" s="10">
        <v>45357</v>
      </c>
      <c r="O25" s="10">
        <v>45377</v>
      </c>
      <c r="P25" s="37">
        <v>14</v>
      </c>
      <c r="Q25" s="10">
        <v>45572</v>
      </c>
      <c r="R25" s="9">
        <v>45587</v>
      </c>
      <c r="S25" s="43">
        <v>45490</v>
      </c>
      <c r="T25" s="2">
        <v>15</v>
      </c>
      <c r="U25" s="9">
        <v>45593</v>
      </c>
      <c r="V25" s="2">
        <v>-82</v>
      </c>
      <c r="W25" s="38" t="s">
        <v>686</v>
      </c>
      <c r="X25" s="13">
        <v>-79</v>
      </c>
      <c r="Y25" s="2" t="s">
        <v>650</v>
      </c>
      <c r="Z25" s="48" t="s">
        <v>172</v>
      </c>
      <c r="AA25" s="3"/>
      <c r="AB25" s="88" t="s">
        <v>31</v>
      </c>
      <c r="AC25" s="2"/>
    </row>
    <row r="26" spans="1:29" ht="28.5" hidden="1" x14ac:dyDescent="0.2">
      <c r="A26" s="2">
        <v>25</v>
      </c>
      <c r="B26" s="2">
        <v>29</v>
      </c>
      <c r="C26" s="36" t="s">
        <v>31</v>
      </c>
      <c r="D26" s="2" t="s">
        <v>31</v>
      </c>
      <c r="E26" s="2" t="s">
        <v>31</v>
      </c>
      <c r="F26" s="2" t="s">
        <v>179</v>
      </c>
      <c r="G26" s="2"/>
      <c r="H26" s="2" t="s">
        <v>78</v>
      </c>
      <c r="I26" s="7">
        <v>40056926</v>
      </c>
      <c r="J26" s="3" t="s">
        <v>443</v>
      </c>
      <c r="K26" s="3">
        <v>202203000</v>
      </c>
      <c r="L26" s="2" t="s">
        <v>49</v>
      </c>
      <c r="M26" s="15" t="s">
        <v>62</v>
      </c>
      <c r="N26" s="10">
        <v>45357</v>
      </c>
      <c r="O26" s="10">
        <v>45377</v>
      </c>
      <c r="P26" s="37">
        <v>14</v>
      </c>
      <c r="Q26" s="10">
        <v>45547</v>
      </c>
      <c r="R26" s="9">
        <v>45562</v>
      </c>
      <c r="S26" s="43">
        <v>45603</v>
      </c>
      <c r="T26" s="2">
        <v>15</v>
      </c>
      <c r="U26" s="9">
        <v>45573</v>
      </c>
      <c r="V26" s="2">
        <v>56</v>
      </c>
      <c r="W26" s="38">
        <v>35</v>
      </c>
      <c r="X26" s="13">
        <v>-99</v>
      </c>
      <c r="Y26" s="2" t="s">
        <v>669</v>
      </c>
      <c r="Z26" s="48" t="s">
        <v>172</v>
      </c>
      <c r="AA26" s="3">
        <v>426401</v>
      </c>
      <c r="AB26" s="88" t="s">
        <v>31</v>
      </c>
      <c r="AC26" s="2" t="s">
        <v>375</v>
      </c>
    </row>
    <row r="27" spans="1:29" ht="28.5" hidden="1" x14ac:dyDescent="0.2">
      <c r="A27" s="2">
        <v>26</v>
      </c>
      <c r="B27" s="2">
        <v>31</v>
      </c>
      <c r="C27" s="36" t="s">
        <v>31</v>
      </c>
      <c r="D27" s="2" t="s">
        <v>31</v>
      </c>
      <c r="E27" s="2" t="s">
        <v>32</v>
      </c>
      <c r="F27" s="2" t="s">
        <v>42</v>
      </c>
      <c r="G27" s="2" t="s">
        <v>65</v>
      </c>
      <c r="H27" s="2" t="s">
        <v>29</v>
      </c>
      <c r="I27" s="7">
        <v>40051437</v>
      </c>
      <c r="J27" s="3" t="s">
        <v>537</v>
      </c>
      <c r="K27" s="3">
        <v>547958000</v>
      </c>
      <c r="L27" s="2" t="s">
        <v>49</v>
      </c>
      <c r="M27" s="15" t="s">
        <v>62</v>
      </c>
      <c r="N27" s="10">
        <v>45359</v>
      </c>
      <c r="O27" s="10">
        <v>45383</v>
      </c>
      <c r="P27" s="37">
        <v>15</v>
      </c>
      <c r="Q27" s="10">
        <v>45460</v>
      </c>
      <c r="R27" s="9">
        <v>45475</v>
      </c>
      <c r="S27" s="43">
        <v>45485</v>
      </c>
      <c r="T27" s="2">
        <v>15</v>
      </c>
      <c r="U27" s="9">
        <v>45482</v>
      </c>
      <c r="V27" s="2">
        <v>25</v>
      </c>
      <c r="W27" s="38">
        <v>18</v>
      </c>
      <c r="X27" s="13">
        <v>-190</v>
      </c>
      <c r="Y27" s="2" t="s">
        <v>610</v>
      </c>
      <c r="Z27" s="48" t="s">
        <v>154</v>
      </c>
      <c r="AA27" s="3">
        <v>372</v>
      </c>
      <c r="AB27" s="88" t="s">
        <v>31</v>
      </c>
      <c r="AC27" s="2" t="s">
        <v>366</v>
      </c>
    </row>
    <row r="28" spans="1:29" ht="28.5" hidden="1" x14ac:dyDescent="0.2">
      <c r="A28" s="2">
        <v>27</v>
      </c>
      <c r="B28" s="2">
        <v>31</v>
      </c>
      <c r="C28" s="36" t="s">
        <v>32</v>
      </c>
      <c r="D28" s="2" t="s">
        <v>32</v>
      </c>
      <c r="E28" s="2" t="s">
        <v>31</v>
      </c>
      <c r="F28" s="2" t="s">
        <v>42</v>
      </c>
      <c r="G28" s="2" t="s">
        <v>42</v>
      </c>
      <c r="H28" s="2" t="s">
        <v>17</v>
      </c>
      <c r="I28" s="7">
        <v>40039788</v>
      </c>
      <c r="J28" s="3" t="s">
        <v>544</v>
      </c>
      <c r="K28" s="3">
        <v>810302000</v>
      </c>
      <c r="L28" s="2" t="s">
        <v>49</v>
      </c>
      <c r="M28" s="17" t="s">
        <v>62</v>
      </c>
      <c r="N28" s="10"/>
      <c r="O28" s="10"/>
      <c r="P28" s="37" t="s">
        <v>686</v>
      </c>
      <c r="Q28" s="10">
        <v>45373</v>
      </c>
      <c r="R28" s="9">
        <v>45383</v>
      </c>
      <c r="S28" s="43">
        <v>45378</v>
      </c>
      <c r="T28" s="2">
        <v>10</v>
      </c>
      <c r="U28" s="9">
        <v>45390</v>
      </c>
      <c r="V28" s="2">
        <v>5</v>
      </c>
      <c r="W28" s="38">
        <v>3</v>
      </c>
      <c r="X28" s="13">
        <v>-282</v>
      </c>
      <c r="Y28" s="2" t="s">
        <v>310</v>
      </c>
      <c r="Z28" s="12" t="s">
        <v>155</v>
      </c>
      <c r="AA28" s="65">
        <v>49870</v>
      </c>
      <c r="AB28" s="88" t="s">
        <v>32</v>
      </c>
      <c r="AC28" s="2" t="s">
        <v>543</v>
      </c>
    </row>
    <row r="29" spans="1:29" ht="28.5" hidden="1" x14ac:dyDescent="0.2">
      <c r="A29" s="2">
        <v>28</v>
      </c>
      <c r="B29" s="2">
        <v>22</v>
      </c>
      <c r="C29" s="36" t="s">
        <v>31</v>
      </c>
      <c r="D29" s="2" t="s">
        <v>32</v>
      </c>
      <c r="E29" s="2" t="s">
        <v>32</v>
      </c>
      <c r="F29" s="2" t="s">
        <v>179</v>
      </c>
      <c r="G29" s="2" t="s">
        <v>179</v>
      </c>
      <c r="H29" s="2" t="s">
        <v>269</v>
      </c>
      <c r="I29" s="7">
        <v>40055194</v>
      </c>
      <c r="J29" s="3" t="s">
        <v>538</v>
      </c>
      <c r="K29" s="3">
        <v>290000000</v>
      </c>
      <c r="L29" s="2" t="s">
        <v>49</v>
      </c>
      <c r="M29" s="15" t="s">
        <v>62</v>
      </c>
      <c r="N29" s="10">
        <v>45322</v>
      </c>
      <c r="O29" s="10">
        <v>45324</v>
      </c>
      <c r="P29" s="37">
        <v>2</v>
      </c>
      <c r="Q29" s="10">
        <v>45363</v>
      </c>
      <c r="R29" s="9">
        <v>45378</v>
      </c>
      <c r="S29" s="43">
        <v>45364</v>
      </c>
      <c r="T29" s="2">
        <v>15</v>
      </c>
      <c r="U29" s="9">
        <v>45385</v>
      </c>
      <c r="V29" s="2">
        <v>1</v>
      </c>
      <c r="W29" s="38">
        <v>1</v>
      </c>
      <c r="X29" s="13">
        <v>-287</v>
      </c>
      <c r="Y29" s="2"/>
      <c r="Z29" s="48" t="s">
        <v>168</v>
      </c>
      <c r="AA29" s="3"/>
      <c r="AB29" s="88" t="s">
        <v>31</v>
      </c>
      <c r="AC29" s="2"/>
    </row>
    <row r="30" spans="1:29" ht="28.5" hidden="1" x14ac:dyDescent="0.2">
      <c r="A30" s="2">
        <v>29</v>
      </c>
      <c r="B30" s="2">
        <v>31</v>
      </c>
      <c r="C30" s="36" t="s">
        <v>31</v>
      </c>
      <c r="D30" s="2" t="s">
        <v>31</v>
      </c>
      <c r="E30" s="2" t="s">
        <v>32</v>
      </c>
      <c r="F30" s="2" t="s">
        <v>42</v>
      </c>
      <c r="G30" s="2" t="s">
        <v>65</v>
      </c>
      <c r="H30" s="2" t="s">
        <v>29</v>
      </c>
      <c r="I30" s="7">
        <v>40050518</v>
      </c>
      <c r="J30" s="3" t="s">
        <v>475</v>
      </c>
      <c r="K30" s="3"/>
      <c r="L30" s="2" t="s">
        <v>49</v>
      </c>
      <c r="M30" s="15" t="s">
        <v>74</v>
      </c>
      <c r="N30" s="10">
        <v>45366</v>
      </c>
      <c r="O30" s="10"/>
      <c r="P30" s="37" t="s">
        <v>686</v>
      </c>
      <c r="Q30" s="10">
        <v>45590</v>
      </c>
      <c r="R30" s="9">
        <v>45605</v>
      </c>
      <c r="S30" s="43">
        <v>45390</v>
      </c>
      <c r="T30" s="2">
        <v>15</v>
      </c>
      <c r="U30" s="9">
        <v>45615</v>
      </c>
      <c r="V30" s="2">
        <v>-200</v>
      </c>
      <c r="W30" s="38" t="s">
        <v>686</v>
      </c>
      <c r="X30" s="13">
        <v>-57</v>
      </c>
      <c r="Y30" s="3"/>
      <c r="Z30" s="12" t="s">
        <v>165</v>
      </c>
      <c r="AA30" s="65"/>
      <c r="AB30" s="88" t="s">
        <v>31</v>
      </c>
      <c r="AC30" s="2"/>
    </row>
    <row r="31" spans="1:29" ht="28.5" hidden="1" x14ac:dyDescent="0.2">
      <c r="A31" s="2">
        <v>30</v>
      </c>
      <c r="B31" s="2">
        <v>29</v>
      </c>
      <c r="C31" s="36" t="s">
        <v>31</v>
      </c>
      <c r="D31" s="2" t="s">
        <v>32</v>
      </c>
      <c r="E31" s="2" t="s">
        <v>31</v>
      </c>
      <c r="F31" s="2" t="s">
        <v>45</v>
      </c>
      <c r="G31" s="2" t="s">
        <v>566</v>
      </c>
      <c r="H31" s="2" t="s">
        <v>91</v>
      </c>
      <c r="I31" s="7">
        <v>40008014</v>
      </c>
      <c r="J31" s="3" t="s">
        <v>617</v>
      </c>
      <c r="K31" s="3">
        <v>210630000</v>
      </c>
      <c r="L31" s="2" t="s">
        <v>49</v>
      </c>
      <c r="M31" s="17" t="s">
        <v>62</v>
      </c>
      <c r="N31" s="10"/>
      <c r="O31" s="10"/>
      <c r="P31" s="37" t="s">
        <v>686</v>
      </c>
      <c r="Q31" s="10">
        <v>45498</v>
      </c>
      <c r="R31" s="9">
        <v>45508</v>
      </c>
      <c r="S31" s="43">
        <v>45503</v>
      </c>
      <c r="T31" s="2">
        <v>10</v>
      </c>
      <c r="U31" s="9">
        <v>45512</v>
      </c>
      <c r="V31" s="2">
        <v>5</v>
      </c>
      <c r="W31" s="38">
        <v>3</v>
      </c>
      <c r="X31" s="13">
        <v>-160</v>
      </c>
      <c r="Y31" s="2" t="s">
        <v>296</v>
      </c>
      <c r="Z31" s="2" t="s">
        <v>166</v>
      </c>
      <c r="AA31" s="65">
        <v>124142</v>
      </c>
      <c r="AB31" s="88" t="s">
        <v>32</v>
      </c>
      <c r="AC31" s="2"/>
    </row>
    <row r="32" spans="1:29" ht="28.5" hidden="1" x14ac:dyDescent="0.2">
      <c r="A32" s="2">
        <v>31</v>
      </c>
      <c r="B32" s="2">
        <v>29</v>
      </c>
      <c r="C32" s="36" t="s">
        <v>32</v>
      </c>
      <c r="D32" s="2" t="s">
        <v>31</v>
      </c>
      <c r="E32" s="2" t="s">
        <v>32</v>
      </c>
      <c r="F32" s="2" t="s">
        <v>568</v>
      </c>
      <c r="G32" s="2" t="s">
        <v>52</v>
      </c>
      <c r="H32" s="2" t="s">
        <v>25</v>
      </c>
      <c r="I32" s="7">
        <v>40043234</v>
      </c>
      <c r="J32" s="3" t="s">
        <v>324</v>
      </c>
      <c r="K32" s="3"/>
      <c r="L32" s="2" t="s">
        <v>49</v>
      </c>
      <c r="M32" s="15" t="s">
        <v>74</v>
      </c>
      <c r="N32" s="10">
        <v>45377</v>
      </c>
      <c r="O32" s="10">
        <v>45398</v>
      </c>
      <c r="P32" s="37">
        <v>14</v>
      </c>
      <c r="Q32" s="10">
        <v>45531</v>
      </c>
      <c r="R32" s="9">
        <v>45546</v>
      </c>
      <c r="S32" s="43">
        <v>45502</v>
      </c>
      <c r="T32" s="2">
        <v>15</v>
      </c>
      <c r="U32" s="9">
        <v>45552</v>
      </c>
      <c r="V32" s="2">
        <v>-29</v>
      </c>
      <c r="W32" s="38" t="s">
        <v>686</v>
      </c>
      <c r="X32" s="13">
        <v>-120</v>
      </c>
      <c r="Y32" s="2"/>
      <c r="Z32" s="2" t="s">
        <v>157</v>
      </c>
      <c r="AA32" s="57"/>
      <c r="AB32" s="88" t="s">
        <v>31</v>
      </c>
      <c r="AC32" s="2"/>
    </row>
    <row r="33" spans="1:29" ht="28.5" hidden="1" x14ac:dyDescent="0.2">
      <c r="A33" s="2">
        <v>32</v>
      </c>
      <c r="B33" s="2">
        <v>29</v>
      </c>
      <c r="C33" s="36" t="s">
        <v>31</v>
      </c>
      <c r="D33" s="2" t="s">
        <v>31</v>
      </c>
      <c r="E33" s="2" t="s">
        <v>32</v>
      </c>
      <c r="F33" s="2" t="s">
        <v>48</v>
      </c>
      <c r="G33" s="2" t="s">
        <v>72</v>
      </c>
      <c r="H33" s="2" t="s">
        <v>10</v>
      </c>
      <c r="I33" s="7">
        <v>40058788</v>
      </c>
      <c r="J33" s="3" t="s">
        <v>545</v>
      </c>
      <c r="K33" s="3">
        <v>172000000</v>
      </c>
      <c r="L33" s="2" t="s">
        <v>49</v>
      </c>
      <c r="M33" s="15" t="s">
        <v>62</v>
      </c>
      <c r="N33" s="10">
        <v>45391</v>
      </c>
      <c r="O33" s="10">
        <v>45408</v>
      </c>
      <c r="P33" s="37">
        <v>13</v>
      </c>
      <c r="Q33" s="10">
        <v>45576</v>
      </c>
      <c r="R33" s="9">
        <v>45591</v>
      </c>
      <c r="S33" s="43">
        <v>45582</v>
      </c>
      <c r="T33" s="2">
        <v>15</v>
      </c>
      <c r="U33" s="9">
        <v>45601</v>
      </c>
      <c r="V33" s="2">
        <v>6</v>
      </c>
      <c r="W33" s="38">
        <v>4</v>
      </c>
      <c r="X33" s="13">
        <v>-71</v>
      </c>
      <c r="Y33" s="2" t="s">
        <v>655</v>
      </c>
      <c r="Z33" s="2" t="s">
        <v>164</v>
      </c>
      <c r="AA33" s="57"/>
      <c r="AB33" s="88" t="s">
        <v>31</v>
      </c>
      <c r="AC33" s="2"/>
    </row>
    <row r="34" spans="1:29" ht="28.5" hidden="1" x14ac:dyDescent="0.2">
      <c r="A34" s="2">
        <v>33</v>
      </c>
      <c r="B34" s="2">
        <v>29</v>
      </c>
      <c r="C34" s="36" t="s">
        <v>31</v>
      </c>
      <c r="D34" s="2" t="s">
        <v>32</v>
      </c>
      <c r="E34" s="2" t="s">
        <v>31</v>
      </c>
      <c r="F34" s="2" t="s">
        <v>179</v>
      </c>
      <c r="G34" s="2" t="s">
        <v>179</v>
      </c>
      <c r="H34" s="2" t="s">
        <v>78</v>
      </c>
      <c r="I34" s="7">
        <v>40054760</v>
      </c>
      <c r="J34" s="3" t="s">
        <v>426</v>
      </c>
      <c r="K34" s="3">
        <v>627784000</v>
      </c>
      <c r="L34" s="2" t="s">
        <v>49</v>
      </c>
      <c r="M34" s="17" t="s">
        <v>62</v>
      </c>
      <c r="N34" s="10"/>
      <c r="O34" s="10"/>
      <c r="P34" s="37" t="s">
        <v>686</v>
      </c>
      <c r="Q34" s="10">
        <v>45392</v>
      </c>
      <c r="R34" s="9">
        <v>45402</v>
      </c>
      <c r="S34" s="43">
        <v>45401</v>
      </c>
      <c r="T34" s="2">
        <v>10</v>
      </c>
      <c r="U34" s="9">
        <v>45406</v>
      </c>
      <c r="V34" s="2">
        <v>9</v>
      </c>
      <c r="W34" s="38">
        <v>7</v>
      </c>
      <c r="X34" s="13">
        <v>-266</v>
      </c>
      <c r="Y34" s="2" t="s">
        <v>460</v>
      </c>
      <c r="Z34" s="12" t="s">
        <v>172</v>
      </c>
      <c r="AA34" s="3">
        <v>35915</v>
      </c>
      <c r="AB34" s="88" t="s">
        <v>32</v>
      </c>
      <c r="AC34" s="2"/>
    </row>
    <row r="35" spans="1:29" ht="28.5" hidden="1" x14ac:dyDescent="0.2">
      <c r="A35" s="2">
        <v>34</v>
      </c>
      <c r="B35" s="2">
        <v>29</v>
      </c>
      <c r="C35" s="36" t="s">
        <v>31</v>
      </c>
      <c r="D35" s="2" t="s">
        <v>32</v>
      </c>
      <c r="E35" s="2" t="s">
        <v>31</v>
      </c>
      <c r="F35" s="2" t="s">
        <v>48</v>
      </c>
      <c r="G35" s="2" t="s">
        <v>591</v>
      </c>
      <c r="H35" s="2" t="s">
        <v>78</v>
      </c>
      <c r="I35" s="7">
        <v>40055959</v>
      </c>
      <c r="J35" s="3" t="s">
        <v>441</v>
      </c>
      <c r="K35" s="3">
        <v>448939000</v>
      </c>
      <c r="L35" s="2" t="s">
        <v>49</v>
      </c>
      <c r="M35" s="17" t="s">
        <v>62</v>
      </c>
      <c r="N35" s="10"/>
      <c r="O35" s="10"/>
      <c r="P35" s="37" t="s">
        <v>686</v>
      </c>
      <c r="Q35" s="10">
        <v>45392</v>
      </c>
      <c r="R35" s="9">
        <v>45402</v>
      </c>
      <c r="S35" s="43">
        <v>45401</v>
      </c>
      <c r="T35" s="2">
        <v>10</v>
      </c>
      <c r="U35" s="9">
        <v>45406</v>
      </c>
      <c r="V35" s="2">
        <v>9</v>
      </c>
      <c r="W35" s="38">
        <v>7</v>
      </c>
      <c r="X35" s="13">
        <v>-266</v>
      </c>
      <c r="Y35" s="2" t="s">
        <v>472</v>
      </c>
      <c r="Z35" s="12" t="s">
        <v>172</v>
      </c>
      <c r="AA35" s="3"/>
      <c r="AB35" s="88" t="s">
        <v>32</v>
      </c>
      <c r="AC35" s="2"/>
    </row>
    <row r="36" spans="1:29" ht="28.5" hidden="1" x14ac:dyDescent="0.2">
      <c r="A36" s="2">
        <v>35</v>
      </c>
      <c r="B36" s="2">
        <v>29</v>
      </c>
      <c r="C36" s="36" t="s">
        <v>31</v>
      </c>
      <c r="D36" s="2" t="s">
        <v>31</v>
      </c>
      <c r="E36" s="2" t="s">
        <v>31</v>
      </c>
      <c r="F36" s="2" t="s">
        <v>568</v>
      </c>
      <c r="G36" s="2" t="s">
        <v>52</v>
      </c>
      <c r="H36" s="2" t="s">
        <v>482</v>
      </c>
      <c r="I36" s="7">
        <v>40058035</v>
      </c>
      <c r="J36" s="3" t="s">
        <v>481</v>
      </c>
      <c r="K36" s="3">
        <v>136416000</v>
      </c>
      <c r="L36" s="2" t="s">
        <v>49</v>
      </c>
      <c r="M36" s="15" t="s">
        <v>62</v>
      </c>
      <c r="N36" s="10">
        <v>45392</v>
      </c>
      <c r="O36" s="10">
        <v>45412</v>
      </c>
      <c r="P36" s="37">
        <v>14</v>
      </c>
      <c r="Q36" s="10">
        <v>45427</v>
      </c>
      <c r="R36" s="9">
        <v>45442</v>
      </c>
      <c r="S36" s="43">
        <v>45442</v>
      </c>
      <c r="T36" s="2">
        <v>15</v>
      </c>
      <c r="U36" s="9">
        <v>45449</v>
      </c>
      <c r="V36" s="2">
        <v>15</v>
      </c>
      <c r="W36" s="38">
        <v>10</v>
      </c>
      <c r="X36" s="13">
        <v>-223</v>
      </c>
      <c r="Y36" s="3" t="s">
        <v>594</v>
      </c>
      <c r="Z36" s="48" t="s">
        <v>172</v>
      </c>
      <c r="AA36" s="65"/>
      <c r="AB36" s="88" t="s">
        <v>31</v>
      </c>
      <c r="AC36" s="2" t="s">
        <v>457</v>
      </c>
    </row>
    <row r="37" spans="1:29" ht="28.5" hidden="1" x14ac:dyDescent="0.2">
      <c r="A37" s="2">
        <v>36</v>
      </c>
      <c r="B37" s="2">
        <v>29</v>
      </c>
      <c r="C37" s="36" t="s">
        <v>31</v>
      </c>
      <c r="D37" s="2" t="s">
        <v>31</v>
      </c>
      <c r="E37" s="2" t="s">
        <v>31</v>
      </c>
      <c r="F37" s="2" t="s">
        <v>568</v>
      </c>
      <c r="G37" s="2" t="s">
        <v>52</v>
      </c>
      <c r="H37" s="2" t="s">
        <v>482</v>
      </c>
      <c r="I37" s="7">
        <v>40058065</v>
      </c>
      <c r="J37" s="3" t="s">
        <v>483</v>
      </c>
      <c r="K37" s="3">
        <v>729785000</v>
      </c>
      <c r="L37" s="2" t="s">
        <v>49</v>
      </c>
      <c r="M37" s="15" t="s">
        <v>62</v>
      </c>
      <c r="N37" s="10">
        <v>45392</v>
      </c>
      <c r="O37" s="10">
        <v>45412</v>
      </c>
      <c r="P37" s="37">
        <v>14</v>
      </c>
      <c r="Q37" s="10">
        <v>45427</v>
      </c>
      <c r="R37" s="9">
        <v>45442</v>
      </c>
      <c r="S37" s="43">
        <v>45442</v>
      </c>
      <c r="T37" s="2">
        <v>15</v>
      </c>
      <c r="U37" s="9">
        <v>45449</v>
      </c>
      <c r="V37" s="2">
        <v>15</v>
      </c>
      <c r="W37" s="38">
        <v>10</v>
      </c>
      <c r="X37" s="13">
        <v>-223</v>
      </c>
      <c r="Y37" s="3" t="s">
        <v>595</v>
      </c>
      <c r="Z37" s="48" t="s">
        <v>172</v>
      </c>
      <c r="AA37" s="65"/>
      <c r="AB37" s="88" t="s">
        <v>31</v>
      </c>
      <c r="AC37" s="2" t="s">
        <v>457</v>
      </c>
    </row>
    <row r="38" spans="1:29" ht="28.5" hidden="1" x14ac:dyDescent="0.2">
      <c r="A38" s="2">
        <v>37</v>
      </c>
      <c r="B38" s="2">
        <v>31</v>
      </c>
      <c r="C38" s="36" t="s">
        <v>31</v>
      </c>
      <c r="D38" s="2" t="s">
        <v>31</v>
      </c>
      <c r="E38" s="2" t="s">
        <v>32</v>
      </c>
      <c r="F38" s="2" t="s">
        <v>45</v>
      </c>
      <c r="G38" s="2" t="s">
        <v>51</v>
      </c>
      <c r="H38" s="2" t="s">
        <v>11</v>
      </c>
      <c r="I38" s="7">
        <v>40055170</v>
      </c>
      <c r="J38" s="3" t="s">
        <v>421</v>
      </c>
      <c r="K38" s="3"/>
      <c r="L38" s="2" t="s">
        <v>49</v>
      </c>
      <c r="M38" s="15" t="s">
        <v>74</v>
      </c>
      <c r="N38" s="10">
        <v>45399</v>
      </c>
      <c r="O38" s="10">
        <v>45421</v>
      </c>
      <c r="P38" s="37">
        <v>15</v>
      </c>
      <c r="Q38" s="10">
        <v>45399</v>
      </c>
      <c r="R38" s="9">
        <v>45414</v>
      </c>
      <c r="S38" s="43">
        <v>45421</v>
      </c>
      <c r="T38" s="2">
        <v>15</v>
      </c>
      <c r="U38" s="9">
        <v>45421</v>
      </c>
      <c r="V38" s="2">
        <v>22</v>
      </c>
      <c r="W38" s="38">
        <v>15</v>
      </c>
      <c r="X38" s="13">
        <v>-251</v>
      </c>
      <c r="Y38" s="2"/>
      <c r="Z38" s="12" t="s">
        <v>431</v>
      </c>
      <c r="AA38" s="3"/>
      <c r="AB38" s="88" t="s">
        <v>31</v>
      </c>
      <c r="AC38" s="2"/>
    </row>
    <row r="39" spans="1:29" ht="76.5" hidden="1" x14ac:dyDescent="0.2">
      <c r="A39" s="2">
        <v>38</v>
      </c>
      <c r="B39" s="2">
        <v>29</v>
      </c>
      <c r="C39" s="36" t="s">
        <v>31</v>
      </c>
      <c r="D39" s="2" t="s">
        <v>31</v>
      </c>
      <c r="E39" s="2" t="s">
        <v>32</v>
      </c>
      <c r="F39" s="2" t="s">
        <v>42</v>
      </c>
      <c r="G39" s="2" t="s">
        <v>68</v>
      </c>
      <c r="H39" s="2" t="s">
        <v>21</v>
      </c>
      <c r="I39" s="44">
        <v>40057739</v>
      </c>
      <c r="J39" s="49" t="s">
        <v>514</v>
      </c>
      <c r="K39" s="3">
        <v>481273000</v>
      </c>
      <c r="L39" s="2" t="s">
        <v>49</v>
      </c>
      <c r="M39" s="15" t="s">
        <v>62</v>
      </c>
      <c r="N39" s="10">
        <v>45400</v>
      </c>
      <c r="O39" s="10">
        <v>45422</v>
      </c>
      <c r="P39" s="37">
        <v>15</v>
      </c>
      <c r="Q39" s="10">
        <v>45471</v>
      </c>
      <c r="R39" s="9">
        <v>45486</v>
      </c>
      <c r="S39" s="43">
        <v>45422</v>
      </c>
      <c r="T39" s="2">
        <v>15</v>
      </c>
      <c r="U39" s="9">
        <v>45495</v>
      </c>
      <c r="V39" s="2">
        <v>-49</v>
      </c>
      <c r="W39" s="38" t="s">
        <v>686</v>
      </c>
      <c r="X39" s="13">
        <v>-177</v>
      </c>
      <c r="Y39" s="2" t="s">
        <v>612</v>
      </c>
      <c r="Z39" s="48" t="s">
        <v>551</v>
      </c>
      <c r="AA39" s="65">
        <v>5368</v>
      </c>
      <c r="AB39" s="88" t="s">
        <v>31</v>
      </c>
      <c r="AC39" s="57" t="s">
        <v>613</v>
      </c>
    </row>
    <row r="40" spans="1:29" ht="28.5" hidden="1" x14ac:dyDescent="0.2">
      <c r="A40" s="2">
        <v>39</v>
      </c>
      <c r="B40" s="2">
        <v>29</v>
      </c>
      <c r="C40" s="36" t="s">
        <v>31</v>
      </c>
      <c r="D40" s="2" t="s">
        <v>31</v>
      </c>
      <c r="E40" s="2" t="s">
        <v>32</v>
      </c>
      <c r="F40" s="2" t="s">
        <v>568</v>
      </c>
      <c r="G40" s="2" t="s">
        <v>50</v>
      </c>
      <c r="H40" s="2" t="s">
        <v>9</v>
      </c>
      <c r="I40" s="7">
        <v>40061816</v>
      </c>
      <c r="J40" s="3" t="s">
        <v>548</v>
      </c>
      <c r="K40" s="3"/>
      <c r="L40" s="2" t="s">
        <v>49</v>
      </c>
      <c r="M40" s="15" t="s">
        <v>74</v>
      </c>
      <c r="N40" s="10">
        <v>45399</v>
      </c>
      <c r="O40" s="10">
        <v>45421</v>
      </c>
      <c r="P40" s="37">
        <v>15</v>
      </c>
      <c r="Q40" s="10">
        <v>45399</v>
      </c>
      <c r="R40" s="9">
        <v>45414</v>
      </c>
      <c r="S40" s="43">
        <v>45421</v>
      </c>
      <c r="T40" s="2">
        <v>15</v>
      </c>
      <c r="U40" s="9">
        <v>45421</v>
      </c>
      <c r="V40" s="2">
        <v>22</v>
      </c>
      <c r="W40" s="38">
        <v>15</v>
      </c>
      <c r="X40" s="13">
        <v>-251</v>
      </c>
      <c r="Y40" s="3"/>
      <c r="Z40" s="48" t="s">
        <v>157</v>
      </c>
      <c r="AA40" s="65"/>
      <c r="AB40" s="88" t="s">
        <v>31</v>
      </c>
      <c r="AC40" s="2"/>
    </row>
    <row r="41" spans="1:29" ht="28.5" hidden="1" x14ac:dyDescent="0.2">
      <c r="A41" s="2">
        <v>40</v>
      </c>
      <c r="B41" s="2">
        <v>29</v>
      </c>
      <c r="C41" s="36" t="s">
        <v>31</v>
      </c>
      <c r="D41" s="2" t="s">
        <v>31</v>
      </c>
      <c r="E41" s="2" t="s">
        <v>31</v>
      </c>
      <c r="F41" s="2" t="s">
        <v>179</v>
      </c>
      <c r="G41" s="2" t="s">
        <v>179</v>
      </c>
      <c r="H41" s="2" t="s">
        <v>509</v>
      </c>
      <c r="I41" s="7">
        <v>40062762</v>
      </c>
      <c r="J41" s="3" t="s">
        <v>555</v>
      </c>
      <c r="K41" s="3"/>
      <c r="L41" s="2" t="s">
        <v>49</v>
      </c>
      <c r="M41" s="15" t="s">
        <v>74</v>
      </c>
      <c r="N41" s="10">
        <v>45401</v>
      </c>
      <c r="O41" s="10">
        <v>45429</v>
      </c>
      <c r="P41" s="37">
        <v>19</v>
      </c>
      <c r="Q41" s="10">
        <v>45401</v>
      </c>
      <c r="R41" s="9">
        <v>45416</v>
      </c>
      <c r="S41" s="43">
        <v>45429</v>
      </c>
      <c r="T41" s="2">
        <v>15</v>
      </c>
      <c r="U41" s="9">
        <v>45425</v>
      </c>
      <c r="V41" s="2">
        <v>28</v>
      </c>
      <c r="W41" s="38">
        <v>19</v>
      </c>
      <c r="X41" s="13">
        <v>-247</v>
      </c>
      <c r="Y41" s="3"/>
      <c r="Z41" s="48" t="s">
        <v>476</v>
      </c>
      <c r="AA41" s="65"/>
      <c r="AB41" s="88" t="s">
        <v>31</v>
      </c>
      <c r="AC41" s="2"/>
    </row>
    <row r="42" spans="1:29" ht="28.5" hidden="1" x14ac:dyDescent="0.2">
      <c r="A42" s="2">
        <v>41</v>
      </c>
      <c r="B42" s="2">
        <v>31</v>
      </c>
      <c r="C42" s="36" t="s">
        <v>31</v>
      </c>
      <c r="D42" s="2" t="s">
        <v>32</v>
      </c>
      <c r="E42" s="2" t="s">
        <v>31</v>
      </c>
      <c r="F42" s="2" t="s">
        <v>42</v>
      </c>
      <c r="G42" s="2" t="s">
        <v>43</v>
      </c>
      <c r="H42" s="2" t="s">
        <v>26</v>
      </c>
      <c r="I42" s="7">
        <v>40039687</v>
      </c>
      <c r="J42" s="3" t="s">
        <v>549</v>
      </c>
      <c r="K42" s="3"/>
      <c r="L42" s="2" t="s">
        <v>49</v>
      </c>
      <c r="M42" s="17" t="s">
        <v>62</v>
      </c>
      <c r="N42" s="10"/>
      <c r="O42" s="10"/>
      <c r="P42" s="37" t="s">
        <v>686</v>
      </c>
      <c r="Q42" s="10">
        <v>45576</v>
      </c>
      <c r="R42" s="9">
        <v>45586</v>
      </c>
      <c r="S42" s="43">
        <v>45580</v>
      </c>
      <c r="T42" s="2">
        <v>10</v>
      </c>
      <c r="U42" s="9">
        <v>45590</v>
      </c>
      <c r="V42" s="2">
        <v>4</v>
      </c>
      <c r="W42" s="38">
        <v>2</v>
      </c>
      <c r="X42" s="13">
        <v>-82</v>
      </c>
      <c r="Y42" s="3"/>
      <c r="Z42" s="48" t="s">
        <v>161</v>
      </c>
      <c r="AA42" s="65"/>
      <c r="AB42" s="88" t="s">
        <v>32</v>
      </c>
      <c r="AC42" s="2"/>
    </row>
    <row r="43" spans="1:29" ht="42.75" hidden="1" x14ac:dyDescent="0.2">
      <c r="A43" s="2">
        <v>42</v>
      </c>
      <c r="B43" s="2">
        <v>29</v>
      </c>
      <c r="C43" s="36" t="s">
        <v>31</v>
      </c>
      <c r="D43" s="2" t="s">
        <v>31</v>
      </c>
      <c r="E43" s="2" t="s">
        <v>32</v>
      </c>
      <c r="F43" s="2" t="s">
        <v>568</v>
      </c>
      <c r="G43" s="2" t="s">
        <v>395</v>
      </c>
      <c r="H43" s="2" t="s">
        <v>406</v>
      </c>
      <c r="I43" s="7">
        <v>40060989</v>
      </c>
      <c r="J43" s="3" t="s">
        <v>626</v>
      </c>
      <c r="K43" s="3">
        <v>439086000</v>
      </c>
      <c r="L43" s="2" t="s">
        <v>49</v>
      </c>
      <c r="M43" s="15" t="s">
        <v>62</v>
      </c>
      <c r="N43" s="10">
        <v>45425</v>
      </c>
      <c r="O43" s="10">
        <v>45448</v>
      </c>
      <c r="P43" s="37">
        <v>16</v>
      </c>
      <c r="Q43" s="10">
        <v>45583</v>
      </c>
      <c r="R43" s="9">
        <v>45598</v>
      </c>
      <c r="S43" s="43">
        <v>45595</v>
      </c>
      <c r="T43" s="2">
        <v>15</v>
      </c>
      <c r="U43" s="9">
        <v>45608</v>
      </c>
      <c r="V43" s="2">
        <v>12</v>
      </c>
      <c r="W43" s="38">
        <v>8</v>
      </c>
      <c r="X43" s="13">
        <v>-64</v>
      </c>
      <c r="Y43" s="2" t="s">
        <v>666</v>
      </c>
      <c r="Z43" s="48" t="s">
        <v>157</v>
      </c>
      <c r="AA43" s="65">
        <v>588</v>
      </c>
      <c r="AB43" s="88" t="s">
        <v>31</v>
      </c>
      <c r="AC43" s="2" t="s">
        <v>667</v>
      </c>
    </row>
    <row r="44" spans="1:29" ht="28.5" hidden="1" x14ac:dyDescent="0.2">
      <c r="A44" s="2">
        <v>43</v>
      </c>
      <c r="B44" s="2">
        <v>31</v>
      </c>
      <c r="C44" s="36" t="s">
        <v>31</v>
      </c>
      <c r="D44" s="2" t="s">
        <v>31</v>
      </c>
      <c r="E44" s="2" t="s">
        <v>32</v>
      </c>
      <c r="F44" s="2" t="s">
        <v>45</v>
      </c>
      <c r="G44" s="2" t="s">
        <v>46</v>
      </c>
      <c r="H44" s="2" t="s">
        <v>23</v>
      </c>
      <c r="I44" s="7">
        <v>40048017</v>
      </c>
      <c r="J44" s="3" t="s">
        <v>550</v>
      </c>
      <c r="K44" s="3"/>
      <c r="L44" s="2" t="s">
        <v>49</v>
      </c>
      <c r="M44" s="15" t="s">
        <v>74</v>
      </c>
      <c r="N44" s="10">
        <v>45422</v>
      </c>
      <c r="O44" s="10">
        <v>45446</v>
      </c>
      <c r="P44" s="37">
        <v>15</v>
      </c>
      <c r="Q44" s="10">
        <v>45422</v>
      </c>
      <c r="R44" s="9">
        <v>45437</v>
      </c>
      <c r="S44" s="43">
        <v>45446</v>
      </c>
      <c r="T44" s="2">
        <v>15</v>
      </c>
      <c r="U44" s="9">
        <v>45446</v>
      </c>
      <c r="V44" s="2">
        <v>24</v>
      </c>
      <c r="W44" s="38">
        <v>15</v>
      </c>
      <c r="X44" s="13">
        <v>-226</v>
      </c>
      <c r="Y44" s="3"/>
      <c r="Z44" s="48" t="s">
        <v>314</v>
      </c>
      <c r="AA44" s="65"/>
      <c r="AB44" s="88" t="s">
        <v>31</v>
      </c>
      <c r="AC44" s="2"/>
    </row>
    <row r="45" spans="1:29" ht="28.5" hidden="1" x14ac:dyDescent="0.2">
      <c r="A45" s="2">
        <v>44</v>
      </c>
      <c r="B45" s="2">
        <v>29</v>
      </c>
      <c r="C45" s="36" t="s">
        <v>31</v>
      </c>
      <c r="D45" s="2" t="s">
        <v>31</v>
      </c>
      <c r="E45" s="2" t="s">
        <v>31</v>
      </c>
      <c r="F45" s="2" t="s">
        <v>568</v>
      </c>
      <c r="G45" s="2" t="s">
        <v>50</v>
      </c>
      <c r="H45" s="2" t="s">
        <v>9</v>
      </c>
      <c r="I45" s="7">
        <v>40062882</v>
      </c>
      <c r="J45" s="3" t="s">
        <v>552</v>
      </c>
      <c r="K45" s="3"/>
      <c r="L45" s="2" t="s">
        <v>49</v>
      </c>
      <c r="M45" s="15" t="s">
        <v>74</v>
      </c>
      <c r="N45" s="10">
        <v>45426</v>
      </c>
      <c r="O45" s="10">
        <v>45448</v>
      </c>
      <c r="P45" s="37">
        <v>15</v>
      </c>
      <c r="Q45" s="10">
        <v>45426</v>
      </c>
      <c r="R45" s="9">
        <v>45441</v>
      </c>
      <c r="S45" s="43">
        <v>45448</v>
      </c>
      <c r="T45" s="2">
        <v>15</v>
      </c>
      <c r="U45" s="9">
        <v>45448</v>
      </c>
      <c r="V45" s="2">
        <v>22</v>
      </c>
      <c r="W45" s="38">
        <v>15</v>
      </c>
      <c r="X45" s="13">
        <v>-224</v>
      </c>
      <c r="Y45" s="3"/>
      <c r="Z45" s="48" t="s">
        <v>157</v>
      </c>
      <c r="AA45" s="65"/>
      <c r="AB45" s="88" t="s">
        <v>31</v>
      </c>
      <c r="AC45" s="2"/>
    </row>
    <row r="46" spans="1:29" ht="28.5" hidden="1" x14ac:dyDescent="0.2">
      <c r="A46" s="2">
        <v>45</v>
      </c>
      <c r="B46" s="2">
        <v>29</v>
      </c>
      <c r="C46" s="36" t="s">
        <v>31</v>
      </c>
      <c r="D46" s="2" t="s">
        <v>31</v>
      </c>
      <c r="E46" s="2" t="s">
        <v>31</v>
      </c>
      <c r="F46" s="2" t="s">
        <v>179</v>
      </c>
      <c r="G46" s="2" t="s">
        <v>179</v>
      </c>
      <c r="H46" s="2" t="s">
        <v>185</v>
      </c>
      <c r="I46" s="7">
        <v>40062961</v>
      </c>
      <c r="J46" s="3" t="s">
        <v>553</v>
      </c>
      <c r="K46" s="3"/>
      <c r="L46" s="2" t="s">
        <v>49</v>
      </c>
      <c r="M46" s="15" t="s">
        <v>74</v>
      </c>
      <c r="N46" s="10">
        <v>45412</v>
      </c>
      <c r="O46" s="10">
        <v>45434</v>
      </c>
      <c r="P46" s="37">
        <v>14</v>
      </c>
      <c r="Q46" s="10">
        <v>45412</v>
      </c>
      <c r="R46" s="9">
        <v>45427</v>
      </c>
      <c r="S46" s="43">
        <v>45434</v>
      </c>
      <c r="T46" s="2">
        <v>15</v>
      </c>
      <c r="U46" s="9">
        <v>45435</v>
      </c>
      <c r="V46" s="2">
        <v>22</v>
      </c>
      <c r="W46" s="38">
        <v>14</v>
      </c>
      <c r="X46" s="13">
        <v>-237</v>
      </c>
      <c r="Y46" s="3"/>
      <c r="Z46" s="48" t="s">
        <v>413</v>
      </c>
      <c r="AA46" s="65"/>
      <c r="AB46" s="88" t="s">
        <v>31</v>
      </c>
      <c r="AC46" s="2"/>
    </row>
    <row r="47" spans="1:29" ht="28.5" hidden="1" x14ac:dyDescent="0.2">
      <c r="A47" s="2">
        <v>46</v>
      </c>
      <c r="B47" s="2">
        <v>29</v>
      </c>
      <c r="C47" s="36" t="s">
        <v>31</v>
      </c>
      <c r="D47" s="2" t="s">
        <v>32</v>
      </c>
      <c r="E47" s="2" t="s">
        <v>32</v>
      </c>
      <c r="F47" s="2" t="s">
        <v>179</v>
      </c>
      <c r="G47" s="2" t="s">
        <v>179</v>
      </c>
      <c r="H47" s="2" t="s">
        <v>91</v>
      </c>
      <c r="I47" s="7">
        <v>40058220</v>
      </c>
      <c r="J47" s="91" t="s">
        <v>484</v>
      </c>
      <c r="K47" s="3">
        <v>244867000</v>
      </c>
      <c r="L47" s="2" t="s">
        <v>49</v>
      </c>
      <c r="M47" s="15" t="s">
        <v>62</v>
      </c>
      <c r="N47" s="10">
        <v>45429</v>
      </c>
      <c r="O47" s="10"/>
      <c r="P47" s="37" t="s">
        <v>686</v>
      </c>
      <c r="Q47" s="10">
        <v>45533</v>
      </c>
      <c r="R47" s="9">
        <v>45548</v>
      </c>
      <c r="S47" s="43">
        <v>45581</v>
      </c>
      <c r="T47" s="2">
        <v>15</v>
      </c>
      <c r="U47" s="9">
        <v>45559</v>
      </c>
      <c r="V47" s="2">
        <v>48</v>
      </c>
      <c r="W47" s="38">
        <v>31</v>
      </c>
      <c r="X47" s="13">
        <v>-113</v>
      </c>
      <c r="Y47" s="3" t="s">
        <v>654</v>
      </c>
      <c r="Z47" s="48" t="s">
        <v>413</v>
      </c>
      <c r="AA47" s="65"/>
      <c r="AB47" s="88" t="s">
        <v>31</v>
      </c>
      <c r="AC47" s="2"/>
    </row>
    <row r="48" spans="1:29" ht="28.5" hidden="1" x14ac:dyDescent="0.2">
      <c r="A48" s="2">
        <v>47</v>
      </c>
      <c r="B48" s="2">
        <v>31</v>
      </c>
      <c r="C48" s="36" t="s">
        <v>31</v>
      </c>
      <c r="D48" s="2" t="s">
        <v>31</v>
      </c>
      <c r="E48" s="2" t="s">
        <v>32</v>
      </c>
      <c r="F48" s="93" t="s">
        <v>568</v>
      </c>
      <c r="G48" s="93" t="s">
        <v>0</v>
      </c>
      <c r="H48" s="2" t="s">
        <v>18</v>
      </c>
      <c r="I48" s="7">
        <v>40010316</v>
      </c>
      <c r="J48" s="3" t="s">
        <v>554</v>
      </c>
      <c r="K48" s="3"/>
      <c r="L48" s="2" t="s">
        <v>49</v>
      </c>
      <c r="M48" s="15" t="s">
        <v>62</v>
      </c>
      <c r="N48" s="10">
        <v>45434</v>
      </c>
      <c r="O48" s="10">
        <v>45464</v>
      </c>
      <c r="P48" s="37">
        <v>21</v>
      </c>
      <c r="Q48" s="10">
        <v>45637</v>
      </c>
      <c r="R48" s="9">
        <v>45652</v>
      </c>
      <c r="S48" s="43">
        <v>45595</v>
      </c>
      <c r="T48" s="2">
        <v>15</v>
      </c>
      <c r="U48" s="9">
        <v>45659</v>
      </c>
      <c r="V48" s="2">
        <v>-42</v>
      </c>
      <c r="W48" s="38" t="s">
        <v>686</v>
      </c>
      <c r="X48" s="13">
        <v>-13</v>
      </c>
      <c r="Y48" s="3"/>
      <c r="Z48" s="48" t="s">
        <v>314</v>
      </c>
      <c r="AA48" s="65"/>
      <c r="AB48" s="88" t="s">
        <v>31</v>
      </c>
      <c r="AC48" s="2"/>
    </row>
    <row r="49" spans="1:29" ht="28.5" hidden="1" x14ac:dyDescent="0.2">
      <c r="A49" s="2">
        <v>48</v>
      </c>
      <c r="B49" s="2">
        <v>29</v>
      </c>
      <c r="C49" s="36" t="s">
        <v>31</v>
      </c>
      <c r="D49" s="2" t="s">
        <v>32</v>
      </c>
      <c r="E49" s="2" t="s">
        <v>31</v>
      </c>
      <c r="F49" s="2" t="s">
        <v>42</v>
      </c>
      <c r="G49" s="2" t="s">
        <v>65</v>
      </c>
      <c r="H49" s="2" t="s">
        <v>29</v>
      </c>
      <c r="I49" s="7">
        <v>40048022</v>
      </c>
      <c r="J49" s="3" t="s">
        <v>593</v>
      </c>
      <c r="K49" s="3">
        <v>286080000</v>
      </c>
      <c r="L49" s="2" t="s">
        <v>49</v>
      </c>
      <c r="M49" s="17" t="s">
        <v>62</v>
      </c>
      <c r="N49" s="10"/>
      <c r="O49" s="10"/>
      <c r="P49" s="37" t="s">
        <v>686</v>
      </c>
      <c r="Q49" s="10">
        <v>45455</v>
      </c>
      <c r="R49" s="9">
        <v>45465</v>
      </c>
      <c r="S49" s="43">
        <v>45457</v>
      </c>
      <c r="T49" s="2">
        <v>10</v>
      </c>
      <c r="U49" s="9">
        <v>45470</v>
      </c>
      <c r="V49" s="2">
        <v>2</v>
      </c>
      <c r="W49" s="38">
        <v>2</v>
      </c>
      <c r="X49" s="13">
        <v>-202</v>
      </c>
      <c r="Y49" s="2" t="s">
        <v>390</v>
      </c>
      <c r="Z49" s="2" t="s">
        <v>162</v>
      </c>
      <c r="AA49" s="3">
        <v>1932</v>
      </c>
      <c r="AB49" s="87" t="s">
        <v>32</v>
      </c>
      <c r="AC49" s="3" t="s">
        <v>366</v>
      </c>
    </row>
    <row r="50" spans="1:29" ht="28.5" hidden="1" x14ac:dyDescent="0.2">
      <c r="A50" s="2">
        <v>49</v>
      </c>
      <c r="B50" s="2">
        <v>29</v>
      </c>
      <c r="C50" s="36" t="s">
        <v>31</v>
      </c>
      <c r="D50" s="2" t="s">
        <v>31</v>
      </c>
      <c r="E50" s="2" t="s">
        <v>31</v>
      </c>
      <c r="F50" s="2" t="s">
        <v>42</v>
      </c>
      <c r="G50" s="2" t="s">
        <v>44</v>
      </c>
      <c r="H50" s="2" t="s">
        <v>509</v>
      </c>
      <c r="I50" s="7">
        <v>40063961</v>
      </c>
      <c r="J50" s="3" t="s">
        <v>596</v>
      </c>
      <c r="K50" s="3"/>
      <c r="L50" s="2" t="s">
        <v>49</v>
      </c>
      <c r="M50" s="15" t="s">
        <v>74</v>
      </c>
      <c r="N50" s="10">
        <v>45446</v>
      </c>
      <c r="O50" s="10">
        <v>45464</v>
      </c>
      <c r="P50" s="37">
        <v>13</v>
      </c>
      <c r="Q50" s="10">
        <v>45446</v>
      </c>
      <c r="R50" s="9">
        <v>45461</v>
      </c>
      <c r="S50" s="43">
        <v>45464</v>
      </c>
      <c r="T50" s="2">
        <v>15</v>
      </c>
      <c r="U50" s="9">
        <v>45468</v>
      </c>
      <c r="V50" s="2">
        <v>18</v>
      </c>
      <c r="W50" s="38">
        <v>13</v>
      </c>
      <c r="X50" s="13">
        <v>-204</v>
      </c>
      <c r="Y50" s="3"/>
      <c r="Z50" s="48" t="s">
        <v>622</v>
      </c>
      <c r="AA50" s="65"/>
      <c r="AB50" s="88" t="s">
        <v>31</v>
      </c>
      <c r="AC50" s="2"/>
    </row>
    <row r="51" spans="1:29" ht="28.5" hidden="1" x14ac:dyDescent="0.2">
      <c r="A51" s="2">
        <v>50</v>
      </c>
      <c r="B51" s="2">
        <v>29</v>
      </c>
      <c r="C51" s="36" t="s">
        <v>31</v>
      </c>
      <c r="D51" s="2" t="s">
        <v>31</v>
      </c>
      <c r="E51" s="2" t="s">
        <v>31</v>
      </c>
      <c r="F51" s="2" t="s">
        <v>48</v>
      </c>
      <c r="G51" s="2" t="s">
        <v>598</v>
      </c>
      <c r="H51" s="2" t="s">
        <v>78</v>
      </c>
      <c r="I51" s="7">
        <v>40063754</v>
      </c>
      <c r="J51" s="3" t="s">
        <v>597</v>
      </c>
      <c r="K51" s="3">
        <v>646904000</v>
      </c>
      <c r="L51" s="2" t="s">
        <v>49</v>
      </c>
      <c r="M51" s="15" t="s">
        <v>62</v>
      </c>
      <c r="N51" s="10">
        <v>45450</v>
      </c>
      <c r="O51" s="10">
        <v>45474</v>
      </c>
      <c r="P51" s="37" t="s">
        <v>686</v>
      </c>
      <c r="Q51" s="10">
        <v>45510</v>
      </c>
      <c r="R51" s="9">
        <v>45525</v>
      </c>
      <c r="S51" s="43">
        <v>45551</v>
      </c>
      <c r="T51" s="2">
        <v>15</v>
      </c>
      <c r="U51" s="9">
        <v>45532</v>
      </c>
      <c r="V51" s="2">
        <v>-45510</v>
      </c>
      <c r="W51" s="38" t="s">
        <v>686</v>
      </c>
      <c r="X51" s="13">
        <v>-140</v>
      </c>
      <c r="Y51" s="3" t="s">
        <v>641</v>
      </c>
      <c r="Z51" s="48" t="s">
        <v>164</v>
      </c>
      <c r="AA51" s="65"/>
      <c r="AB51" s="88" t="s">
        <v>31</v>
      </c>
      <c r="AC51" s="2"/>
    </row>
    <row r="52" spans="1:29" ht="28.5" hidden="1" x14ac:dyDescent="0.2">
      <c r="A52" s="2">
        <v>51</v>
      </c>
      <c r="B52" s="2">
        <v>29</v>
      </c>
      <c r="C52" s="36" t="s">
        <v>32</v>
      </c>
      <c r="D52" s="2" t="s">
        <v>31</v>
      </c>
      <c r="E52" s="2" t="s">
        <v>32</v>
      </c>
      <c r="F52" s="2" t="s">
        <v>45</v>
      </c>
      <c r="G52" s="2" t="s">
        <v>60</v>
      </c>
      <c r="H52" s="2" t="s">
        <v>7</v>
      </c>
      <c r="I52" s="7">
        <v>40036932</v>
      </c>
      <c r="J52" s="3" t="s">
        <v>339</v>
      </c>
      <c r="K52" s="3">
        <v>153873000</v>
      </c>
      <c r="L52" s="2" t="s">
        <v>49</v>
      </c>
      <c r="M52" s="15" t="s">
        <v>62</v>
      </c>
      <c r="N52" s="10">
        <v>45453</v>
      </c>
      <c r="O52" s="10">
        <v>45476</v>
      </c>
      <c r="P52" s="37">
        <v>16</v>
      </c>
      <c r="Q52" s="10">
        <v>45453</v>
      </c>
      <c r="R52" s="9">
        <v>45468</v>
      </c>
      <c r="S52" s="43">
        <v>45476</v>
      </c>
      <c r="T52" s="2">
        <v>15</v>
      </c>
      <c r="U52" s="9">
        <v>45475</v>
      </c>
      <c r="V52" s="2">
        <v>23</v>
      </c>
      <c r="W52" s="38">
        <v>16</v>
      </c>
      <c r="X52" s="13">
        <v>-197</v>
      </c>
      <c r="Y52" s="2" t="s">
        <v>606</v>
      </c>
      <c r="Z52" s="2" t="s">
        <v>164</v>
      </c>
      <c r="AA52" s="57"/>
      <c r="AB52" s="87" t="s">
        <v>31</v>
      </c>
      <c r="AC52" s="3"/>
    </row>
    <row r="53" spans="1:29" ht="28.5" hidden="1" x14ac:dyDescent="0.2">
      <c r="A53" s="2">
        <v>52</v>
      </c>
      <c r="B53" s="2">
        <v>29</v>
      </c>
      <c r="C53" s="36" t="s">
        <v>31</v>
      </c>
      <c r="D53" s="2" t="s">
        <v>31</v>
      </c>
      <c r="E53" s="2" t="s">
        <v>32</v>
      </c>
      <c r="F53" s="2" t="s">
        <v>45</v>
      </c>
      <c r="G53" s="2" t="s">
        <v>66</v>
      </c>
      <c r="H53" s="2" t="s">
        <v>28</v>
      </c>
      <c r="I53" s="7">
        <v>40059805</v>
      </c>
      <c r="J53" s="3" t="s">
        <v>599</v>
      </c>
      <c r="K53" s="3"/>
      <c r="L53" s="2" t="s">
        <v>49</v>
      </c>
      <c r="M53" s="15" t="s">
        <v>74</v>
      </c>
      <c r="N53" s="10">
        <v>45453</v>
      </c>
      <c r="O53" s="10">
        <v>45481</v>
      </c>
      <c r="P53" s="37">
        <v>19</v>
      </c>
      <c r="Q53" s="10">
        <v>45574</v>
      </c>
      <c r="R53" s="9">
        <v>45589</v>
      </c>
      <c r="S53" s="43">
        <v>45583</v>
      </c>
      <c r="T53" s="2">
        <v>15</v>
      </c>
      <c r="U53" s="9">
        <v>45595</v>
      </c>
      <c r="V53" s="2">
        <v>9</v>
      </c>
      <c r="W53" s="38">
        <v>7</v>
      </c>
      <c r="X53" s="13">
        <v>-77</v>
      </c>
      <c r="Y53" s="2"/>
      <c r="Z53" s="2" t="s">
        <v>223</v>
      </c>
      <c r="AA53" s="57"/>
      <c r="AB53" s="87" t="s">
        <v>31</v>
      </c>
      <c r="AC53" s="3"/>
    </row>
    <row r="54" spans="1:29" ht="28.5" hidden="1" x14ac:dyDescent="0.2">
      <c r="A54" s="2">
        <v>53</v>
      </c>
      <c r="B54" s="2">
        <v>29</v>
      </c>
      <c r="C54" s="36" t="s">
        <v>31</v>
      </c>
      <c r="D54" s="2" t="s">
        <v>31</v>
      </c>
      <c r="E54" s="2" t="s">
        <v>32</v>
      </c>
      <c r="F54" s="2" t="s">
        <v>568</v>
      </c>
      <c r="G54" s="2" t="s">
        <v>395</v>
      </c>
      <c r="H54" s="2" t="s">
        <v>406</v>
      </c>
      <c r="I54" s="44">
        <v>40064171</v>
      </c>
      <c r="J54" s="49" t="s">
        <v>600</v>
      </c>
      <c r="K54" s="3">
        <v>61669000</v>
      </c>
      <c r="L54" s="2" t="s">
        <v>49</v>
      </c>
      <c r="M54" s="15" t="s">
        <v>62</v>
      </c>
      <c r="N54" s="10">
        <v>45453</v>
      </c>
      <c r="O54" s="10">
        <v>45475</v>
      </c>
      <c r="P54" s="37">
        <v>15</v>
      </c>
      <c r="Q54" s="10">
        <v>45589</v>
      </c>
      <c r="R54" s="9">
        <v>45604</v>
      </c>
      <c r="S54" s="43">
        <v>45590</v>
      </c>
      <c r="T54" s="2">
        <v>15</v>
      </c>
      <c r="U54" s="9">
        <v>45614</v>
      </c>
      <c r="V54" s="2">
        <v>1</v>
      </c>
      <c r="W54" s="38">
        <v>1</v>
      </c>
      <c r="X54" s="13">
        <v>-58</v>
      </c>
      <c r="Y54" s="2" t="s">
        <v>660</v>
      </c>
      <c r="Z54" s="2" t="s">
        <v>623</v>
      </c>
      <c r="AA54" s="57"/>
      <c r="AB54" s="87" t="s">
        <v>31</v>
      </c>
      <c r="AC54" s="3"/>
    </row>
    <row r="55" spans="1:29" ht="28.5" hidden="1" x14ac:dyDescent="0.2">
      <c r="A55" s="2">
        <v>54</v>
      </c>
      <c r="B55" s="2">
        <v>29</v>
      </c>
      <c r="C55" s="36" t="s">
        <v>31</v>
      </c>
      <c r="D55" s="2" t="s">
        <v>31</v>
      </c>
      <c r="E55" s="2" t="s">
        <v>32</v>
      </c>
      <c r="F55" s="2" t="s">
        <v>568</v>
      </c>
      <c r="G55" s="2" t="s">
        <v>56</v>
      </c>
      <c r="H55" s="2" t="s">
        <v>13</v>
      </c>
      <c r="I55" s="7">
        <v>40063487</v>
      </c>
      <c r="J55" s="3" t="s">
        <v>601</v>
      </c>
      <c r="K55" s="3">
        <v>974355000</v>
      </c>
      <c r="L55" s="2" t="s">
        <v>49</v>
      </c>
      <c r="M55" s="15" t="s">
        <v>62</v>
      </c>
      <c r="N55" s="10">
        <v>45455</v>
      </c>
      <c r="O55" s="10">
        <v>45483</v>
      </c>
      <c r="P55" s="37">
        <v>19</v>
      </c>
      <c r="Q55" s="10">
        <v>45586</v>
      </c>
      <c r="R55" s="9">
        <v>45601</v>
      </c>
      <c r="S55" s="43">
        <v>45590</v>
      </c>
      <c r="T55" s="2">
        <v>15</v>
      </c>
      <c r="U55" s="9">
        <v>45609</v>
      </c>
      <c r="V55" s="2">
        <v>4</v>
      </c>
      <c r="W55" s="38">
        <v>4</v>
      </c>
      <c r="X55" s="13">
        <v>-63</v>
      </c>
      <c r="Y55" s="2" t="s">
        <v>661</v>
      </c>
      <c r="Z55" s="2" t="s">
        <v>154</v>
      </c>
      <c r="AA55" s="57"/>
      <c r="AB55" s="87" t="s">
        <v>31</v>
      </c>
      <c r="AC55" s="3"/>
    </row>
    <row r="56" spans="1:29" ht="28.5" hidden="1" x14ac:dyDescent="0.2">
      <c r="A56" s="2">
        <v>55</v>
      </c>
      <c r="B56" s="2">
        <v>29</v>
      </c>
      <c r="C56" s="36" t="s">
        <v>31</v>
      </c>
      <c r="D56" s="2" t="s">
        <v>32</v>
      </c>
      <c r="E56" s="2" t="s">
        <v>31</v>
      </c>
      <c r="F56" s="2" t="s">
        <v>175</v>
      </c>
      <c r="G56" s="2" t="s">
        <v>44</v>
      </c>
      <c r="H56" s="2" t="s">
        <v>84</v>
      </c>
      <c r="I56" s="7">
        <v>40044996</v>
      </c>
      <c r="J56" s="3" t="s">
        <v>388</v>
      </c>
      <c r="K56" s="3">
        <v>1328103000</v>
      </c>
      <c r="L56" s="2" t="s">
        <v>49</v>
      </c>
      <c r="M56" s="17" t="s">
        <v>62</v>
      </c>
      <c r="N56" s="10"/>
      <c r="O56" s="10"/>
      <c r="P56" s="37" t="s">
        <v>686</v>
      </c>
      <c r="Q56" s="10">
        <v>45470</v>
      </c>
      <c r="R56" s="9">
        <v>45480</v>
      </c>
      <c r="S56" s="43">
        <v>45457</v>
      </c>
      <c r="T56" s="2">
        <v>10</v>
      </c>
      <c r="U56" s="9">
        <v>45484</v>
      </c>
      <c r="V56" s="2">
        <v>-13</v>
      </c>
      <c r="W56" s="38" t="s">
        <v>686</v>
      </c>
      <c r="X56" s="13">
        <v>-188</v>
      </c>
      <c r="Y56" s="2" t="s">
        <v>380</v>
      </c>
      <c r="Z56" s="2" t="s">
        <v>157</v>
      </c>
      <c r="AA56" s="3">
        <v>234122</v>
      </c>
      <c r="AB56" s="87" t="s">
        <v>32</v>
      </c>
      <c r="AC56" s="3" t="s">
        <v>366</v>
      </c>
    </row>
    <row r="57" spans="1:29" ht="28.5" hidden="1" x14ac:dyDescent="0.2">
      <c r="A57" s="2">
        <v>56</v>
      </c>
      <c r="B57" s="2">
        <v>29</v>
      </c>
      <c r="C57" s="36" t="s">
        <v>31</v>
      </c>
      <c r="D57" s="2" t="s">
        <v>31</v>
      </c>
      <c r="E57" s="2" t="s">
        <v>32</v>
      </c>
      <c r="F57" s="2" t="s">
        <v>568</v>
      </c>
      <c r="G57" s="2" t="s">
        <v>64</v>
      </c>
      <c r="H57" s="2" t="s">
        <v>92</v>
      </c>
      <c r="I57" s="44">
        <v>40064081</v>
      </c>
      <c r="J57" s="49" t="s">
        <v>602</v>
      </c>
      <c r="K57" s="3"/>
      <c r="L57" s="2" t="s">
        <v>49</v>
      </c>
      <c r="M57" s="15" t="s">
        <v>74</v>
      </c>
      <c r="N57" s="10">
        <v>45462</v>
      </c>
      <c r="O57" s="10">
        <v>45490</v>
      </c>
      <c r="P57" s="37">
        <v>18</v>
      </c>
      <c r="Q57" s="10">
        <v>45462</v>
      </c>
      <c r="R57" s="9">
        <v>45477</v>
      </c>
      <c r="S57" s="43">
        <v>45490</v>
      </c>
      <c r="T57" s="2">
        <v>15</v>
      </c>
      <c r="U57" s="9">
        <v>45484</v>
      </c>
      <c r="V57" s="2">
        <v>28</v>
      </c>
      <c r="W57" s="38">
        <v>18</v>
      </c>
      <c r="X57" s="13">
        <v>-188</v>
      </c>
      <c r="Y57" s="2"/>
      <c r="Z57" s="2" t="s">
        <v>383</v>
      </c>
      <c r="AA57" s="3"/>
      <c r="AB57" s="88" t="s">
        <v>31</v>
      </c>
      <c r="AC57" s="3"/>
    </row>
    <row r="58" spans="1:29" s="60" customFormat="1" ht="28.5" hidden="1" x14ac:dyDescent="0.2">
      <c r="A58" s="2">
        <v>57</v>
      </c>
      <c r="B58" s="3">
        <v>29</v>
      </c>
      <c r="C58" s="36" t="s">
        <v>32</v>
      </c>
      <c r="D58" s="2" t="s">
        <v>31</v>
      </c>
      <c r="E58" s="2" t="s">
        <v>31</v>
      </c>
      <c r="F58" s="3" t="s">
        <v>42</v>
      </c>
      <c r="G58" s="3" t="s">
        <v>65</v>
      </c>
      <c r="H58" s="3" t="s">
        <v>29</v>
      </c>
      <c r="I58" s="7">
        <v>40041628</v>
      </c>
      <c r="J58" s="3" t="s">
        <v>270</v>
      </c>
      <c r="K58" s="3">
        <v>98353000</v>
      </c>
      <c r="L58" s="2" t="s">
        <v>49</v>
      </c>
      <c r="M58" s="15" t="s">
        <v>62</v>
      </c>
      <c r="N58" s="10">
        <v>45464</v>
      </c>
      <c r="O58" s="10">
        <v>45492</v>
      </c>
      <c r="P58" s="37">
        <v>19</v>
      </c>
      <c r="Q58" s="10">
        <v>45589</v>
      </c>
      <c r="R58" s="9">
        <v>45604</v>
      </c>
      <c r="S58" s="43">
        <v>45601</v>
      </c>
      <c r="T58" s="2">
        <v>15</v>
      </c>
      <c r="U58" s="9">
        <v>45614</v>
      </c>
      <c r="V58" s="2">
        <v>12</v>
      </c>
      <c r="W58" s="38">
        <v>6</v>
      </c>
      <c r="X58" s="13">
        <v>-58</v>
      </c>
      <c r="Y58" s="3"/>
      <c r="Z58" s="2" t="s">
        <v>164</v>
      </c>
      <c r="AA58" s="85">
        <v>2117</v>
      </c>
      <c r="AB58" s="88" t="s">
        <v>31</v>
      </c>
      <c r="AC58" s="3" t="s">
        <v>375</v>
      </c>
    </row>
    <row r="59" spans="1:29" s="60" customFormat="1" ht="28.5" hidden="1" x14ac:dyDescent="0.2">
      <c r="A59" s="2">
        <v>58</v>
      </c>
      <c r="B59" s="3">
        <v>29</v>
      </c>
      <c r="C59" s="36" t="s">
        <v>31</v>
      </c>
      <c r="D59" s="2" t="s">
        <v>31</v>
      </c>
      <c r="E59" s="2" t="s">
        <v>32</v>
      </c>
      <c r="F59" s="3" t="s">
        <v>42</v>
      </c>
      <c r="G59" s="3" t="s">
        <v>3</v>
      </c>
      <c r="H59" s="3" t="s">
        <v>16</v>
      </c>
      <c r="I59" s="7">
        <v>40061037</v>
      </c>
      <c r="J59" s="3" t="s">
        <v>603</v>
      </c>
      <c r="K59" s="3"/>
      <c r="L59" s="2" t="s">
        <v>49</v>
      </c>
      <c r="M59" s="15" t="s">
        <v>74</v>
      </c>
      <c r="N59" s="10">
        <v>45462</v>
      </c>
      <c r="O59" s="10">
        <v>45484</v>
      </c>
      <c r="P59" s="37">
        <v>15</v>
      </c>
      <c r="Q59" s="10">
        <v>45462</v>
      </c>
      <c r="R59" s="9">
        <v>45477</v>
      </c>
      <c r="S59" s="43">
        <v>45484</v>
      </c>
      <c r="T59" s="2">
        <v>15</v>
      </c>
      <c r="U59" s="9">
        <v>45484</v>
      </c>
      <c r="V59" s="2">
        <v>22</v>
      </c>
      <c r="W59" s="38">
        <v>15</v>
      </c>
      <c r="X59" s="13">
        <v>-188</v>
      </c>
      <c r="Y59" s="3"/>
      <c r="Z59" s="2" t="s">
        <v>223</v>
      </c>
      <c r="AA59" s="85"/>
      <c r="AB59" s="88" t="s">
        <v>31</v>
      </c>
      <c r="AC59" s="3"/>
    </row>
    <row r="60" spans="1:29" s="60" customFormat="1" ht="28.5" hidden="1" x14ac:dyDescent="0.2">
      <c r="A60" s="2">
        <v>59</v>
      </c>
      <c r="B60" s="3">
        <v>29</v>
      </c>
      <c r="C60" s="36" t="s">
        <v>32</v>
      </c>
      <c r="D60" s="2" t="s">
        <v>31</v>
      </c>
      <c r="E60" s="2" t="s">
        <v>32</v>
      </c>
      <c r="F60" s="3" t="s">
        <v>568</v>
      </c>
      <c r="G60" s="3" t="s">
        <v>53</v>
      </c>
      <c r="H60" s="3" t="s">
        <v>399</v>
      </c>
      <c r="I60" s="7">
        <v>40043207</v>
      </c>
      <c r="J60" s="3" t="s">
        <v>605</v>
      </c>
      <c r="K60" s="3"/>
      <c r="L60" s="2" t="s">
        <v>49</v>
      </c>
      <c r="M60" s="15" t="s">
        <v>74</v>
      </c>
      <c r="N60" s="10">
        <v>45503</v>
      </c>
      <c r="O60" s="10">
        <v>45526</v>
      </c>
      <c r="P60" s="37">
        <v>16</v>
      </c>
      <c r="Q60" s="10">
        <v>45503</v>
      </c>
      <c r="R60" s="9">
        <v>45518</v>
      </c>
      <c r="S60" s="43">
        <v>45526</v>
      </c>
      <c r="T60" s="2">
        <v>15</v>
      </c>
      <c r="U60" s="9">
        <v>45525</v>
      </c>
      <c r="V60" s="2">
        <v>23</v>
      </c>
      <c r="W60" s="38">
        <v>16</v>
      </c>
      <c r="X60" s="13">
        <v>-147</v>
      </c>
      <c r="Y60" s="3"/>
      <c r="Z60" s="2" t="s">
        <v>157</v>
      </c>
      <c r="AA60" s="85"/>
      <c r="AB60" s="88" t="s">
        <v>31</v>
      </c>
      <c r="AC60" s="3"/>
    </row>
    <row r="61" spans="1:29" s="60" customFormat="1" ht="28.5" hidden="1" x14ac:dyDescent="0.2">
      <c r="A61" s="2">
        <v>60</v>
      </c>
      <c r="B61" s="3">
        <v>29</v>
      </c>
      <c r="C61" s="36" t="s">
        <v>31</v>
      </c>
      <c r="D61" s="2" t="s">
        <v>31</v>
      </c>
      <c r="E61" s="2" t="s">
        <v>32</v>
      </c>
      <c r="F61" s="3" t="s">
        <v>42</v>
      </c>
      <c r="G61" s="3" t="s">
        <v>65</v>
      </c>
      <c r="H61" s="3" t="s">
        <v>29</v>
      </c>
      <c r="I61" s="7">
        <v>40065281</v>
      </c>
      <c r="J61" s="3" t="s">
        <v>607</v>
      </c>
      <c r="K61" s="3"/>
      <c r="L61" s="2" t="s">
        <v>49</v>
      </c>
      <c r="M61" s="15" t="s">
        <v>74</v>
      </c>
      <c r="N61" s="10">
        <v>45482</v>
      </c>
      <c r="O61" s="10">
        <v>45504</v>
      </c>
      <c r="P61" s="37">
        <v>15</v>
      </c>
      <c r="Q61" s="10">
        <v>45572</v>
      </c>
      <c r="R61" s="9">
        <v>45587</v>
      </c>
      <c r="S61" s="43">
        <v>45589</v>
      </c>
      <c r="T61" s="2">
        <v>15</v>
      </c>
      <c r="U61" s="9">
        <v>45593</v>
      </c>
      <c r="V61" s="2">
        <v>17</v>
      </c>
      <c r="W61" s="38">
        <v>13</v>
      </c>
      <c r="X61" s="13">
        <v>-79</v>
      </c>
      <c r="Y61" s="3"/>
      <c r="Z61" s="2" t="s">
        <v>624</v>
      </c>
      <c r="AA61" s="85"/>
      <c r="AB61" s="88" t="s">
        <v>31</v>
      </c>
      <c r="AC61" s="3"/>
    </row>
    <row r="62" spans="1:29" s="60" customFormat="1" ht="28.5" hidden="1" x14ac:dyDescent="0.2">
      <c r="A62" s="2">
        <v>61</v>
      </c>
      <c r="B62" s="3">
        <v>31</v>
      </c>
      <c r="C62" s="36" t="s">
        <v>31</v>
      </c>
      <c r="D62" s="2" t="s">
        <v>31</v>
      </c>
      <c r="E62" s="2" t="s">
        <v>32</v>
      </c>
      <c r="F62" s="2" t="s">
        <v>568</v>
      </c>
      <c r="G62" s="2" t="s">
        <v>395</v>
      </c>
      <c r="H62" s="2" t="s">
        <v>406</v>
      </c>
      <c r="I62" s="7">
        <v>40063532</v>
      </c>
      <c r="J62" s="3" t="s">
        <v>608</v>
      </c>
      <c r="K62" s="3">
        <v>498112000</v>
      </c>
      <c r="L62" s="2" t="s">
        <v>49</v>
      </c>
      <c r="M62" s="15" t="s">
        <v>62</v>
      </c>
      <c r="N62" s="10">
        <v>45468</v>
      </c>
      <c r="O62" s="10">
        <v>45497</v>
      </c>
      <c r="P62" s="37">
        <v>20</v>
      </c>
      <c r="Q62" s="10">
        <v>45586</v>
      </c>
      <c r="R62" s="9">
        <v>45601</v>
      </c>
      <c r="S62" s="43">
        <v>45590</v>
      </c>
      <c r="T62" s="2">
        <v>15</v>
      </c>
      <c r="U62" s="9">
        <v>45609</v>
      </c>
      <c r="V62" s="2">
        <v>4</v>
      </c>
      <c r="W62" s="38">
        <v>4</v>
      </c>
      <c r="X62" s="13">
        <v>-63</v>
      </c>
      <c r="Y62" s="2" t="s">
        <v>662</v>
      </c>
      <c r="Z62" s="2" t="s">
        <v>154</v>
      </c>
      <c r="AA62" s="85"/>
      <c r="AB62" s="88" t="s">
        <v>31</v>
      </c>
      <c r="AC62" s="3"/>
    </row>
    <row r="63" spans="1:29" ht="28.5" hidden="1" x14ac:dyDescent="0.2">
      <c r="A63" s="2">
        <v>62</v>
      </c>
      <c r="B63" s="2">
        <v>29</v>
      </c>
      <c r="C63" s="36" t="s">
        <v>31</v>
      </c>
      <c r="D63" s="2" t="s">
        <v>32</v>
      </c>
      <c r="E63" s="2" t="s">
        <v>31</v>
      </c>
      <c r="F63" s="2" t="s">
        <v>45</v>
      </c>
      <c r="G63" s="2" t="s">
        <v>73</v>
      </c>
      <c r="H63" s="2" t="s">
        <v>14</v>
      </c>
      <c r="I63" s="7">
        <v>40047291</v>
      </c>
      <c r="J63" s="3" t="s">
        <v>611</v>
      </c>
      <c r="K63" s="3">
        <v>289138980</v>
      </c>
      <c r="L63" s="2" t="s">
        <v>49</v>
      </c>
      <c r="M63" s="17" t="s">
        <v>62</v>
      </c>
      <c r="N63" s="10"/>
      <c r="O63" s="10"/>
      <c r="P63" s="37" t="s">
        <v>686</v>
      </c>
      <c r="Q63" s="10">
        <v>45492</v>
      </c>
      <c r="R63" s="9">
        <v>45502</v>
      </c>
      <c r="S63" s="43">
        <v>45506</v>
      </c>
      <c r="T63" s="2">
        <v>10</v>
      </c>
      <c r="U63" s="9">
        <v>45506</v>
      </c>
      <c r="V63" s="2">
        <v>14</v>
      </c>
      <c r="W63" s="38">
        <v>10</v>
      </c>
      <c r="X63" s="13">
        <v>-166</v>
      </c>
      <c r="Y63" s="2" t="s">
        <v>344</v>
      </c>
      <c r="Z63" s="2" t="s">
        <v>151</v>
      </c>
      <c r="AA63" s="85">
        <v>4023</v>
      </c>
      <c r="AB63" s="87" t="s">
        <v>32</v>
      </c>
      <c r="AC63" s="3" t="s">
        <v>366</v>
      </c>
    </row>
    <row r="64" spans="1:29" s="60" customFormat="1" ht="28.5" hidden="1" x14ac:dyDescent="0.2">
      <c r="A64" s="2">
        <v>63</v>
      </c>
      <c r="B64" s="3">
        <v>29</v>
      </c>
      <c r="C64" s="36" t="s">
        <v>31</v>
      </c>
      <c r="D64" s="2" t="s">
        <v>31</v>
      </c>
      <c r="E64" s="2" t="s">
        <v>31</v>
      </c>
      <c r="F64" s="2" t="s">
        <v>179</v>
      </c>
      <c r="G64" s="2" t="s">
        <v>179</v>
      </c>
      <c r="H64" s="2" t="s">
        <v>179</v>
      </c>
      <c r="I64" s="7">
        <v>40035706</v>
      </c>
      <c r="J64" s="3" t="s">
        <v>614</v>
      </c>
      <c r="K64" s="3"/>
      <c r="L64" s="2" t="s">
        <v>49</v>
      </c>
      <c r="M64" s="15" t="s">
        <v>74</v>
      </c>
      <c r="N64" s="10">
        <v>45491</v>
      </c>
      <c r="O64" s="10">
        <v>45506</v>
      </c>
      <c r="P64" s="37">
        <v>11</v>
      </c>
      <c r="Q64" s="10">
        <v>45491</v>
      </c>
      <c r="R64" s="9">
        <v>45506</v>
      </c>
      <c r="S64" s="43">
        <v>45506</v>
      </c>
      <c r="T64" s="2">
        <v>15</v>
      </c>
      <c r="U64" s="9">
        <v>45512</v>
      </c>
      <c r="V64" s="2">
        <v>15</v>
      </c>
      <c r="W64" s="38">
        <v>11</v>
      </c>
      <c r="X64" s="13">
        <v>-160</v>
      </c>
      <c r="Y64" s="3"/>
      <c r="Z64" s="2" t="s">
        <v>172</v>
      </c>
      <c r="AA64" s="85"/>
      <c r="AB64" s="88" t="s">
        <v>31</v>
      </c>
      <c r="AC64" s="3"/>
    </row>
    <row r="65" spans="1:29" s="60" customFormat="1" ht="28.5" hidden="1" x14ac:dyDescent="0.2">
      <c r="A65" s="2">
        <v>64</v>
      </c>
      <c r="B65" s="3">
        <v>31</v>
      </c>
      <c r="C65" s="36" t="s">
        <v>31</v>
      </c>
      <c r="D65" s="2" t="s">
        <v>31</v>
      </c>
      <c r="E65" s="2" t="s">
        <v>32</v>
      </c>
      <c r="F65" s="2" t="s">
        <v>45</v>
      </c>
      <c r="G65" s="2" t="s">
        <v>55</v>
      </c>
      <c r="H65" s="2" t="s">
        <v>4</v>
      </c>
      <c r="I65" s="7">
        <v>40055163</v>
      </c>
      <c r="J65" s="3" t="s">
        <v>615</v>
      </c>
      <c r="K65" s="3"/>
      <c r="L65" s="2" t="s">
        <v>49</v>
      </c>
      <c r="M65" s="15" t="s">
        <v>74</v>
      </c>
      <c r="N65" s="10">
        <v>45495</v>
      </c>
      <c r="O65" s="10">
        <v>45526</v>
      </c>
      <c r="P65" s="37">
        <v>22</v>
      </c>
      <c r="Q65" s="10">
        <v>45635</v>
      </c>
      <c r="R65" s="9">
        <v>45650</v>
      </c>
      <c r="S65" s="43">
        <v>45526</v>
      </c>
      <c r="T65" s="2">
        <v>15</v>
      </c>
      <c r="U65" s="9">
        <v>45657</v>
      </c>
      <c r="V65" s="2">
        <v>-109</v>
      </c>
      <c r="W65" s="38" t="s">
        <v>686</v>
      </c>
      <c r="X65" s="13">
        <v>-15</v>
      </c>
      <c r="Y65" s="3"/>
      <c r="Z65" s="2" t="s">
        <v>154</v>
      </c>
      <c r="AA65" s="85"/>
      <c r="AB65" s="88" t="s">
        <v>31</v>
      </c>
      <c r="AC65" s="3"/>
    </row>
    <row r="66" spans="1:29" s="60" customFormat="1" ht="28.5" hidden="1" x14ac:dyDescent="0.2">
      <c r="A66" s="2">
        <v>65</v>
      </c>
      <c r="B66" s="3">
        <v>29</v>
      </c>
      <c r="C66" s="36" t="s">
        <v>31</v>
      </c>
      <c r="D66" s="2" t="s">
        <v>31</v>
      </c>
      <c r="E66" s="2" t="s">
        <v>31</v>
      </c>
      <c r="F66" s="2" t="s">
        <v>42</v>
      </c>
      <c r="G66" s="2" t="s">
        <v>42</v>
      </c>
      <c r="H66" s="2" t="s">
        <v>17</v>
      </c>
      <c r="I66" s="7">
        <v>40066122</v>
      </c>
      <c r="J66" s="3" t="s">
        <v>618</v>
      </c>
      <c r="K66" s="3"/>
      <c r="L66" s="2" t="s">
        <v>49</v>
      </c>
      <c r="M66" s="15" t="s">
        <v>74</v>
      </c>
      <c r="N66" s="10">
        <v>45503</v>
      </c>
      <c r="O66" s="10">
        <v>45541</v>
      </c>
      <c r="P66" s="37">
        <v>27</v>
      </c>
      <c r="Q66" s="10">
        <v>45503</v>
      </c>
      <c r="R66" s="9">
        <v>45518</v>
      </c>
      <c r="S66" s="43">
        <v>45541</v>
      </c>
      <c r="T66" s="2">
        <v>15</v>
      </c>
      <c r="U66" s="9">
        <v>45525</v>
      </c>
      <c r="V66" s="2">
        <v>38</v>
      </c>
      <c r="W66" s="38">
        <v>27</v>
      </c>
      <c r="X66" s="13">
        <v>-147</v>
      </c>
      <c r="Y66" s="3"/>
      <c r="Z66" s="2" t="s">
        <v>621</v>
      </c>
      <c r="AA66" s="85"/>
      <c r="AB66" s="88" t="s">
        <v>31</v>
      </c>
      <c r="AC66" s="3"/>
    </row>
    <row r="67" spans="1:29" ht="28.5" hidden="1" x14ac:dyDescent="0.2">
      <c r="A67" s="2">
        <v>66</v>
      </c>
      <c r="B67" s="2">
        <v>29</v>
      </c>
      <c r="C67" s="36" t="s">
        <v>31</v>
      </c>
      <c r="D67" s="2" t="s">
        <v>31</v>
      </c>
      <c r="E67" s="2" t="s">
        <v>32</v>
      </c>
      <c r="F67" s="2" t="s">
        <v>568</v>
      </c>
      <c r="G67" s="2" t="s">
        <v>0</v>
      </c>
      <c r="H67" s="2" t="s">
        <v>18</v>
      </c>
      <c r="I67" s="44">
        <v>40052037</v>
      </c>
      <c r="J67" s="49" t="s">
        <v>619</v>
      </c>
      <c r="K67" s="3">
        <v>91034000</v>
      </c>
      <c r="L67" s="2" t="s">
        <v>49</v>
      </c>
      <c r="M67" s="15" t="s">
        <v>62</v>
      </c>
      <c r="N67" s="10">
        <v>45509</v>
      </c>
      <c r="O67" s="10">
        <v>45537</v>
      </c>
      <c r="P67" s="37">
        <v>19</v>
      </c>
      <c r="Q67" s="10">
        <v>45630</v>
      </c>
      <c r="R67" s="9">
        <v>45645</v>
      </c>
      <c r="S67" s="43">
        <v>45653</v>
      </c>
      <c r="T67" s="2">
        <v>15</v>
      </c>
      <c r="U67" s="9">
        <v>45652</v>
      </c>
      <c r="V67" s="2">
        <v>23</v>
      </c>
      <c r="W67" s="38">
        <v>16</v>
      </c>
      <c r="X67" s="13">
        <v>-20</v>
      </c>
      <c r="Y67" s="3" t="s">
        <v>681</v>
      </c>
      <c r="Z67" s="2" t="s">
        <v>167</v>
      </c>
      <c r="AA67" s="3">
        <v>16500</v>
      </c>
      <c r="AB67" s="88" t="s">
        <v>31</v>
      </c>
      <c r="AC67" s="3"/>
    </row>
    <row r="68" spans="1:29" s="60" customFormat="1" ht="28.5" hidden="1" x14ac:dyDescent="0.2">
      <c r="A68" s="2">
        <v>67</v>
      </c>
      <c r="B68" s="3">
        <v>29</v>
      </c>
      <c r="C68" s="36" t="s">
        <v>31</v>
      </c>
      <c r="D68" s="2" t="s">
        <v>31</v>
      </c>
      <c r="E68" s="2" t="s">
        <v>31</v>
      </c>
      <c r="F68" s="2" t="s">
        <v>179</v>
      </c>
      <c r="G68" s="2"/>
      <c r="H68" s="2" t="s">
        <v>78</v>
      </c>
      <c r="I68" s="7">
        <v>40063704</v>
      </c>
      <c r="J68" s="3" t="s">
        <v>625</v>
      </c>
      <c r="K68" s="3">
        <v>769914000</v>
      </c>
      <c r="L68" s="2" t="s">
        <v>49</v>
      </c>
      <c r="M68" s="15" t="s">
        <v>62</v>
      </c>
      <c r="N68" s="10">
        <v>45510</v>
      </c>
      <c r="O68" s="10">
        <v>45548</v>
      </c>
      <c r="P68" s="37">
        <v>27</v>
      </c>
      <c r="Q68" s="10">
        <v>45582</v>
      </c>
      <c r="R68" s="9">
        <v>45597</v>
      </c>
      <c r="S68" s="43">
        <v>45602</v>
      </c>
      <c r="T68" s="2">
        <v>15</v>
      </c>
      <c r="U68" s="9">
        <v>45607</v>
      </c>
      <c r="V68" s="2">
        <v>20</v>
      </c>
      <c r="W68" s="38">
        <v>12</v>
      </c>
      <c r="X68" s="13">
        <v>-65</v>
      </c>
      <c r="Y68" s="2" t="s">
        <v>670</v>
      </c>
      <c r="Z68" s="2" t="s">
        <v>172</v>
      </c>
      <c r="AA68" s="85">
        <v>9405</v>
      </c>
      <c r="AB68" s="88" t="s">
        <v>31</v>
      </c>
      <c r="AC68" s="2" t="s">
        <v>375</v>
      </c>
    </row>
    <row r="69" spans="1:29" s="60" customFormat="1" ht="28.5" hidden="1" x14ac:dyDescent="0.2">
      <c r="A69" s="2">
        <v>68</v>
      </c>
      <c r="B69" s="3">
        <v>29</v>
      </c>
      <c r="C69" s="36" t="s">
        <v>31</v>
      </c>
      <c r="D69" s="2" t="s">
        <v>31</v>
      </c>
      <c r="E69" s="2" t="s">
        <v>32</v>
      </c>
      <c r="F69" s="2" t="s">
        <v>48</v>
      </c>
      <c r="G69" s="2" t="s">
        <v>393</v>
      </c>
      <c r="H69" s="2" t="s">
        <v>397</v>
      </c>
      <c r="I69" s="7">
        <v>40065407</v>
      </c>
      <c r="J69" s="3" t="s">
        <v>627</v>
      </c>
      <c r="K69" s="3"/>
      <c r="L69" s="2" t="s">
        <v>49</v>
      </c>
      <c r="M69" s="15" t="s">
        <v>74</v>
      </c>
      <c r="N69" s="10">
        <v>45512</v>
      </c>
      <c r="O69" s="10">
        <v>45540</v>
      </c>
      <c r="P69" s="37">
        <v>19</v>
      </c>
      <c r="Q69" s="10">
        <v>45546</v>
      </c>
      <c r="R69" s="9">
        <v>45561</v>
      </c>
      <c r="S69" s="43">
        <v>45573</v>
      </c>
      <c r="T69" s="2">
        <v>15</v>
      </c>
      <c r="U69" s="9">
        <v>45572</v>
      </c>
      <c r="V69" s="2">
        <v>27</v>
      </c>
      <c r="W69" s="38">
        <v>16</v>
      </c>
      <c r="X69" s="13">
        <v>-100</v>
      </c>
      <c r="Y69" s="3"/>
      <c r="Z69" s="2" t="s">
        <v>157</v>
      </c>
      <c r="AA69" s="85"/>
      <c r="AB69" s="88" t="s">
        <v>31</v>
      </c>
      <c r="AC69" s="3"/>
    </row>
    <row r="70" spans="1:29" ht="28.5" hidden="1" x14ac:dyDescent="0.2">
      <c r="A70" s="2">
        <v>69</v>
      </c>
      <c r="B70" s="2">
        <v>29</v>
      </c>
      <c r="C70" s="36" t="s">
        <v>31</v>
      </c>
      <c r="D70" s="2" t="s">
        <v>32</v>
      </c>
      <c r="E70" s="2" t="s">
        <v>31</v>
      </c>
      <c r="F70" s="2" t="s">
        <v>45</v>
      </c>
      <c r="G70" s="2" t="s">
        <v>51</v>
      </c>
      <c r="H70" s="2" t="s">
        <v>78</v>
      </c>
      <c r="I70" s="7">
        <v>40046863</v>
      </c>
      <c r="J70" s="3" t="s">
        <v>511</v>
      </c>
      <c r="K70" s="3">
        <v>2208718280</v>
      </c>
      <c r="L70" s="2" t="s">
        <v>49</v>
      </c>
      <c r="M70" s="17" t="s">
        <v>62</v>
      </c>
      <c r="N70" s="10"/>
      <c r="O70" s="10"/>
      <c r="P70" s="37" t="s">
        <v>686</v>
      </c>
      <c r="Q70" s="10">
        <v>45538</v>
      </c>
      <c r="R70" s="9">
        <v>45548</v>
      </c>
      <c r="S70" s="43">
        <v>45541</v>
      </c>
      <c r="T70" s="2">
        <v>10</v>
      </c>
      <c r="U70" s="9">
        <v>45552</v>
      </c>
      <c r="V70" s="2">
        <v>3</v>
      </c>
      <c r="W70" s="38">
        <v>3</v>
      </c>
      <c r="X70" s="13">
        <v>-120</v>
      </c>
      <c r="Y70" s="2" t="s">
        <v>313</v>
      </c>
      <c r="Z70" s="48" t="s">
        <v>172</v>
      </c>
      <c r="AA70" s="65">
        <v>397983</v>
      </c>
      <c r="AB70" s="88" t="s">
        <v>32</v>
      </c>
      <c r="AC70" s="57"/>
    </row>
    <row r="71" spans="1:29" ht="28.5" hidden="1" x14ac:dyDescent="0.2">
      <c r="A71" s="2">
        <v>70</v>
      </c>
      <c r="B71" s="2">
        <v>31</v>
      </c>
      <c r="C71" s="36" t="s">
        <v>32</v>
      </c>
      <c r="D71" s="2" t="s">
        <v>32</v>
      </c>
      <c r="E71" s="2" t="s">
        <v>31</v>
      </c>
      <c r="F71" s="2" t="s">
        <v>47</v>
      </c>
      <c r="G71" s="2" t="s">
        <v>0</v>
      </c>
      <c r="H71" s="2" t="s">
        <v>18</v>
      </c>
      <c r="I71" s="7">
        <v>40040080</v>
      </c>
      <c r="J71" s="3" t="s">
        <v>629</v>
      </c>
      <c r="K71" s="3">
        <v>777175000</v>
      </c>
      <c r="L71" s="2" t="s">
        <v>49</v>
      </c>
      <c r="M71" s="17" t="s">
        <v>62</v>
      </c>
      <c r="N71" s="10"/>
      <c r="O71" s="10"/>
      <c r="P71" s="37" t="s">
        <v>686</v>
      </c>
      <c r="Q71" s="10">
        <v>45539</v>
      </c>
      <c r="R71" s="9">
        <v>45549</v>
      </c>
      <c r="S71" s="43">
        <v>45559</v>
      </c>
      <c r="T71" s="2">
        <v>10</v>
      </c>
      <c r="U71" s="9">
        <v>45558</v>
      </c>
      <c r="V71" s="2">
        <v>20</v>
      </c>
      <c r="W71" s="38">
        <v>11</v>
      </c>
      <c r="X71" s="13">
        <v>-114</v>
      </c>
      <c r="Y71" s="2" t="s">
        <v>304</v>
      </c>
      <c r="Z71" s="2" t="s">
        <v>154</v>
      </c>
      <c r="AA71" s="65">
        <v>1408</v>
      </c>
      <c r="AB71" s="88" t="s">
        <v>32</v>
      </c>
      <c r="AC71" s="19"/>
    </row>
    <row r="72" spans="1:29" ht="28.5" hidden="1" x14ac:dyDescent="0.2">
      <c r="A72" s="2">
        <v>71</v>
      </c>
      <c r="B72" s="2">
        <v>31</v>
      </c>
      <c r="C72" s="36" t="s">
        <v>32</v>
      </c>
      <c r="D72" s="2" t="s">
        <v>32</v>
      </c>
      <c r="E72" s="2" t="s">
        <v>31</v>
      </c>
      <c r="F72" s="2" t="s">
        <v>47</v>
      </c>
      <c r="G72" s="2" t="s">
        <v>253</v>
      </c>
      <c r="H72" s="2" t="s">
        <v>8</v>
      </c>
      <c r="I72" s="7">
        <v>40040024</v>
      </c>
      <c r="J72" s="3" t="s">
        <v>440</v>
      </c>
      <c r="K72" s="3">
        <v>428575000</v>
      </c>
      <c r="L72" s="2" t="s">
        <v>49</v>
      </c>
      <c r="M72" s="17" t="s">
        <v>62</v>
      </c>
      <c r="N72" s="10"/>
      <c r="O72" s="10"/>
      <c r="P72" s="37" t="s">
        <v>686</v>
      </c>
      <c r="Q72" s="10">
        <v>45582</v>
      </c>
      <c r="R72" s="9">
        <v>45592</v>
      </c>
      <c r="S72" s="43">
        <v>45582</v>
      </c>
      <c r="T72" s="2">
        <v>10</v>
      </c>
      <c r="U72" s="9">
        <v>45600</v>
      </c>
      <c r="V72" s="2">
        <v>0</v>
      </c>
      <c r="W72" s="38">
        <v>0</v>
      </c>
      <c r="X72" s="13">
        <v>-72</v>
      </c>
      <c r="Y72" s="2" t="s">
        <v>287</v>
      </c>
      <c r="Z72" s="2" t="s">
        <v>154</v>
      </c>
      <c r="AA72" s="3">
        <v>940</v>
      </c>
      <c r="AB72" s="88" t="s">
        <v>32</v>
      </c>
      <c r="AC72" s="2"/>
    </row>
    <row r="73" spans="1:29" s="60" customFormat="1" ht="28.5" hidden="1" x14ac:dyDescent="0.2">
      <c r="A73" s="2">
        <v>72</v>
      </c>
      <c r="B73" s="3">
        <v>29</v>
      </c>
      <c r="C73" s="36" t="s">
        <v>31</v>
      </c>
      <c r="D73" s="2" t="s">
        <v>31</v>
      </c>
      <c r="E73" s="2" t="s">
        <v>31</v>
      </c>
      <c r="F73" s="2" t="s">
        <v>47</v>
      </c>
      <c r="G73" s="2" t="s">
        <v>71</v>
      </c>
      <c r="H73" s="2" t="s">
        <v>20</v>
      </c>
      <c r="I73" s="7">
        <v>40066529</v>
      </c>
      <c r="J73" s="49" t="s">
        <v>630</v>
      </c>
      <c r="K73" s="3"/>
      <c r="L73" s="2" t="s">
        <v>49</v>
      </c>
      <c r="M73" s="15" t="s">
        <v>74</v>
      </c>
      <c r="N73" s="10">
        <v>45545</v>
      </c>
      <c r="O73" s="10">
        <v>45569</v>
      </c>
      <c r="P73" s="37">
        <v>15</v>
      </c>
      <c r="Q73" s="10">
        <v>45622</v>
      </c>
      <c r="R73" s="9">
        <v>45637</v>
      </c>
      <c r="S73" s="43">
        <v>45632</v>
      </c>
      <c r="T73" s="2">
        <v>15</v>
      </c>
      <c r="U73" s="9">
        <v>45643</v>
      </c>
      <c r="V73" s="2">
        <v>10</v>
      </c>
      <c r="W73" s="38">
        <v>8</v>
      </c>
      <c r="X73" s="13">
        <v>-29</v>
      </c>
      <c r="Y73" s="3"/>
      <c r="Z73" s="2" t="s">
        <v>152</v>
      </c>
      <c r="AA73" s="85"/>
      <c r="AB73" s="88" t="s">
        <v>31</v>
      </c>
      <c r="AC73" s="3"/>
    </row>
    <row r="74" spans="1:29" s="60" customFormat="1" ht="28.5" hidden="1" x14ac:dyDescent="0.2">
      <c r="A74" s="2">
        <v>73</v>
      </c>
      <c r="B74" s="3">
        <v>29</v>
      </c>
      <c r="C74" s="36" t="s">
        <v>31</v>
      </c>
      <c r="D74" s="2" t="s">
        <v>31</v>
      </c>
      <c r="E74" s="2" t="s">
        <v>32</v>
      </c>
      <c r="F74" s="2" t="s">
        <v>45</v>
      </c>
      <c r="G74" s="2" t="s">
        <v>51</v>
      </c>
      <c r="H74" s="2" t="s">
        <v>11</v>
      </c>
      <c r="I74" s="7">
        <v>40064823</v>
      </c>
      <c r="J74" s="3" t="s">
        <v>631</v>
      </c>
      <c r="K74" s="3"/>
      <c r="L74" s="2" t="s">
        <v>49</v>
      </c>
      <c r="M74" s="15" t="s">
        <v>74</v>
      </c>
      <c r="N74" s="10">
        <v>45530</v>
      </c>
      <c r="O74" s="10">
        <v>45548</v>
      </c>
      <c r="P74" s="37">
        <v>14</v>
      </c>
      <c r="Q74" s="10">
        <v>45594</v>
      </c>
      <c r="R74" s="9">
        <v>45609</v>
      </c>
      <c r="S74" s="43">
        <v>45621</v>
      </c>
      <c r="T74" s="2">
        <v>15</v>
      </c>
      <c r="U74" s="9">
        <v>45617</v>
      </c>
      <c r="V74" s="2">
        <v>27</v>
      </c>
      <c r="W74" s="38">
        <v>17</v>
      </c>
      <c r="X74" s="13">
        <v>-55</v>
      </c>
      <c r="Y74" s="3"/>
      <c r="Z74" s="2" t="s">
        <v>642</v>
      </c>
      <c r="AA74" s="85"/>
      <c r="AB74" s="88" t="s">
        <v>31</v>
      </c>
      <c r="AC74" s="3"/>
    </row>
    <row r="75" spans="1:29" ht="30.75" hidden="1" customHeight="1" x14ac:dyDescent="0.2">
      <c r="A75" s="2">
        <v>74</v>
      </c>
      <c r="B75" s="2">
        <v>31</v>
      </c>
      <c r="C75" s="36" t="s">
        <v>31</v>
      </c>
      <c r="D75" s="2" t="s">
        <v>31</v>
      </c>
      <c r="E75" s="2" t="s">
        <v>31</v>
      </c>
      <c r="F75" s="2" t="s">
        <v>45</v>
      </c>
      <c r="G75" s="2" t="s">
        <v>51</v>
      </c>
      <c r="H75" s="2" t="s">
        <v>250</v>
      </c>
      <c r="I75" s="7">
        <v>40056923</v>
      </c>
      <c r="J75" s="3" t="s">
        <v>449</v>
      </c>
      <c r="K75" s="3"/>
      <c r="L75" s="2" t="s">
        <v>49</v>
      </c>
      <c r="M75" s="15" t="s">
        <v>74</v>
      </c>
      <c r="N75" s="10">
        <v>45530</v>
      </c>
      <c r="O75" s="10">
        <v>45562</v>
      </c>
      <c r="P75" s="37">
        <v>21</v>
      </c>
      <c r="Q75" s="10">
        <v>45530</v>
      </c>
      <c r="R75" s="9">
        <v>45545</v>
      </c>
      <c r="S75" s="43">
        <v>45562</v>
      </c>
      <c r="T75" s="2">
        <v>15</v>
      </c>
      <c r="U75" s="9">
        <v>45551</v>
      </c>
      <c r="V75" s="2">
        <v>32</v>
      </c>
      <c r="W75" s="38">
        <v>21</v>
      </c>
      <c r="X75" s="13">
        <v>-121</v>
      </c>
      <c r="Y75" s="2"/>
      <c r="Z75" s="12" t="s">
        <v>165</v>
      </c>
      <c r="AA75" s="12"/>
      <c r="AB75" s="88" t="s">
        <v>31</v>
      </c>
      <c r="AC75" s="2"/>
    </row>
    <row r="76" spans="1:29" ht="30.75" hidden="1" customHeight="1" x14ac:dyDescent="0.2">
      <c r="A76" s="2">
        <v>75</v>
      </c>
      <c r="B76" s="2">
        <v>29</v>
      </c>
      <c r="C76" s="36" t="s">
        <v>31</v>
      </c>
      <c r="D76" s="2" t="s">
        <v>31</v>
      </c>
      <c r="E76" s="2" t="s">
        <v>31</v>
      </c>
      <c r="F76" s="2" t="s">
        <v>179</v>
      </c>
      <c r="G76" s="2" t="s">
        <v>179</v>
      </c>
      <c r="H76" s="2" t="s">
        <v>185</v>
      </c>
      <c r="I76" s="7">
        <v>40066004</v>
      </c>
      <c r="J76" s="3" t="s">
        <v>632</v>
      </c>
      <c r="K76" s="3"/>
      <c r="L76" s="2" t="s">
        <v>49</v>
      </c>
      <c r="M76" s="15" t="s">
        <v>74</v>
      </c>
      <c r="N76" s="10">
        <v>45532</v>
      </c>
      <c r="O76" s="10">
        <v>45558</v>
      </c>
      <c r="P76" s="37">
        <v>15</v>
      </c>
      <c r="Q76" s="10">
        <v>45532</v>
      </c>
      <c r="R76" s="9">
        <v>45547</v>
      </c>
      <c r="S76" s="43">
        <v>45558</v>
      </c>
      <c r="T76" s="2">
        <v>15</v>
      </c>
      <c r="U76" s="9">
        <v>45558</v>
      </c>
      <c r="V76" s="2">
        <v>26</v>
      </c>
      <c r="W76" s="38">
        <v>15</v>
      </c>
      <c r="X76" s="13">
        <v>-114</v>
      </c>
      <c r="Y76" s="2"/>
      <c r="Z76" s="2" t="s">
        <v>338</v>
      </c>
      <c r="AA76" s="12"/>
      <c r="AB76" s="88" t="s">
        <v>31</v>
      </c>
      <c r="AC76" s="2"/>
    </row>
    <row r="77" spans="1:29" ht="30.75" hidden="1" customHeight="1" x14ac:dyDescent="0.2">
      <c r="A77" s="2">
        <v>76</v>
      </c>
      <c r="B77" s="2">
        <v>29</v>
      </c>
      <c r="C77" s="36" t="s">
        <v>31</v>
      </c>
      <c r="D77" s="2" t="s">
        <v>31</v>
      </c>
      <c r="E77" s="2" t="s">
        <v>31</v>
      </c>
      <c r="F77" s="2" t="s">
        <v>48</v>
      </c>
      <c r="G77" s="2" t="s">
        <v>598</v>
      </c>
      <c r="H77" s="2" t="s">
        <v>78</v>
      </c>
      <c r="I77" s="7">
        <v>40063793</v>
      </c>
      <c r="J77" s="3" t="s">
        <v>633</v>
      </c>
      <c r="K77" s="3"/>
      <c r="L77" s="2" t="s">
        <v>49</v>
      </c>
      <c r="M77" s="15" t="s">
        <v>74</v>
      </c>
      <c r="N77" s="10">
        <v>45537</v>
      </c>
      <c r="O77" s="10">
        <v>45614</v>
      </c>
      <c r="P77" s="37">
        <v>50</v>
      </c>
      <c r="Q77" s="10">
        <v>45537</v>
      </c>
      <c r="R77" s="9">
        <v>45552</v>
      </c>
      <c r="S77" s="43">
        <v>45614</v>
      </c>
      <c r="T77" s="2">
        <v>15</v>
      </c>
      <c r="U77" s="9">
        <v>45561</v>
      </c>
      <c r="V77" s="2">
        <v>77</v>
      </c>
      <c r="W77" s="38">
        <v>50</v>
      </c>
      <c r="X77" s="13">
        <v>-111</v>
      </c>
      <c r="Y77" s="2"/>
      <c r="Z77" s="2" t="s">
        <v>642</v>
      </c>
      <c r="AA77" s="12"/>
      <c r="AB77" s="88" t="s">
        <v>31</v>
      </c>
      <c r="AC77" s="2"/>
    </row>
    <row r="78" spans="1:29" ht="30.75" hidden="1" customHeight="1" x14ac:dyDescent="0.2">
      <c r="A78" s="2">
        <v>77</v>
      </c>
      <c r="B78" s="2">
        <v>29</v>
      </c>
      <c r="C78" s="36" t="s">
        <v>31</v>
      </c>
      <c r="D78" s="2" t="s">
        <v>31</v>
      </c>
      <c r="E78" s="2" t="s">
        <v>31</v>
      </c>
      <c r="F78" s="2" t="s">
        <v>45</v>
      </c>
      <c r="G78" s="2" t="s">
        <v>45</v>
      </c>
      <c r="H78" s="2" t="s">
        <v>78</v>
      </c>
      <c r="I78" s="7">
        <v>40054960</v>
      </c>
      <c r="J78" s="3" t="s">
        <v>444</v>
      </c>
      <c r="K78" s="3">
        <v>401224000</v>
      </c>
      <c r="L78" s="2" t="s">
        <v>49</v>
      </c>
      <c r="M78" s="15" t="s">
        <v>62</v>
      </c>
      <c r="N78" s="10">
        <v>45540</v>
      </c>
      <c r="O78" s="10">
        <v>45610</v>
      </c>
      <c r="P78" s="37">
        <v>45</v>
      </c>
      <c r="Q78" s="10">
        <v>45635</v>
      </c>
      <c r="R78" s="9">
        <v>45650</v>
      </c>
      <c r="S78" s="43">
        <v>45610</v>
      </c>
      <c r="T78" s="2">
        <v>15</v>
      </c>
      <c r="U78" s="9">
        <v>45657</v>
      </c>
      <c r="V78" s="2">
        <v>-25</v>
      </c>
      <c r="W78" s="38" t="s">
        <v>686</v>
      </c>
      <c r="X78" s="13">
        <v>-15</v>
      </c>
      <c r="Y78" s="3" t="s">
        <v>680</v>
      </c>
      <c r="Z78" s="12" t="s">
        <v>172</v>
      </c>
      <c r="AA78" s="64">
        <v>5953</v>
      </c>
      <c r="AB78" s="88" t="s">
        <v>31</v>
      </c>
      <c r="AC78" s="2" t="s">
        <v>375</v>
      </c>
    </row>
    <row r="79" spans="1:29" ht="28.5" hidden="1" x14ac:dyDescent="0.2">
      <c r="A79" s="2">
        <v>78</v>
      </c>
      <c r="B79" s="2">
        <v>31</v>
      </c>
      <c r="C79" s="36" t="s">
        <v>31</v>
      </c>
      <c r="D79" s="2" t="s">
        <v>32</v>
      </c>
      <c r="E79" s="2" t="s">
        <v>31</v>
      </c>
      <c r="F79" s="2" t="s">
        <v>47</v>
      </c>
      <c r="G79" s="2" t="s">
        <v>395</v>
      </c>
      <c r="H79" s="2" t="s">
        <v>406</v>
      </c>
      <c r="I79" s="7">
        <v>40053634</v>
      </c>
      <c r="J79" s="3" t="s">
        <v>640</v>
      </c>
      <c r="K79" s="3">
        <v>1017672000</v>
      </c>
      <c r="L79" s="2" t="s">
        <v>49</v>
      </c>
      <c r="M79" s="17" t="s">
        <v>62</v>
      </c>
      <c r="N79" s="10"/>
      <c r="O79" s="10"/>
      <c r="P79" s="37" t="s">
        <v>686</v>
      </c>
      <c r="Q79" s="10">
        <v>45561</v>
      </c>
      <c r="R79" s="9">
        <v>45571</v>
      </c>
      <c r="S79" s="43">
        <v>45567</v>
      </c>
      <c r="T79" s="2">
        <v>10</v>
      </c>
      <c r="U79" s="9">
        <v>45575</v>
      </c>
      <c r="V79" s="2">
        <v>6</v>
      </c>
      <c r="W79" s="38">
        <v>4</v>
      </c>
      <c r="X79" s="13">
        <v>-97</v>
      </c>
      <c r="Y79" s="2" t="s">
        <v>429</v>
      </c>
      <c r="Z79" s="48" t="s">
        <v>154</v>
      </c>
      <c r="AA79" s="64">
        <v>124</v>
      </c>
      <c r="AB79" s="88" t="s">
        <v>32</v>
      </c>
      <c r="AC79" s="2" t="s">
        <v>366</v>
      </c>
    </row>
    <row r="80" spans="1:29" ht="28.5" x14ac:dyDescent="0.2">
      <c r="A80" s="2">
        <v>79</v>
      </c>
      <c r="B80" s="2">
        <v>29</v>
      </c>
      <c r="C80" s="36" t="s">
        <v>31</v>
      </c>
      <c r="D80" s="2" t="s">
        <v>31</v>
      </c>
      <c r="E80" s="2" t="s">
        <v>32</v>
      </c>
      <c r="F80" s="2" t="s">
        <v>45</v>
      </c>
      <c r="G80" s="2" t="s">
        <v>70</v>
      </c>
      <c r="H80" s="2" t="s">
        <v>19</v>
      </c>
      <c r="I80" s="7">
        <v>40054428</v>
      </c>
      <c r="J80" s="49" t="s">
        <v>634</v>
      </c>
      <c r="K80" s="3"/>
      <c r="L80" s="2" t="s">
        <v>49</v>
      </c>
      <c r="M80" s="15" t="s">
        <v>74</v>
      </c>
      <c r="N80" s="10">
        <v>45540</v>
      </c>
      <c r="O80" s="10">
        <v>45566</v>
      </c>
      <c r="P80" s="37">
        <v>15</v>
      </c>
      <c r="Q80" s="10">
        <v>45540</v>
      </c>
      <c r="R80" s="9">
        <v>45555</v>
      </c>
      <c r="S80" s="43">
        <v>45566</v>
      </c>
      <c r="T80" s="2">
        <v>15</v>
      </c>
      <c r="U80" s="9">
        <v>45566</v>
      </c>
      <c r="V80" s="2">
        <v>26</v>
      </c>
      <c r="W80" s="38">
        <v>15</v>
      </c>
      <c r="X80" s="13">
        <v>-106</v>
      </c>
      <c r="Y80" s="2"/>
      <c r="Z80" s="48" t="s">
        <v>152</v>
      </c>
      <c r="AA80" s="64"/>
      <c r="AB80" s="88" t="s">
        <v>31</v>
      </c>
      <c r="AC80" s="2"/>
    </row>
    <row r="81" spans="1:29" ht="28.5" hidden="1" x14ac:dyDescent="0.2">
      <c r="A81" s="2">
        <v>80</v>
      </c>
      <c r="B81" s="2">
        <v>31</v>
      </c>
      <c r="C81" s="36" t="s">
        <v>32</v>
      </c>
      <c r="D81" s="2" t="s">
        <v>32</v>
      </c>
      <c r="E81" s="2" t="s">
        <v>32</v>
      </c>
      <c r="F81" s="2" t="s">
        <v>45</v>
      </c>
      <c r="G81" s="2" t="s">
        <v>61</v>
      </c>
      <c r="H81" s="2" t="s">
        <v>15</v>
      </c>
      <c r="I81" s="7">
        <v>40042379</v>
      </c>
      <c r="J81" s="3" t="s">
        <v>635</v>
      </c>
      <c r="K81" s="3">
        <v>452532000</v>
      </c>
      <c r="L81" s="2" t="s">
        <v>49</v>
      </c>
      <c r="M81" s="17" t="s">
        <v>62</v>
      </c>
      <c r="N81" s="10"/>
      <c r="O81" s="10"/>
      <c r="P81" s="37" t="s">
        <v>686</v>
      </c>
      <c r="Q81" s="10">
        <v>45576</v>
      </c>
      <c r="R81" s="9">
        <v>45586</v>
      </c>
      <c r="S81" s="43">
        <v>45581</v>
      </c>
      <c r="T81" s="2">
        <v>10</v>
      </c>
      <c r="U81" s="9">
        <v>45590</v>
      </c>
      <c r="V81" s="2">
        <v>5</v>
      </c>
      <c r="W81" s="38">
        <v>3</v>
      </c>
      <c r="X81" s="13">
        <v>-82</v>
      </c>
      <c r="Y81" s="2" t="s">
        <v>305</v>
      </c>
      <c r="Z81" s="12" t="s">
        <v>161</v>
      </c>
      <c r="AA81" s="64">
        <v>3997</v>
      </c>
      <c r="AB81" s="88" t="s">
        <v>32</v>
      </c>
      <c r="AC81" s="2"/>
    </row>
    <row r="82" spans="1:29" ht="14.25" hidden="1" x14ac:dyDescent="0.2">
      <c r="A82" s="2">
        <v>81</v>
      </c>
      <c r="B82" s="2">
        <v>22</v>
      </c>
      <c r="C82" s="36" t="s">
        <v>31</v>
      </c>
      <c r="D82" s="2" t="s">
        <v>31</v>
      </c>
      <c r="E82" s="2" t="s">
        <v>32</v>
      </c>
      <c r="F82" s="2" t="s">
        <v>179</v>
      </c>
      <c r="G82" s="2" t="s">
        <v>179</v>
      </c>
      <c r="H82" s="2" t="s">
        <v>269</v>
      </c>
      <c r="I82" s="7">
        <v>40055362</v>
      </c>
      <c r="J82" s="3" t="s">
        <v>636</v>
      </c>
      <c r="K82" s="3"/>
      <c r="L82" s="2" t="s">
        <v>49</v>
      </c>
      <c r="M82" s="15" t="s">
        <v>644</v>
      </c>
      <c r="N82" s="10">
        <v>45548</v>
      </c>
      <c r="O82" s="10">
        <v>45565</v>
      </c>
      <c r="P82" s="37">
        <v>8</v>
      </c>
      <c r="Q82" s="10">
        <v>45548</v>
      </c>
      <c r="R82" s="9">
        <v>45563</v>
      </c>
      <c r="S82" s="43">
        <v>45567</v>
      </c>
      <c r="T82" s="2">
        <v>15</v>
      </c>
      <c r="U82" s="9">
        <v>45574</v>
      </c>
      <c r="V82" s="2">
        <v>19</v>
      </c>
      <c r="W82" s="38">
        <v>10</v>
      </c>
      <c r="X82" s="13">
        <v>-98</v>
      </c>
      <c r="Y82" s="2"/>
      <c r="Z82" s="12" t="s">
        <v>168</v>
      </c>
      <c r="AA82" s="64"/>
      <c r="AB82" s="88" t="s">
        <v>31</v>
      </c>
      <c r="AC82" s="2"/>
    </row>
    <row r="83" spans="1:29" ht="28.5" hidden="1" x14ac:dyDescent="0.2">
      <c r="A83" s="2">
        <v>82</v>
      </c>
      <c r="B83" s="2">
        <v>29</v>
      </c>
      <c r="C83" s="36" t="s">
        <v>31</v>
      </c>
      <c r="D83" s="2" t="s">
        <v>31</v>
      </c>
      <c r="E83" s="2" t="s">
        <v>32</v>
      </c>
      <c r="F83" s="2" t="s">
        <v>42</v>
      </c>
      <c r="G83" s="2" t="s">
        <v>71</v>
      </c>
      <c r="H83" s="2" t="s">
        <v>20</v>
      </c>
      <c r="I83" s="7">
        <v>40062700</v>
      </c>
      <c r="J83" s="3" t="s">
        <v>637</v>
      </c>
      <c r="K83" s="3"/>
      <c r="L83" s="2" t="s">
        <v>49</v>
      </c>
      <c r="M83" s="15" t="s">
        <v>74</v>
      </c>
      <c r="N83" s="10">
        <v>45541</v>
      </c>
      <c r="O83" s="10"/>
      <c r="P83" s="37" t="s">
        <v>686</v>
      </c>
      <c r="Q83" s="10">
        <v>45631</v>
      </c>
      <c r="R83" s="9">
        <v>45646</v>
      </c>
      <c r="S83" s="43">
        <v>45632</v>
      </c>
      <c r="T83" s="2">
        <v>15</v>
      </c>
      <c r="U83" s="9">
        <v>45653</v>
      </c>
      <c r="V83" s="2">
        <v>1</v>
      </c>
      <c r="W83" s="38">
        <v>1</v>
      </c>
      <c r="X83" s="13">
        <v>-19</v>
      </c>
      <c r="Y83" s="2"/>
      <c r="Z83" s="12" t="s">
        <v>164</v>
      </c>
      <c r="AA83" s="64"/>
      <c r="AB83" s="88" t="s">
        <v>31</v>
      </c>
      <c r="AC83" s="2"/>
    </row>
    <row r="84" spans="1:29" ht="28.5" hidden="1" x14ac:dyDescent="0.2">
      <c r="A84" s="2">
        <v>83</v>
      </c>
      <c r="B84" s="2">
        <v>29</v>
      </c>
      <c r="C84" s="36" t="s">
        <v>31</v>
      </c>
      <c r="D84" s="2" t="s">
        <v>31</v>
      </c>
      <c r="E84" s="2" t="s">
        <v>32</v>
      </c>
      <c r="F84" s="2" t="s">
        <v>45</v>
      </c>
      <c r="G84" s="2" t="s">
        <v>66</v>
      </c>
      <c r="H84" s="2" t="s">
        <v>28</v>
      </c>
      <c r="I84" s="7">
        <v>40058484</v>
      </c>
      <c r="J84" s="49" t="s">
        <v>638</v>
      </c>
      <c r="K84" s="3"/>
      <c r="L84" s="2" t="s">
        <v>49</v>
      </c>
      <c r="M84" s="15" t="s">
        <v>74</v>
      </c>
      <c r="N84" s="10">
        <v>45546</v>
      </c>
      <c r="O84" s="10">
        <v>45576</v>
      </c>
      <c r="P84" s="37">
        <v>19</v>
      </c>
      <c r="Q84" s="10">
        <v>45546</v>
      </c>
      <c r="R84" s="9">
        <v>45561</v>
      </c>
      <c r="S84" s="43">
        <v>45576</v>
      </c>
      <c r="T84" s="2">
        <v>15</v>
      </c>
      <c r="U84" s="9">
        <v>45572</v>
      </c>
      <c r="V84" s="2">
        <v>30</v>
      </c>
      <c r="W84" s="38">
        <v>19</v>
      </c>
      <c r="X84" s="13">
        <v>-100</v>
      </c>
      <c r="Y84" s="2"/>
      <c r="Z84" s="12" t="s">
        <v>383</v>
      </c>
      <c r="AA84" s="64"/>
      <c r="AB84" s="88" t="s">
        <v>31</v>
      </c>
      <c r="AC84" s="2"/>
    </row>
    <row r="85" spans="1:29" ht="28.5" hidden="1" x14ac:dyDescent="0.2">
      <c r="A85" s="2">
        <v>84</v>
      </c>
      <c r="B85" s="2">
        <v>31</v>
      </c>
      <c r="C85" s="36" t="s">
        <v>31</v>
      </c>
      <c r="D85" s="2" t="s">
        <v>31</v>
      </c>
      <c r="E85" s="2" t="s">
        <v>32</v>
      </c>
      <c r="F85" s="2" t="s">
        <v>42</v>
      </c>
      <c r="G85" s="2" t="s">
        <v>43</v>
      </c>
      <c r="H85" s="2" t="s">
        <v>26</v>
      </c>
      <c r="I85" s="7">
        <v>40055184</v>
      </c>
      <c r="J85" s="3" t="s">
        <v>639</v>
      </c>
      <c r="K85" s="3"/>
      <c r="L85" s="2" t="s">
        <v>49</v>
      </c>
      <c r="M85" s="15" t="s">
        <v>74</v>
      </c>
      <c r="N85" s="10">
        <v>45541</v>
      </c>
      <c r="O85" s="10">
        <v>45579</v>
      </c>
      <c r="P85" s="37">
        <v>23</v>
      </c>
      <c r="Q85" s="10">
        <v>45541</v>
      </c>
      <c r="R85" s="9">
        <v>45556</v>
      </c>
      <c r="S85" s="43">
        <v>45579</v>
      </c>
      <c r="T85" s="2">
        <v>15</v>
      </c>
      <c r="U85" s="9">
        <v>45567</v>
      </c>
      <c r="V85" s="2">
        <v>38</v>
      </c>
      <c r="W85" s="38">
        <v>23</v>
      </c>
      <c r="X85" s="13">
        <v>-105</v>
      </c>
      <c r="Y85" s="2"/>
      <c r="Z85" s="12" t="s">
        <v>161</v>
      </c>
      <c r="AA85" s="64"/>
      <c r="AB85" s="88" t="s">
        <v>31</v>
      </c>
      <c r="AC85" s="2"/>
    </row>
    <row r="86" spans="1:29" ht="28.5" hidden="1" x14ac:dyDescent="0.2">
      <c r="A86" s="2">
        <v>85</v>
      </c>
      <c r="B86" s="2">
        <v>29</v>
      </c>
      <c r="C86" s="36" t="s">
        <v>31</v>
      </c>
      <c r="D86" s="2" t="s">
        <v>31</v>
      </c>
      <c r="E86" s="2" t="s">
        <v>31</v>
      </c>
      <c r="F86" s="2" t="s">
        <v>45</v>
      </c>
      <c r="G86" s="2" t="s">
        <v>60</v>
      </c>
      <c r="H86" s="2" t="s">
        <v>7</v>
      </c>
      <c r="I86" s="7">
        <v>40036924</v>
      </c>
      <c r="J86" s="3" t="s">
        <v>210</v>
      </c>
      <c r="K86" s="3"/>
      <c r="L86" s="2" t="s">
        <v>49</v>
      </c>
      <c r="M86" s="15" t="s">
        <v>74</v>
      </c>
      <c r="N86" s="10">
        <v>45562</v>
      </c>
      <c r="O86" s="10">
        <v>45608</v>
      </c>
      <c r="P86" s="37">
        <v>30</v>
      </c>
      <c r="Q86" s="10">
        <v>45562</v>
      </c>
      <c r="R86" s="9">
        <v>45577</v>
      </c>
      <c r="S86" s="43">
        <v>45608</v>
      </c>
      <c r="T86" s="2">
        <v>15</v>
      </c>
      <c r="U86" s="9">
        <v>45583</v>
      </c>
      <c r="V86" s="2">
        <v>46</v>
      </c>
      <c r="W86" s="38">
        <v>30</v>
      </c>
      <c r="X86" s="13">
        <v>-89</v>
      </c>
      <c r="Y86" s="2"/>
      <c r="Z86" s="12" t="s">
        <v>214</v>
      </c>
      <c r="AA86" s="64"/>
      <c r="AB86" s="88" t="s">
        <v>31</v>
      </c>
      <c r="AC86" s="2"/>
    </row>
    <row r="87" spans="1:29" ht="28.5" hidden="1" x14ac:dyDescent="0.2">
      <c r="A87" s="2">
        <v>86</v>
      </c>
      <c r="B87" s="2">
        <v>29</v>
      </c>
      <c r="C87" s="36" t="s">
        <v>31</v>
      </c>
      <c r="D87" s="2" t="s">
        <v>31</v>
      </c>
      <c r="E87" s="2" t="s">
        <v>32</v>
      </c>
      <c r="F87" s="2" t="s">
        <v>47</v>
      </c>
      <c r="G87" s="2" t="s">
        <v>396</v>
      </c>
      <c r="H87" s="2" t="s">
        <v>405</v>
      </c>
      <c r="I87" s="7">
        <v>40054224</v>
      </c>
      <c r="J87" s="3" t="s">
        <v>643</v>
      </c>
      <c r="K87" s="3"/>
      <c r="L87" s="2" t="s">
        <v>49</v>
      </c>
      <c r="M87" s="15" t="s">
        <v>74</v>
      </c>
      <c r="N87" s="10">
        <v>45565</v>
      </c>
      <c r="O87" s="10">
        <v>45586</v>
      </c>
      <c r="P87" s="37">
        <v>15</v>
      </c>
      <c r="Q87" s="10">
        <v>45565</v>
      </c>
      <c r="R87" s="9">
        <v>45580</v>
      </c>
      <c r="S87" s="43">
        <v>45586</v>
      </c>
      <c r="T87" s="2">
        <v>15</v>
      </c>
      <c r="U87" s="9">
        <v>45586</v>
      </c>
      <c r="V87" s="2">
        <v>21</v>
      </c>
      <c r="W87" s="38">
        <v>15</v>
      </c>
      <c r="X87" s="13">
        <v>-86</v>
      </c>
      <c r="Y87" s="2"/>
      <c r="Z87" s="12" t="s">
        <v>164</v>
      </c>
      <c r="AA87" s="64"/>
      <c r="AB87" s="88" t="s">
        <v>31</v>
      </c>
      <c r="AC87" s="2"/>
    </row>
    <row r="88" spans="1:29" ht="28.5" hidden="1" x14ac:dyDescent="0.2">
      <c r="A88" s="2">
        <v>87</v>
      </c>
      <c r="B88" s="2">
        <v>29</v>
      </c>
      <c r="C88" s="36" t="s">
        <v>31</v>
      </c>
      <c r="D88" s="2" t="s">
        <v>31</v>
      </c>
      <c r="E88" s="2" t="s">
        <v>31</v>
      </c>
      <c r="F88" s="2" t="s">
        <v>47</v>
      </c>
      <c r="G88" s="2" t="s">
        <v>54</v>
      </c>
      <c r="H88" s="2" t="s">
        <v>407</v>
      </c>
      <c r="I88" s="7">
        <v>40067127</v>
      </c>
      <c r="J88" s="49" t="s">
        <v>645</v>
      </c>
      <c r="K88" s="3"/>
      <c r="L88" s="2" t="s">
        <v>49</v>
      </c>
      <c r="M88" s="15" t="s">
        <v>74</v>
      </c>
      <c r="N88" s="10">
        <v>45600</v>
      </c>
      <c r="O88" s="10">
        <v>45621</v>
      </c>
      <c r="P88" s="37">
        <v>15</v>
      </c>
      <c r="Q88" s="10">
        <v>45600</v>
      </c>
      <c r="R88" s="9">
        <v>45615</v>
      </c>
      <c r="S88" s="43">
        <v>45621</v>
      </c>
      <c r="T88" s="2">
        <v>15</v>
      </c>
      <c r="U88" s="9">
        <v>45621</v>
      </c>
      <c r="V88" s="2">
        <v>21</v>
      </c>
      <c r="W88" s="38">
        <v>15</v>
      </c>
      <c r="X88" s="13">
        <v>-51</v>
      </c>
      <c r="Y88" s="2"/>
      <c r="Z88" s="12"/>
      <c r="AA88" s="64"/>
      <c r="AB88" s="88" t="s">
        <v>31</v>
      </c>
      <c r="AC88" s="2"/>
    </row>
    <row r="89" spans="1:29" ht="28.5" hidden="1" x14ac:dyDescent="0.2">
      <c r="A89" s="2">
        <v>88</v>
      </c>
      <c r="B89" s="2">
        <v>31</v>
      </c>
      <c r="C89" s="36" t="s">
        <v>31</v>
      </c>
      <c r="D89" s="2" t="s">
        <v>31</v>
      </c>
      <c r="E89" s="2" t="s">
        <v>31</v>
      </c>
      <c r="F89" s="2" t="s">
        <v>47</v>
      </c>
      <c r="G89" s="2" t="s">
        <v>64</v>
      </c>
      <c r="H89" s="2" t="s">
        <v>92</v>
      </c>
      <c r="I89" s="7">
        <v>40067325</v>
      </c>
      <c r="J89" s="3" t="s">
        <v>646</v>
      </c>
      <c r="K89" s="3"/>
      <c r="L89" s="2" t="s">
        <v>49</v>
      </c>
      <c r="M89" s="15" t="s">
        <v>74</v>
      </c>
      <c r="N89" s="10">
        <v>45569</v>
      </c>
      <c r="O89" s="10">
        <v>45614</v>
      </c>
      <c r="P89" s="37">
        <v>29</v>
      </c>
      <c r="Q89" s="10">
        <v>45635</v>
      </c>
      <c r="R89" s="9">
        <v>45650</v>
      </c>
      <c r="S89" s="43">
        <v>45614</v>
      </c>
      <c r="T89" s="2">
        <v>15</v>
      </c>
      <c r="U89" s="9">
        <v>45657</v>
      </c>
      <c r="V89" s="2">
        <v>-21</v>
      </c>
      <c r="W89" s="38" t="s">
        <v>686</v>
      </c>
      <c r="X89" s="13">
        <v>-15</v>
      </c>
      <c r="Y89" s="2"/>
      <c r="Z89" s="2" t="s">
        <v>154</v>
      </c>
      <c r="AA89" s="64"/>
      <c r="AB89" s="88" t="s">
        <v>31</v>
      </c>
      <c r="AC89" s="2"/>
    </row>
    <row r="90" spans="1:29" ht="28.5" hidden="1" x14ac:dyDescent="0.2">
      <c r="A90" s="2">
        <v>89</v>
      </c>
      <c r="B90" s="2">
        <v>31</v>
      </c>
      <c r="C90" s="36" t="s">
        <v>31</v>
      </c>
      <c r="D90" s="2" t="s">
        <v>31</v>
      </c>
      <c r="E90" s="2" t="s">
        <v>32</v>
      </c>
      <c r="F90" s="2" t="s">
        <v>47</v>
      </c>
      <c r="G90" s="2" t="s">
        <v>56</v>
      </c>
      <c r="H90" s="2" t="s">
        <v>13</v>
      </c>
      <c r="I90" s="7">
        <v>40005528</v>
      </c>
      <c r="J90" s="3" t="s">
        <v>103</v>
      </c>
      <c r="K90" s="3"/>
      <c r="L90" s="2" t="s">
        <v>49</v>
      </c>
      <c r="M90" s="15" t="s">
        <v>74</v>
      </c>
      <c r="N90" s="10">
        <v>45572</v>
      </c>
      <c r="O90" s="10">
        <v>45593</v>
      </c>
      <c r="P90" s="37">
        <v>15</v>
      </c>
      <c r="Q90" s="10">
        <v>45572</v>
      </c>
      <c r="R90" s="9">
        <v>45587</v>
      </c>
      <c r="S90" s="43">
        <v>45593</v>
      </c>
      <c r="T90" s="2">
        <v>15</v>
      </c>
      <c r="U90" s="9">
        <v>45593</v>
      </c>
      <c r="V90" s="2">
        <v>21</v>
      </c>
      <c r="W90" s="38">
        <v>15</v>
      </c>
      <c r="X90" s="13">
        <v>-79</v>
      </c>
      <c r="Y90" s="2"/>
      <c r="Z90" s="2" t="s">
        <v>314</v>
      </c>
      <c r="AA90" s="64"/>
      <c r="AB90" s="88" t="s">
        <v>31</v>
      </c>
      <c r="AC90" s="2"/>
    </row>
    <row r="91" spans="1:29" ht="28.5" hidden="1" x14ac:dyDescent="0.2">
      <c r="A91" s="2">
        <v>90</v>
      </c>
      <c r="B91" s="2">
        <v>29</v>
      </c>
      <c r="C91" s="36" t="s">
        <v>31</v>
      </c>
      <c r="D91" s="2" t="s">
        <v>31</v>
      </c>
      <c r="E91" s="2" t="s">
        <v>31</v>
      </c>
      <c r="F91" s="2" t="s">
        <v>45</v>
      </c>
      <c r="G91" s="2" t="s">
        <v>648</v>
      </c>
      <c r="H91" s="2" t="s">
        <v>78</v>
      </c>
      <c r="I91" s="7">
        <v>40063798</v>
      </c>
      <c r="J91" s="3" t="s">
        <v>647</v>
      </c>
      <c r="K91" s="3">
        <v>695940000</v>
      </c>
      <c r="L91" s="2" t="s">
        <v>49</v>
      </c>
      <c r="M91" s="15" t="s">
        <v>62</v>
      </c>
      <c r="N91" s="10">
        <v>45576</v>
      </c>
      <c r="O91" s="10">
        <v>45610</v>
      </c>
      <c r="P91" s="37">
        <v>22</v>
      </c>
      <c r="Q91" s="10">
        <v>45624</v>
      </c>
      <c r="R91" s="9">
        <v>45639</v>
      </c>
      <c r="S91" s="43">
        <v>45645</v>
      </c>
      <c r="T91" s="2">
        <v>15</v>
      </c>
      <c r="U91" s="9">
        <v>45645</v>
      </c>
      <c r="V91" s="2">
        <v>21</v>
      </c>
      <c r="W91" s="38">
        <v>15</v>
      </c>
      <c r="X91" s="13">
        <v>-27</v>
      </c>
      <c r="Y91" s="3" t="s">
        <v>682</v>
      </c>
      <c r="Z91" s="2" t="s">
        <v>164</v>
      </c>
      <c r="AA91" s="64">
        <v>94900</v>
      </c>
      <c r="AB91" s="88" t="s">
        <v>31</v>
      </c>
      <c r="AC91" s="2"/>
    </row>
    <row r="92" spans="1:29" s="60" customFormat="1" ht="28.5" hidden="1" x14ac:dyDescent="0.2">
      <c r="A92" s="2">
        <v>91</v>
      </c>
      <c r="B92" s="3">
        <v>31</v>
      </c>
      <c r="C92" s="36" t="s">
        <v>31</v>
      </c>
      <c r="D92" s="2" t="s">
        <v>32</v>
      </c>
      <c r="E92" s="2" t="s">
        <v>32</v>
      </c>
      <c r="F92" s="3" t="s">
        <v>47</v>
      </c>
      <c r="G92" s="3" t="s">
        <v>56</v>
      </c>
      <c r="H92" s="3" t="s">
        <v>13</v>
      </c>
      <c r="I92" s="7">
        <v>40049738</v>
      </c>
      <c r="J92" s="3" t="s">
        <v>652</v>
      </c>
      <c r="K92" s="3">
        <v>660823000</v>
      </c>
      <c r="L92" s="2" t="s">
        <v>49</v>
      </c>
      <c r="M92" s="17" t="s">
        <v>74</v>
      </c>
      <c r="N92" s="10"/>
      <c r="O92" s="10"/>
      <c r="P92" s="37" t="s">
        <v>686</v>
      </c>
      <c r="Q92" s="10">
        <v>45579</v>
      </c>
      <c r="R92" s="9">
        <v>45589</v>
      </c>
      <c r="S92" s="43">
        <v>45615</v>
      </c>
      <c r="T92" s="2">
        <v>10</v>
      </c>
      <c r="U92" s="9">
        <v>45593</v>
      </c>
      <c r="V92" s="2">
        <v>36</v>
      </c>
      <c r="W92" s="38">
        <v>24</v>
      </c>
      <c r="X92" s="13">
        <v>-79</v>
      </c>
      <c r="Y92" s="3" t="s">
        <v>422</v>
      </c>
      <c r="Z92" s="2" t="s">
        <v>154</v>
      </c>
      <c r="AA92" s="64">
        <v>367</v>
      </c>
      <c r="AB92" s="88" t="s">
        <v>32</v>
      </c>
      <c r="AC92" s="2" t="s">
        <v>366</v>
      </c>
    </row>
    <row r="93" spans="1:29" ht="28.5" hidden="1" x14ac:dyDescent="0.2">
      <c r="A93" s="2">
        <v>92</v>
      </c>
      <c r="B93" s="2">
        <v>29</v>
      </c>
      <c r="C93" s="36" t="s">
        <v>32</v>
      </c>
      <c r="D93" s="2" t="s">
        <v>31</v>
      </c>
      <c r="E93" s="2" t="s">
        <v>32</v>
      </c>
      <c r="F93" s="2" t="s">
        <v>45</v>
      </c>
      <c r="G93" s="2" t="s">
        <v>45</v>
      </c>
      <c r="H93" s="3" t="s">
        <v>79</v>
      </c>
      <c r="I93" s="7">
        <v>40032936</v>
      </c>
      <c r="J93" s="49" t="s">
        <v>651</v>
      </c>
      <c r="K93" s="3"/>
      <c r="L93" s="2"/>
      <c r="M93" s="15" t="s">
        <v>74</v>
      </c>
      <c r="N93" s="10">
        <v>45579</v>
      </c>
      <c r="O93" s="10">
        <v>45603</v>
      </c>
      <c r="P93" s="37">
        <v>16</v>
      </c>
      <c r="Q93" s="10">
        <v>45579</v>
      </c>
      <c r="R93" s="9">
        <v>45594</v>
      </c>
      <c r="S93" s="43">
        <v>45603</v>
      </c>
      <c r="T93" s="2">
        <v>15</v>
      </c>
      <c r="U93" s="9">
        <v>45602</v>
      </c>
      <c r="V93" s="2">
        <v>24</v>
      </c>
      <c r="W93" s="38">
        <v>16</v>
      </c>
      <c r="X93" s="13">
        <v>-70</v>
      </c>
      <c r="Y93" s="2"/>
      <c r="Z93" s="12" t="s">
        <v>383</v>
      </c>
      <c r="AA93" s="64"/>
      <c r="AB93" s="88" t="s">
        <v>31</v>
      </c>
      <c r="AC93" s="2"/>
    </row>
    <row r="94" spans="1:29" ht="28.5" hidden="1" x14ac:dyDescent="0.2">
      <c r="A94" s="2">
        <v>93</v>
      </c>
      <c r="B94" s="2">
        <v>29</v>
      </c>
      <c r="C94" s="36" t="s">
        <v>31</v>
      </c>
      <c r="D94" s="2" t="s">
        <v>31</v>
      </c>
      <c r="E94" s="2" t="s">
        <v>31</v>
      </c>
      <c r="F94" s="2"/>
      <c r="G94" s="2"/>
      <c r="H94" s="3" t="s">
        <v>91</v>
      </c>
      <c r="I94" s="7">
        <v>40067537</v>
      </c>
      <c r="J94" s="3" t="s">
        <v>653</v>
      </c>
      <c r="K94" s="3"/>
      <c r="L94" s="2" t="s">
        <v>49</v>
      </c>
      <c r="M94" s="15" t="s">
        <v>74</v>
      </c>
      <c r="N94" s="10">
        <v>45574</v>
      </c>
      <c r="O94" s="10">
        <v>45601</v>
      </c>
      <c r="P94" s="37">
        <v>17</v>
      </c>
      <c r="Q94" s="10">
        <v>45621</v>
      </c>
      <c r="R94" s="9">
        <v>45636</v>
      </c>
      <c r="S94" s="43">
        <v>45637</v>
      </c>
      <c r="T94" s="2">
        <v>15</v>
      </c>
      <c r="U94" s="9">
        <v>45642</v>
      </c>
      <c r="V94" s="2">
        <v>16</v>
      </c>
      <c r="W94" s="38">
        <v>12</v>
      </c>
      <c r="X94" s="13">
        <v>-30</v>
      </c>
      <c r="Y94" s="2"/>
      <c r="Z94" s="12"/>
      <c r="AA94" s="64"/>
      <c r="AB94" s="88" t="s">
        <v>31</v>
      </c>
      <c r="AC94" s="2"/>
    </row>
    <row r="95" spans="1:29" ht="28.5" hidden="1" x14ac:dyDescent="0.2">
      <c r="A95" s="2">
        <v>94</v>
      </c>
      <c r="B95" s="2">
        <v>29</v>
      </c>
      <c r="C95" s="36" t="s">
        <v>31</v>
      </c>
      <c r="D95" s="2" t="s">
        <v>31</v>
      </c>
      <c r="E95" s="2" t="s">
        <v>31</v>
      </c>
      <c r="F95" s="2" t="s">
        <v>47</v>
      </c>
      <c r="G95" s="2" t="s">
        <v>657</v>
      </c>
      <c r="H95" s="3" t="s">
        <v>102</v>
      </c>
      <c r="I95" s="7">
        <v>40067936</v>
      </c>
      <c r="J95" s="3" t="s">
        <v>656</v>
      </c>
      <c r="K95" s="3"/>
      <c r="L95" s="2" t="s">
        <v>49</v>
      </c>
      <c r="M95" s="15" t="s">
        <v>74</v>
      </c>
      <c r="N95" s="10">
        <v>45581</v>
      </c>
      <c r="O95" s="10">
        <v>45604</v>
      </c>
      <c r="P95" s="37">
        <v>15</v>
      </c>
      <c r="Q95" s="10">
        <v>45581</v>
      </c>
      <c r="R95" s="9">
        <v>45596</v>
      </c>
      <c r="S95" s="43">
        <v>45604</v>
      </c>
      <c r="T95" s="2">
        <v>15</v>
      </c>
      <c r="U95" s="9">
        <v>45604</v>
      </c>
      <c r="V95" s="2">
        <v>23</v>
      </c>
      <c r="W95" s="38">
        <v>15</v>
      </c>
      <c r="X95" s="13">
        <v>-68</v>
      </c>
      <c r="Y95" s="2"/>
      <c r="Z95" s="12"/>
      <c r="AA95" s="64"/>
      <c r="AB95" s="88" t="s">
        <v>31</v>
      </c>
      <c r="AC95" s="2"/>
    </row>
    <row r="96" spans="1:29" ht="28.5" hidden="1" x14ac:dyDescent="0.2">
      <c r="A96" s="2">
        <v>95</v>
      </c>
      <c r="B96" s="2">
        <v>31</v>
      </c>
      <c r="C96" s="36" t="s">
        <v>31</v>
      </c>
      <c r="D96" s="2" t="s">
        <v>31</v>
      </c>
      <c r="E96" s="2" t="s">
        <v>31</v>
      </c>
      <c r="F96" s="2" t="s">
        <v>45</v>
      </c>
      <c r="G96" s="2" t="s">
        <v>51</v>
      </c>
      <c r="H96" s="2" t="s">
        <v>11</v>
      </c>
      <c r="I96" s="7">
        <v>40064760</v>
      </c>
      <c r="J96" s="3" t="s">
        <v>658</v>
      </c>
      <c r="K96" s="3"/>
      <c r="L96" s="2" t="s">
        <v>49</v>
      </c>
      <c r="M96" s="15" t="s">
        <v>74</v>
      </c>
      <c r="N96" s="10">
        <v>45587</v>
      </c>
      <c r="O96" s="10">
        <v>45609</v>
      </c>
      <c r="P96" s="37">
        <v>14</v>
      </c>
      <c r="Q96" s="10">
        <v>45587</v>
      </c>
      <c r="R96" s="9">
        <v>45602</v>
      </c>
      <c r="S96" s="43">
        <v>45609</v>
      </c>
      <c r="T96" s="2">
        <v>15</v>
      </c>
      <c r="U96" s="9">
        <v>45610</v>
      </c>
      <c r="V96" s="2">
        <v>22</v>
      </c>
      <c r="W96" s="38">
        <v>14</v>
      </c>
      <c r="X96" s="13">
        <v>-62</v>
      </c>
      <c r="Y96" s="2"/>
      <c r="Z96" s="12"/>
      <c r="AA96" s="64"/>
      <c r="AB96" s="88" t="s">
        <v>31</v>
      </c>
      <c r="AC96" s="2"/>
    </row>
    <row r="97" spans="1:29" ht="28.5" x14ac:dyDescent="0.2">
      <c r="A97" s="2">
        <v>96</v>
      </c>
      <c r="B97" s="2">
        <v>29</v>
      </c>
      <c r="C97" s="36" t="s">
        <v>31</v>
      </c>
      <c r="D97" s="2" t="s">
        <v>31</v>
      </c>
      <c r="E97" s="2" t="s">
        <v>32</v>
      </c>
      <c r="F97" s="2" t="s">
        <v>45</v>
      </c>
      <c r="G97" s="2" t="s">
        <v>70</v>
      </c>
      <c r="H97" s="2" t="s">
        <v>19</v>
      </c>
      <c r="I97" s="7">
        <v>40054408</v>
      </c>
      <c r="J97" s="3" t="s">
        <v>663</v>
      </c>
      <c r="K97" s="3"/>
      <c r="L97" s="2" t="s">
        <v>49</v>
      </c>
      <c r="M97" s="15" t="s">
        <v>74</v>
      </c>
      <c r="N97" s="10">
        <v>45590</v>
      </c>
      <c r="O97" s="10">
        <v>45617</v>
      </c>
      <c r="P97" s="37" t="s">
        <v>686</v>
      </c>
      <c r="Q97" s="10">
        <v>45590</v>
      </c>
      <c r="R97" s="9">
        <v>45605</v>
      </c>
      <c r="S97" s="43">
        <v>45617</v>
      </c>
      <c r="T97" s="2">
        <v>15</v>
      </c>
      <c r="U97" s="9">
        <v>45615</v>
      </c>
      <c r="V97" s="2">
        <v>-45590</v>
      </c>
      <c r="W97" s="38" t="s">
        <v>686</v>
      </c>
      <c r="X97" s="13">
        <v>-57</v>
      </c>
      <c r="Y97" s="2"/>
      <c r="Z97" s="12"/>
      <c r="AA97" s="64"/>
      <c r="AB97" s="88"/>
      <c r="AC97" s="2"/>
    </row>
    <row r="98" spans="1:29" ht="28.5" hidden="1" x14ac:dyDescent="0.2">
      <c r="A98" s="2">
        <v>97</v>
      </c>
      <c r="B98" s="2">
        <v>29</v>
      </c>
      <c r="C98" s="36" t="s">
        <v>31</v>
      </c>
      <c r="D98" s="2" t="s">
        <v>31</v>
      </c>
      <c r="E98" s="2" t="s">
        <v>31</v>
      </c>
      <c r="F98" s="2"/>
      <c r="G98" s="2"/>
      <c r="H98" s="2" t="s">
        <v>78</v>
      </c>
      <c r="I98" s="7">
        <v>40066926</v>
      </c>
      <c r="J98" s="3" t="s">
        <v>664</v>
      </c>
      <c r="K98" s="3">
        <v>1409019000</v>
      </c>
      <c r="L98" s="2" t="s">
        <v>49</v>
      </c>
      <c r="M98" s="15" t="s">
        <v>62</v>
      </c>
      <c r="N98" s="10">
        <v>45573</v>
      </c>
      <c r="O98" s="10">
        <v>45610</v>
      </c>
      <c r="P98" s="37">
        <v>25</v>
      </c>
      <c r="Q98" s="10">
        <v>45624</v>
      </c>
      <c r="R98" s="9">
        <v>45639</v>
      </c>
      <c r="S98" s="43">
        <v>45610</v>
      </c>
      <c r="T98" s="2">
        <v>15</v>
      </c>
      <c r="U98" s="9">
        <v>45645</v>
      </c>
      <c r="V98" s="2">
        <v>-14</v>
      </c>
      <c r="W98" s="38" t="s">
        <v>686</v>
      </c>
      <c r="X98" s="13">
        <v>-27</v>
      </c>
      <c r="Y98" s="2" t="s">
        <v>677</v>
      </c>
      <c r="Z98" s="12" t="s">
        <v>172</v>
      </c>
      <c r="AA98" s="64">
        <v>401096</v>
      </c>
      <c r="AB98" s="88" t="s">
        <v>31</v>
      </c>
      <c r="AC98" s="2" t="s">
        <v>457</v>
      </c>
    </row>
    <row r="99" spans="1:29" ht="28.5" hidden="1" x14ac:dyDescent="0.2">
      <c r="A99" s="2">
        <v>98</v>
      </c>
      <c r="B99" s="2">
        <v>31</v>
      </c>
      <c r="C99" s="36" t="s">
        <v>32</v>
      </c>
      <c r="D99" s="2" t="s">
        <v>31</v>
      </c>
      <c r="E99" s="2" t="s">
        <v>32</v>
      </c>
      <c r="F99" s="3" t="s">
        <v>47</v>
      </c>
      <c r="G99" s="2" t="s">
        <v>54</v>
      </c>
      <c r="H99" s="2" t="s">
        <v>407</v>
      </c>
      <c r="I99" s="7">
        <v>40013816</v>
      </c>
      <c r="J99" s="3" t="s">
        <v>180</v>
      </c>
      <c r="K99" s="3"/>
      <c r="L99" s="2" t="s">
        <v>49</v>
      </c>
      <c r="M99" s="15" t="s">
        <v>74</v>
      </c>
      <c r="N99" s="10">
        <v>45602</v>
      </c>
      <c r="O99" s="10">
        <v>45625</v>
      </c>
      <c r="P99" s="37">
        <v>17</v>
      </c>
      <c r="Q99" s="10">
        <v>45602</v>
      </c>
      <c r="R99" s="9">
        <v>45617</v>
      </c>
      <c r="S99" s="43">
        <v>45625</v>
      </c>
      <c r="T99" s="2">
        <v>15</v>
      </c>
      <c r="U99" s="9">
        <v>45623</v>
      </c>
      <c r="V99" s="2">
        <v>23</v>
      </c>
      <c r="W99" s="38">
        <v>17</v>
      </c>
      <c r="X99" s="13">
        <v>-49</v>
      </c>
      <c r="Y99" s="2"/>
      <c r="Z99" s="12"/>
      <c r="AA99" s="64"/>
      <c r="AB99" s="88" t="s">
        <v>31</v>
      </c>
      <c r="AC99" s="2"/>
    </row>
    <row r="100" spans="1:29" ht="28.5" hidden="1" x14ac:dyDescent="0.2">
      <c r="A100" s="2">
        <v>99</v>
      </c>
      <c r="B100" s="2">
        <v>31</v>
      </c>
      <c r="C100" s="36" t="s">
        <v>32</v>
      </c>
      <c r="D100" s="2" t="s">
        <v>32</v>
      </c>
      <c r="E100" s="2" t="s">
        <v>32</v>
      </c>
      <c r="F100" s="2" t="s">
        <v>45</v>
      </c>
      <c r="G100" s="2" t="s">
        <v>88</v>
      </c>
      <c r="H100" s="2" t="s">
        <v>77</v>
      </c>
      <c r="I100" s="7">
        <v>40003812</v>
      </c>
      <c r="J100" s="3" t="s">
        <v>668</v>
      </c>
      <c r="K100" s="3">
        <v>480876000</v>
      </c>
      <c r="L100" s="2" t="s">
        <v>49</v>
      </c>
      <c r="M100" s="17" t="s">
        <v>62</v>
      </c>
      <c r="N100" s="10"/>
      <c r="O100" s="10"/>
      <c r="P100" s="37" t="s">
        <v>686</v>
      </c>
      <c r="Q100" s="10">
        <v>45589</v>
      </c>
      <c r="R100" s="9">
        <v>45599</v>
      </c>
      <c r="S100" s="43">
        <v>45602</v>
      </c>
      <c r="T100" s="2">
        <v>10</v>
      </c>
      <c r="U100" s="9">
        <v>45607</v>
      </c>
      <c r="V100" s="2">
        <v>13</v>
      </c>
      <c r="W100" s="38">
        <v>7</v>
      </c>
      <c r="X100" s="13">
        <v>-65</v>
      </c>
      <c r="Y100" s="2" t="s">
        <v>307</v>
      </c>
      <c r="Z100" s="2" t="s">
        <v>314</v>
      </c>
      <c r="AA100" s="64">
        <v>381</v>
      </c>
      <c r="AB100" s="88" t="s">
        <v>32</v>
      </c>
      <c r="AC100" s="2"/>
    </row>
    <row r="101" spans="1:29" ht="28.5" hidden="1" x14ac:dyDescent="0.2">
      <c r="A101" s="2">
        <v>100</v>
      </c>
      <c r="B101" s="2">
        <v>29</v>
      </c>
      <c r="C101" s="36" t="s">
        <v>31</v>
      </c>
      <c r="D101" s="2" t="s">
        <v>31</v>
      </c>
      <c r="E101" s="2" t="s">
        <v>31</v>
      </c>
      <c r="F101" s="2" t="s">
        <v>42</v>
      </c>
      <c r="G101" s="2" t="s">
        <v>44</v>
      </c>
      <c r="H101" s="2" t="s">
        <v>102</v>
      </c>
      <c r="I101" s="7">
        <v>40068223</v>
      </c>
      <c r="J101" s="3" t="s">
        <v>672</v>
      </c>
      <c r="K101" s="3"/>
      <c r="L101" s="2" t="s">
        <v>49</v>
      </c>
      <c r="M101" s="15" t="s">
        <v>74</v>
      </c>
      <c r="N101" s="10">
        <v>45609</v>
      </c>
      <c r="O101" s="10">
        <v>45625</v>
      </c>
      <c r="P101" s="37">
        <v>12</v>
      </c>
      <c r="Q101" s="10">
        <v>45609</v>
      </c>
      <c r="R101" s="9">
        <v>45624</v>
      </c>
      <c r="S101" s="43">
        <v>45625</v>
      </c>
      <c r="T101" s="2">
        <v>15</v>
      </c>
      <c r="U101" s="9">
        <v>45630</v>
      </c>
      <c r="V101" s="2">
        <v>16</v>
      </c>
      <c r="W101" s="38">
        <v>12</v>
      </c>
      <c r="X101" s="13">
        <v>-42</v>
      </c>
      <c r="Y101" s="2"/>
      <c r="Z101" s="12"/>
      <c r="AA101" s="64"/>
      <c r="AB101" s="88" t="s">
        <v>31</v>
      </c>
      <c r="AC101" s="2"/>
    </row>
    <row r="102" spans="1:29" ht="28.5" hidden="1" x14ac:dyDescent="0.2">
      <c r="A102" s="2">
        <v>101</v>
      </c>
      <c r="B102" s="2">
        <v>29</v>
      </c>
      <c r="C102" s="36" t="s">
        <v>31</v>
      </c>
      <c r="D102" s="2" t="s">
        <v>31</v>
      </c>
      <c r="E102" s="2" t="s">
        <v>31</v>
      </c>
      <c r="F102" s="2"/>
      <c r="G102" s="2"/>
      <c r="H102" s="2" t="s">
        <v>674</v>
      </c>
      <c r="I102" s="7">
        <v>40064831</v>
      </c>
      <c r="J102" s="3" t="s">
        <v>673</v>
      </c>
      <c r="K102" s="3"/>
      <c r="L102" s="2" t="s">
        <v>49</v>
      </c>
      <c r="M102" s="15" t="s">
        <v>74</v>
      </c>
      <c r="N102" s="10">
        <v>45614</v>
      </c>
      <c r="O102" s="10">
        <v>45625</v>
      </c>
      <c r="P102" s="37" t="s">
        <v>686</v>
      </c>
      <c r="Q102" s="10">
        <v>45614</v>
      </c>
      <c r="R102" s="9">
        <v>45629</v>
      </c>
      <c r="S102" s="43">
        <v>45625</v>
      </c>
      <c r="T102" s="2">
        <v>15</v>
      </c>
      <c r="U102" s="9">
        <v>45635</v>
      </c>
      <c r="V102" s="2">
        <v>-45614</v>
      </c>
      <c r="W102" s="38" t="s">
        <v>686</v>
      </c>
      <c r="X102" s="13">
        <v>-37</v>
      </c>
      <c r="Y102" s="2"/>
      <c r="Z102" s="12"/>
      <c r="AA102" s="64"/>
      <c r="AB102" s="88" t="s">
        <v>31</v>
      </c>
      <c r="AC102" s="2"/>
    </row>
    <row r="103" spans="1:29" ht="28.5" hidden="1" x14ac:dyDescent="0.2">
      <c r="A103" s="2">
        <v>102</v>
      </c>
      <c r="B103" s="2">
        <v>31</v>
      </c>
      <c r="C103" s="36" t="s">
        <v>31</v>
      </c>
      <c r="D103" s="2" t="s">
        <v>31</v>
      </c>
      <c r="E103" s="2" t="s">
        <v>32</v>
      </c>
      <c r="F103" s="2" t="s">
        <v>45</v>
      </c>
      <c r="G103" s="2" t="s">
        <v>55</v>
      </c>
      <c r="H103" s="2" t="s">
        <v>4</v>
      </c>
      <c r="I103" s="7">
        <v>40055334</v>
      </c>
      <c r="J103" s="3" t="s">
        <v>486</v>
      </c>
      <c r="K103" s="3"/>
      <c r="L103" s="2" t="s">
        <v>49</v>
      </c>
      <c r="M103" s="15" t="s">
        <v>74</v>
      </c>
      <c r="N103" s="10">
        <v>45611</v>
      </c>
      <c r="O103" s="10">
        <v>45631</v>
      </c>
      <c r="P103" s="37">
        <v>14</v>
      </c>
      <c r="Q103" s="10">
        <v>45611</v>
      </c>
      <c r="R103" s="9">
        <v>45626</v>
      </c>
      <c r="S103" s="43">
        <v>45631</v>
      </c>
      <c r="T103" s="2">
        <v>15</v>
      </c>
      <c r="U103" s="9">
        <v>45632</v>
      </c>
      <c r="V103" s="2">
        <v>20</v>
      </c>
      <c r="W103" s="38">
        <v>14</v>
      </c>
      <c r="X103" s="13">
        <v>-40</v>
      </c>
      <c r="Y103" s="3"/>
      <c r="Z103" s="48"/>
      <c r="AA103" s="64"/>
      <c r="AB103" s="88" t="s">
        <v>31</v>
      </c>
      <c r="AC103" s="57"/>
    </row>
    <row r="104" spans="1:29" ht="28.5" hidden="1" x14ac:dyDescent="0.2">
      <c r="A104" s="2">
        <v>103</v>
      </c>
      <c r="B104" s="2">
        <v>29</v>
      </c>
      <c r="C104" s="36" t="s">
        <v>31</v>
      </c>
      <c r="D104" s="2" t="s">
        <v>31</v>
      </c>
      <c r="E104" s="2" t="s">
        <v>32</v>
      </c>
      <c r="F104" s="2" t="s">
        <v>45</v>
      </c>
      <c r="G104" s="2" t="s">
        <v>648</v>
      </c>
      <c r="H104" s="2" t="s">
        <v>78</v>
      </c>
      <c r="I104" s="7">
        <v>40054197</v>
      </c>
      <c r="J104" s="3" t="s">
        <v>675</v>
      </c>
      <c r="K104" s="3">
        <v>2674925000</v>
      </c>
      <c r="L104" s="2" t="s">
        <v>49</v>
      </c>
      <c r="M104" s="15" t="s">
        <v>62</v>
      </c>
      <c r="N104" s="10">
        <v>45628</v>
      </c>
      <c r="O104" s="10">
        <v>45653</v>
      </c>
      <c r="P104" s="37">
        <v>18</v>
      </c>
      <c r="Q104" s="10">
        <v>45628</v>
      </c>
      <c r="R104" s="9">
        <v>45643</v>
      </c>
      <c r="S104" s="43">
        <v>45653</v>
      </c>
      <c r="T104" s="2">
        <v>15</v>
      </c>
      <c r="U104" s="9">
        <v>45649</v>
      </c>
      <c r="V104" s="2">
        <v>25</v>
      </c>
      <c r="W104" s="38">
        <v>18</v>
      </c>
      <c r="X104" s="13">
        <v>-23</v>
      </c>
      <c r="Y104" s="3" t="s">
        <v>679</v>
      </c>
      <c r="Z104" s="12" t="s">
        <v>172</v>
      </c>
      <c r="AA104" s="64">
        <v>426401</v>
      </c>
      <c r="AB104" s="88" t="s">
        <v>31</v>
      </c>
      <c r="AC104" s="2" t="s">
        <v>457</v>
      </c>
    </row>
    <row r="105" spans="1:29" ht="28.5" hidden="1" x14ac:dyDescent="0.2">
      <c r="A105" s="2">
        <v>104</v>
      </c>
      <c r="B105" s="2">
        <v>31</v>
      </c>
      <c r="C105" s="36" t="s">
        <v>31</v>
      </c>
      <c r="D105" s="2" t="s">
        <v>31</v>
      </c>
      <c r="E105" s="2" t="s">
        <v>31</v>
      </c>
      <c r="F105" s="2" t="s">
        <v>42</v>
      </c>
      <c r="G105" s="2" t="s">
        <v>3</v>
      </c>
      <c r="H105" s="2" t="s">
        <v>16</v>
      </c>
      <c r="I105" s="7">
        <v>40064446</v>
      </c>
      <c r="J105" s="3" t="s">
        <v>676</v>
      </c>
      <c r="K105" s="3"/>
      <c r="L105" s="2" t="s">
        <v>49</v>
      </c>
      <c r="M105" s="15" t="s">
        <v>74</v>
      </c>
      <c r="N105" s="10">
        <v>45632</v>
      </c>
      <c r="O105" s="10">
        <v>45645</v>
      </c>
      <c r="P105" s="37">
        <v>9</v>
      </c>
      <c r="Q105" s="10">
        <v>45632</v>
      </c>
      <c r="R105" s="9">
        <v>45647</v>
      </c>
      <c r="S105" s="43">
        <v>45645</v>
      </c>
      <c r="T105" s="2">
        <v>15</v>
      </c>
      <c r="U105" s="9">
        <v>45656</v>
      </c>
      <c r="V105" s="2">
        <v>-1</v>
      </c>
      <c r="W105" s="38" t="s">
        <v>686</v>
      </c>
      <c r="X105" s="13">
        <v>-16</v>
      </c>
      <c r="Y105" s="3"/>
      <c r="Z105" s="2" t="s">
        <v>154</v>
      </c>
      <c r="AA105" s="65"/>
      <c r="AB105" s="88" t="s">
        <v>31</v>
      </c>
      <c r="AC105" s="57"/>
    </row>
    <row r="106" spans="1:29" ht="28.5" hidden="1" x14ac:dyDescent="0.2">
      <c r="A106" s="2">
        <v>105</v>
      </c>
      <c r="B106" s="2">
        <v>31</v>
      </c>
      <c r="C106" s="36" t="s">
        <v>32</v>
      </c>
      <c r="D106" s="2" t="s">
        <v>32</v>
      </c>
      <c r="E106" s="2" t="s">
        <v>32</v>
      </c>
      <c r="F106" s="2" t="s">
        <v>42</v>
      </c>
      <c r="G106" s="2" t="s">
        <v>3</v>
      </c>
      <c r="H106" s="2" t="s">
        <v>16</v>
      </c>
      <c r="I106" s="7">
        <v>40018788</v>
      </c>
      <c r="J106" s="3" t="s">
        <v>678</v>
      </c>
      <c r="K106" s="3">
        <v>633888000</v>
      </c>
      <c r="L106" s="2" t="s">
        <v>49</v>
      </c>
      <c r="M106" s="17" t="s">
        <v>86</v>
      </c>
      <c r="N106" s="10"/>
      <c r="O106" s="10"/>
      <c r="P106" s="37" t="s">
        <v>686</v>
      </c>
      <c r="Q106" s="10">
        <v>45649</v>
      </c>
      <c r="R106" s="9">
        <v>45659</v>
      </c>
      <c r="S106" s="43"/>
      <c r="T106" s="2">
        <v>10</v>
      </c>
      <c r="U106" s="9">
        <v>45664</v>
      </c>
      <c r="V106" s="2">
        <v>-45649</v>
      </c>
      <c r="W106" s="38" t="s">
        <v>686</v>
      </c>
      <c r="X106" s="13">
        <v>-8</v>
      </c>
      <c r="Y106" s="2" t="s">
        <v>341</v>
      </c>
      <c r="Z106" s="2" t="s">
        <v>154</v>
      </c>
      <c r="AA106" s="65">
        <v>608</v>
      </c>
      <c r="AB106" s="88" t="s">
        <v>32</v>
      </c>
      <c r="AC106" s="3" t="s">
        <v>366</v>
      </c>
    </row>
    <row r="110" spans="1:29" ht="30.75" customHeight="1" x14ac:dyDescent="0.2">
      <c r="N110" s="19">
        <f>3990/1.19</f>
        <v>3352.9411764705883</v>
      </c>
      <c r="S110" s="19">
        <f>3915*1.19</f>
        <v>4658.8499999999995</v>
      </c>
    </row>
  </sheetData>
  <autoFilter ref="A1:AC106" xr:uid="{00000000-0009-0000-0000-000002000000}">
    <filterColumn colId="6">
      <filters>
        <filter val="Maullín"/>
      </filters>
    </filterColumn>
  </autoFilter>
  <conditionalFormatting sqref="C1:C1048576">
    <cfRule type="containsText" dxfId="486" priority="29" operator="containsText" text="NO">
      <formula>NOT(ISERROR(SEARCH("NO",C1)))</formula>
    </cfRule>
    <cfRule type="containsText" dxfId="485" priority="30" operator="containsText" text="SI">
      <formula>NOT(ISERROR(SEARCH("SI",C1)))</formula>
    </cfRule>
  </conditionalFormatting>
  <conditionalFormatting sqref="C2:E106">
    <cfRule type="cellIs" dxfId="484" priority="370" operator="equal">
      <formula>"SI"</formula>
    </cfRule>
    <cfRule type="cellIs" dxfId="483" priority="371" operator="equal">
      <formula>"NO"</formula>
    </cfRule>
  </conditionalFormatting>
  <conditionalFormatting sqref="I1">
    <cfRule type="duplicateValues" dxfId="482" priority="3790"/>
  </conditionalFormatting>
  <conditionalFormatting sqref="I1:I79">
    <cfRule type="duplicateValues" dxfId="481" priority="3792"/>
  </conditionalFormatting>
  <conditionalFormatting sqref="I1:I91">
    <cfRule type="duplicateValues" dxfId="480" priority="3789"/>
  </conditionalFormatting>
  <conditionalFormatting sqref="I2">
    <cfRule type="duplicateValues" dxfId="479" priority="951"/>
    <cfRule type="duplicateValues" dxfId="478" priority="952"/>
    <cfRule type="duplicateValues" dxfId="477" priority="953"/>
  </conditionalFormatting>
  <conditionalFormatting sqref="I3">
    <cfRule type="duplicateValues" dxfId="476" priority="939"/>
    <cfRule type="duplicateValues" dxfId="475" priority="940"/>
    <cfRule type="duplicateValues" dxfId="474" priority="941"/>
  </conditionalFormatting>
  <conditionalFormatting sqref="I4">
    <cfRule type="duplicateValues" dxfId="473" priority="1194"/>
    <cfRule type="duplicateValues" dxfId="472" priority="1195"/>
  </conditionalFormatting>
  <conditionalFormatting sqref="I6">
    <cfRule type="duplicateValues" dxfId="471" priority="1176"/>
    <cfRule type="duplicateValues" dxfId="470" priority="1177"/>
    <cfRule type="duplicateValues" dxfId="469" priority="1178"/>
  </conditionalFormatting>
  <conditionalFormatting sqref="I7">
    <cfRule type="duplicateValues" dxfId="468" priority="948"/>
    <cfRule type="duplicateValues" dxfId="467" priority="949"/>
    <cfRule type="duplicateValues" dxfId="466" priority="950"/>
  </conditionalFormatting>
  <conditionalFormatting sqref="I8">
    <cfRule type="duplicateValues" dxfId="465" priority="1151"/>
    <cfRule type="duplicateValues" dxfId="464" priority="1152"/>
    <cfRule type="duplicateValues" dxfId="463" priority="1153"/>
  </conditionalFormatting>
  <conditionalFormatting sqref="I9">
    <cfRule type="duplicateValues" dxfId="462" priority="945"/>
    <cfRule type="duplicateValues" dxfId="461" priority="946"/>
    <cfRule type="duplicateValues" dxfId="460" priority="947"/>
  </conditionalFormatting>
  <conditionalFormatting sqref="I10">
    <cfRule type="duplicateValues" dxfId="459" priority="1128"/>
    <cfRule type="duplicateValues" dxfId="458" priority="1129"/>
  </conditionalFormatting>
  <conditionalFormatting sqref="I11">
    <cfRule type="duplicateValues" dxfId="457" priority="942"/>
    <cfRule type="duplicateValues" dxfId="456" priority="943"/>
    <cfRule type="duplicateValues" dxfId="455" priority="944"/>
  </conditionalFormatting>
  <conditionalFormatting sqref="I12">
    <cfRule type="duplicateValues" dxfId="454" priority="1104"/>
    <cfRule type="duplicateValues" dxfId="453" priority="1105"/>
  </conditionalFormatting>
  <conditionalFormatting sqref="I15">
    <cfRule type="duplicateValues" dxfId="452" priority="937"/>
    <cfRule type="duplicateValues" dxfId="451" priority="938"/>
  </conditionalFormatting>
  <conditionalFormatting sqref="I16">
    <cfRule type="duplicateValues" dxfId="450" priority="1068"/>
    <cfRule type="duplicateValues" dxfId="449" priority="1069"/>
  </conditionalFormatting>
  <conditionalFormatting sqref="I17">
    <cfRule type="duplicateValues" dxfId="448" priority="1030"/>
    <cfRule type="duplicateValues" dxfId="447" priority="1031"/>
  </conditionalFormatting>
  <conditionalFormatting sqref="I18">
    <cfRule type="duplicateValues" dxfId="446" priority="1044"/>
    <cfRule type="duplicateValues" dxfId="445" priority="1045"/>
  </conditionalFormatting>
  <conditionalFormatting sqref="I19">
    <cfRule type="duplicateValues" dxfId="444" priority="935"/>
    <cfRule type="duplicateValues" dxfId="443" priority="936"/>
  </conditionalFormatting>
  <conditionalFormatting sqref="I20">
    <cfRule type="duplicateValues" dxfId="442" priority="1007"/>
    <cfRule type="duplicateValues" dxfId="441" priority="1008"/>
  </conditionalFormatting>
  <conditionalFormatting sqref="I21">
    <cfRule type="duplicateValues" dxfId="440" priority="995"/>
    <cfRule type="duplicateValues" dxfId="439" priority="996"/>
  </conditionalFormatting>
  <conditionalFormatting sqref="I22">
    <cfRule type="duplicateValues" dxfId="438" priority="973"/>
    <cfRule type="duplicateValues" dxfId="437" priority="974"/>
    <cfRule type="duplicateValues" dxfId="436" priority="975"/>
  </conditionalFormatting>
  <conditionalFormatting sqref="I23">
    <cfRule type="duplicateValues" dxfId="435" priority="959"/>
    <cfRule type="duplicateValues" dxfId="434" priority="960"/>
    <cfRule type="duplicateValues" dxfId="433" priority="961"/>
    <cfRule type="duplicateValues" dxfId="432" priority="962"/>
  </conditionalFormatting>
  <conditionalFormatting sqref="I25">
    <cfRule type="duplicateValues" dxfId="431" priority="919"/>
    <cfRule type="duplicateValues" dxfId="430" priority="920"/>
  </conditionalFormatting>
  <conditionalFormatting sqref="I25:I80">
    <cfRule type="duplicateValues" dxfId="429" priority="3791"/>
  </conditionalFormatting>
  <conditionalFormatting sqref="I26">
    <cfRule type="duplicateValues" dxfId="428" priority="907"/>
    <cfRule type="duplicateValues" dxfId="427" priority="908"/>
  </conditionalFormatting>
  <conditionalFormatting sqref="I27">
    <cfRule type="duplicateValues" dxfId="426" priority="895"/>
    <cfRule type="duplicateValues" dxfId="425" priority="896"/>
  </conditionalFormatting>
  <conditionalFormatting sqref="I28">
    <cfRule type="duplicateValues" dxfId="424" priority="883"/>
    <cfRule type="duplicateValues" dxfId="423" priority="884"/>
  </conditionalFormatting>
  <conditionalFormatting sqref="I29">
    <cfRule type="duplicateValues" dxfId="422" priority="871"/>
    <cfRule type="duplicateValues" dxfId="421" priority="872"/>
  </conditionalFormatting>
  <conditionalFormatting sqref="I30">
    <cfRule type="duplicateValues" dxfId="420" priority="853"/>
    <cfRule type="duplicateValues" dxfId="419" priority="854"/>
  </conditionalFormatting>
  <conditionalFormatting sqref="I31">
    <cfRule type="duplicateValues" dxfId="418" priority="841"/>
    <cfRule type="duplicateValues" dxfId="417" priority="842"/>
  </conditionalFormatting>
  <conditionalFormatting sqref="I34">
    <cfRule type="duplicateValues" dxfId="416" priority="809"/>
    <cfRule type="duplicateValues" dxfId="415" priority="810"/>
    <cfRule type="duplicateValues" dxfId="414" priority="811"/>
    <cfRule type="duplicateValues" dxfId="413" priority="812"/>
  </conditionalFormatting>
  <conditionalFormatting sqref="I35">
    <cfRule type="duplicateValues" dxfId="412" priority="794"/>
    <cfRule type="duplicateValues" dxfId="411" priority="795"/>
    <cfRule type="duplicateValues" dxfId="410" priority="796"/>
    <cfRule type="duplicateValues" dxfId="409" priority="799"/>
    <cfRule type="duplicateValues" dxfId="408" priority="800"/>
    <cfRule type="duplicateValues" dxfId="407" priority="801"/>
  </conditionalFormatting>
  <conditionalFormatting sqref="I36">
    <cfRule type="duplicateValues" dxfId="406" priority="785"/>
    <cfRule type="duplicateValues" dxfId="405" priority="786"/>
  </conditionalFormatting>
  <conditionalFormatting sqref="I37">
    <cfRule type="duplicateValues" dxfId="404" priority="776"/>
    <cfRule type="duplicateValues" dxfId="403" priority="777"/>
  </conditionalFormatting>
  <conditionalFormatting sqref="I38">
    <cfRule type="duplicateValues" dxfId="402" priority="767"/>
    <cfRule type="duplicateValues" dxfId="401" priority="768"/>
    <cfRule type="duplicateValues" dxfId="400" priority="769"/>
    <cfRule type="duplicateValues" dxfId="399" priority="770"/>
  </conditionalFormatting>
  <conditionalFormatting sqref="I39">
    <cfRule type="duplicateValues" dxfId="398" priority="751"/>
    <cfRule type="duplicateValues" dxfId="397" priority="752"/>
  </conditionalFormatting>
  <conditionalFormatting sqref="I40">
    <cfRule type="duplicateValues" dxfId="396" priority="736"/>
    <cfRule type="duplicateValues" dxfId="395" priority="737"/>
  </conditionalFormatting>
  <conditionalFormatting sqref="I41">
    <cfRule type="duplicateValues" dxfId="394" priority="727"/>
    <cfRule type="duplicateValues" dxfId="393" priority="728"/>
  </conditionalFormatting>
  <conditionalFormatting sqref="I42">
    <cfRule type="duplicateValues" dxfId="392" priority="708"/>
    <cfRule type="duplicateValues" dxfId="391" priority="709"/>
  </conditionalFormatting>
  <conditionalFormatting sqref="I43">
    <cfRule type="duplicateValues" dxfId="390" priority="699"/>
    <cfRule type="duplicateValues" dxfId="389" priority="700"/>
  </conditionalFormatting>
  <conditionalFormatting sqref="I44">
    <cfRule type="duplicateValues" dxfId="388" priority="687"/>
    <cfRule type="duplicateValues" dxfId="387" priority="688"/>
  </conditionalFormatting>
  <conditionalFormatting sqref="I45">
    <cfRule type="duplicateValues" dxfId="386" priority="678"/>
    <cfRule type="duplicateValues" dxfId="385" priority="679"/>
  </conditionalFormatting>
  <conditionalFormatting sqref="I46">
    <cfRule type="duplicateValues" dxfId="384" priority="666"/>
    <cfRule type="duplicateValues" dxfId="383" priority="667"/>
  </conditionalFormatting>
  <conditionalFormatting sqref="I47">
    <cfRule type="duplicateValues" dxfId="382" priority="654"/>
    <cfRule type="duplicateValues" dxfId="381" priority="655"/>
  </conditionalFormatting>
  <conditionalFormatting sqref="I48">
    <cfRule type="duplicateValues" dxfId="380" priority="642"/>
    <cfRule type="duplicateValues" dxfId="379" priority="643"/>
  </conditionalFormatting>
  <conditionalFormatting sqref="I49">
    <cfRule type="duplicateValues" dxfId="378" priority="631"/>
    <cfRule type="duplicateValues" dxfId="377" priority="632"/>
    <cfRule type="duplicateValues" dxfId="376" priority="633"/>
  </conditionalFormatting>
  <conditionalFormatting sqref="I50">
    <cfRule type="duplicateValues" dxfId="375" priority="617"/>
    <cfRule type="duplicateValues" dxfId="374" priority="618"/>
  </conditionalFormatting>
  <conditionalFormatting sqref="I51">
    <cfRule type="duplicateValues" dxfId="373" priority="605"/>
    <cfRule type="duplicateValues" dxfId="372" priority="606"/>
  </conditionalFormatting>
  <conditionalFormatting sqref="I52">
    <cfRule type="duplicateValues" dxfId="371" priority="594"/>
    <cfRule type="duplicateValues" dxfId="370" priority="595"/>
    <cfRule type="duplicateValues" dxfId="369" priority="596"/>
  </conditionalFormatting>
  <conditionalFormatting sqref="I53">
    <cfRule type="duplicateValues" dxfId="368" priority="579"/>
    <cfRule type="duplicateValues" dxfId="367" priority="580"/>
    <cfRule type="duplicateValues" dxfId="366" priority="581"/>
  </conditionalFormatting>
  <conditionalFormatting sqref="I54">
    <cfRule type="duplicateValues" dxfId="365" priority="566"/>
    <cfRule type="duplicateValues" dxfId="364" priority="567"/>
    <cfRule type="duplicateValues" dxfId="363" priority="568"/>
  </conditionalFormatting>
  <conditionalFormatting sqref="I55">
    <cfRule type="duplicateValues" dxfId="362" priority="553"/>
    <cfRule type="duplicateValues" dxfId="361" priority="554"/>
    <cfRule type="duplicateValues" dxfId="360" priority="555"/>
  </conditionalFormatting>
  <conditionalFormatting sqref="I56">
    <cfRule type="duplicateValues" dxfId="359" priority="542"/>
    <cfRule type="duplicateValues" dxfId="358" priority="543"/>
    <cfRule type="duplicateValues" dxfId="357" priority="544"/>
  </conditionalFormatting>
  <conditionalFormatting sqref="I57">
    <cfRule type="duplicateValues" dxfId="356" priority="517"/>
    <cfRule type="duplicateValues" dxfId="355" priority="518"/>
    <cfRule type="duplicateValues" dxfId="354" priority="519"/>
  </conditionalFormatting>
  <conditionalFormatting sqref="I63">
    <cfRule type="duplicateValues" dxfId="353" priority="469"/>
    <cfRule type="duplicateValues" dxfId="352" priority="470"/>
    <cfRule type="duplicateValues" dxfId="351" priority="471"/>
  </conditionalFormatting>
  <conditionalFormatting sqref="I67">
    <cfRule type="duplicateValues" dxfId="350" priority="444"/>
    <cfRule type="duplicateValues" dxfId="349" priority="445"/>
    <cfRule type="duplicateValues" dxfId="348" priority="446"/>
  </conditionalFormatting>
  <conditionalFormatting sqref="I71">
    <cfRule type="duplicateValues" dxfId="347" priority="385"/>
    <cfRule type="duplicateValues" dxfId="346" priority="386"/>
  </conditionalFormatting>
  <conditionalFormatting sqref="I72">
    <cfRule type="duplicateValues" dxfId="345" priority="377"/>
    <cfRule type="duplicateValues" dxfId="344" priority="378"/>
    <cfRule type="duplicateValues" dxfId="343" priority="379"/>
  </conditionalFormatting>
  <conditionalFormatting sqref="I79">
    <cfRule type="duplicateValues" dxfId="342" priority="302"/>
    <cfRule type="duplicateValues" dxfId="341" priority="303"/>
  </conditionalFormatting>
  <conditionalFormatting sqref="I80">
    <cfRule type="duplicateValues" dxfId="340" priority="286"/>
    <cfRule type="duplicateValues" dxfId="339" priority="287"/>
    <cfRule type="duplicateValues" dxfId="338" priority="288"/>
  </conditionalFormatting>
  <conditionalFormatting sqref="I81:I82">
    <cfRule type="duplicateValues" dxfId="337" priority="261"/>
    <cfRule type="duplicateValues" dxfId="336" priority="262"/>
  </conditionalFormatting>
  <conditionalFormatting sqref="I83">
    <cfRule type="duplicateValues" dxfId="335" priority="250"/>
    <cfRule type="duplicateValues" dxfId="334" priority="251"/>
  </conditionalFormatting>
  <conditionalFormatting sqref="I84">
    <cfRule type="duplicateValues" dxfId="333" priority="238"/>
    <cfRule type="duplicateValues" dxfId="332" priority="239"/>
  </conditionalFormatting>
  <conditionalFormatting sqref="I85">
    <cfRule type="duplicateValues" dxfId="331" priority="226"/>
    <cfRule type="duplicateValues" dxfId="330" priority="227"/>
  </conditionalFormatting>
  <conditionalFormatting sqref="I86">
    <cfRule type="duplicateValues" dxfId="329" priority="215"/>
    <cfRule type="duplicateValues" dxfId="328" priority="216"/>
  </conditionalFormatting>
  <conditionalFormatting sqref="I87">
    <cfRule type="duplicateValues" dxfId="327" priority="206"/>
    <cfRule type="duplicateValues" dxfId="326" priority="207"/>
  </conditionalFormatting>
  <conditionalFormatting sqref="I88">
    <cfRule type="duplicateValues" dxfId="325" priority="198"/>
    <cfRule type="duplicateValues" dxfId="324" priority="199"/>
  </conditionalFormatting>
  <conditionalFormatting sqref="I89">
    <cfRule type="duplicateValues" dxfId="323" priority="196"/>
    <cfRule type="duplicateValues" dxfId="322" priority="197"/>
  </conditionalFormatting>
  <conditionalFormatting sqref="I90:I91">
    <cfRule type="duplicateValues" dxfId="321" priority="177"/>
    <cfRule type="duplicateValues" dxfId="320" priority="178"/>
  </conditionalFormatting>
  <conditionalFormatting sqref="I92">
    <cfRule type="duplicateValues" dxfId="319" priority="170"/>
    <cfRule type="duplicateValues" dxfId="318" priority="171"/>
    <cfRule type="duplicateValues" dxfId="317" priority="172"/>
  </conditionalFormatting>
  <conditionalFormatting sqref="I93">
    <cfRule type="duplicateValues" dxfId="316" priority="153"/>
    <cfRule type="duplicateValues" dxfId="315" priority="154"/>
    <cfRule type="duplicateValues" dxfId="314" priority="155"/>
  </conditionalFormatting>
  <conditionalFormatting sqref="I94">
    <cfRule type="duplicateValues" dxfId="313" priority="140"/>
    <cfRule type="duplicateValues" dxfId="312" priority="141"/>
    <cfRule type="duplicateValues" dxfId="311" priority="142"/>
  </conditionalFormatting>
  <conditionalFormatting sqref="I95">
    <cfRule type="duplicateValues" dxfId="310" priority="127"/>
    <cfRule type="duplicateValues" dxfId="309" priority="128"/>
    <cfRule type="duplicateValues" dxfId="308" priority="129"/>
  </conditionalFormatting>
  <conditionalFormatting sqref="I96">
    <cfRule type="duplicateValues" dxfId="307" priority="114"/>
    <cfRule type="duplicateValues" dxfId="306" priority="115"/>
    <cfRule type="duplicateValues" dxfId="305" priority="116"/>
  </conditionalFormatting>
  <conditionalFormatting sqref="I97">
    <cfRule type="duplicateValues" dxfId="304" priority="101"/>
    <cfRule type="duplicateValues" dxfId="303" priority="102"/>
    <cfRule type="duplicateValues" dxfId="302" priority="103"/>
  </conditionalFormatting>
  <conditionalFormatting sqref="I98:I99">
    <cfRule type="duplicateValues" dxfId="301" priority="88"/>
    <cfRule type="duplicateValues" dxfId="300" priority="89"/>
    <cfRule type="duplicateValues" dxfId="299" priority="90"/>
  </conditionalFormatting>
  <conditionalFormatting sqref="I101">
    <cfRule type="duplicateValues" dxfId="298" priority="66"/>
    <cfRule type="duplicateValues" dxfId="297" priority="67"/>
    <cfRule type="duplicateValues" dxfId="296" priority="70"/>
  </conditionalFormatting>
  <conditionalFormatting sqref="I102">
    <cfRule type="duplicateValues" dxfId="295" priority="56"/>
    <cfRule type="duplicateValues" dxfId="294" priority="57"/>
    <cfRule type="duplicateValues" dxfId="293" priority="58"/>
  </conditionalFormatting>
  <conditionalFormatting sqref="I103:I104">
    <cfRule type="duplicateValues" dxfId="292" priority="37"/>
    <cfRule type="duplicateValues" dxfId="291" priority="38"/>
  </conditionalFormatting>
  <conditionalFormatting sqref="I105">
    <cfRule type="duplicateValues" dxfId="290" priority="21"/>
    <cfRule type="duplicateValues" dxfId="289" priority="22"/>
  </conditionalFormatting>
  <conditionalFormatting sqref="I106">
    <cfRule type="duplicateValues" dxfId="288" priority="6"/>
    <cfRule type="duplicateValues" dxfId="287" priority="7"/>
    <cfRule type="duplicateValues" dxfId="286" priority="10"/>
    <cfRule type="duplicateValues" dxfId="285" priority="11"/>
    <cfRule type="duplicateValues" dxfId="284" priority="12"/>
  </conditionalFormatting>
  <conditionalFormatting sqref="X2:X106">
    <cfRule type="cellIs" dxfId="283" priority="13" operator="greaterThan">
      <formula>5</formula>
    </cfRule>
    <cfRule type="cellIs" dxfId="282" priority="14" operator="between">
      <formula>0</formula>
      <formula>5</formula>
    </cfRule>
    <cfRule type="cellIs" dxfId="281" priority="15" operator="lessThan">
      <formula>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74" orientation="landscape" r:id="rId1"/>
  <colBreaks count="1" manualBreakCount="1">
    <brk id="13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C118"/>
  <sheetViews>
    <sheetView view="pageBreakPreview" zoomScaleSheetLayoutView="100" workbookViewId="0">
      <pane ySplit="1" topLeftCell="A2" activePane="bottomLeft" state="frozen"/>
      <selection pane="bottomLeft" activeCell="A82" sqref="A82:IV82"/>
    </sheetView>
  </sheetViews>
  <sheetFormatPr baseColWidth="10" defaultColWidth="11.42578125" defaultRowHeight="30.75" customHeight="1" x14ac:dyDescent="0.2"/>
  <cols>
    <col min="1" max="1" width="4.5703125" style="19" customWidth="1"/>
    <col min="2" max="2" width="5.28515625" style="19" customWidth="1"/>
    <col min="3" max="3" width="6.7109375" style="39" customWidth="1"/>
    <col min="4" max="5" width="6.7109375" style="19" customWidth="1"/>
    <col min="6" max="7" width="12.85546875" style="19" bestFit="1" customWidth="1"/>
    <col min="8" max="8" width="12.42578125" style="19" customWidth="1"/>
    <col min="9" max="9" width="10.5703125" style="19" bestFit="1" customWidth="1"/>
    <col min="10" max="10" width="41" style="19" customWidth="1"/>
    <col min="11" max="11" width="16" style="19" customWidth="1"/>
    <col min="12" max="12" width="9.140625" style="19" customWidth="1"/>
    <col min="13" max="13" width="14.85546875" style="19" bestFit="1" customWidth="1"/>
    <col min="14" max="14" width="9.140625" style="19" customWidth="1"/>
    <col min="15" max="15" width="11.28515625" style="19" bestFit="1" customWidth="1"/>
    <col min="16" max="16" width="7.28515625" style="19" customWidth="1"/>
    <col min="17" max="17" width="15" style="19" bestFit="1" customWidth="1"/>
    <col min="18" max="18" width="8.28515625" style="19" customWidth="1"/>
    <col min="19" max="19" width="10.42578125" style="19" customWidth="1"/>
    <col min="20" max="20" width="7.85546875" style="19" customWidth="1"/>
    <col min="21" max="21" width="8.5703125" style="19" customWidth="1"/>
    <col min="22" max="22" width="6.28515625" style="19" customWidth="1"/>
    <col min="23" max="23" width="7.85546875" style="19" customWidth="1"/>
    <col min="24" max="24" width="8.85546875" style="19" customWidth="1"/>
    <col min="25" max="26" width="13.42578125" style="19" customWidth="1"/>
    <col min="27" max="27" width="11.42578125" style="19"/>
    <col min="28" max="28" width="12" style="19" customWidth="1"/>
    <col min="29" max="29" width="13.28515625" style="8" customWidth="1"/>
    <col min="30" max="16384" width="11.42578125" style="19"/>
  </cols>
  <sheetData>
    <row r="1" spans="1:29" s="1" customFormat="1" ht="45" customHeight="1" x14ac:dyDescent="0.2">
      <c r="A1" s="5" t="s">
        <v>82</v>
      </c>
      <c r="B1" s="5" t="s">
        <v>33</v>
      </c>
      <c r="C1" s="6" t="s">
        <v>254</v>
      </c>
      <c r="D1" s="6" t="s">
        <v>334</v>
      </c>
      <c r="E1" s="45" t="s">
        <v>464</v>
      </c>
      <c r="F1" s="5" t="s">
        <v>35</v>
      </c>
      <c r="G1" s="5" t="s">
        <v>36</v>
      </c>
      <c r="H1" s="5" t="s">
        <v>75</v>
      </c>
      <c r="I1" s="5" t="s">
        <v>37</v>
      </c>
      <c r="J1" s="5" t="s">
        <v>342</v>
      </c>
      <c r="K1" s="5" t="s">
        <v>39</v>
      </c>
      <c r="L1" s="5" t="s">
        <v>40</v>
      </c>
      <c r="M1" s="5" t="s">
        <v>34</v>
      </c>
      <c r="N1" s="5" t="s">
        <v>93</v>
      </c>
      <c r="O1" s="5" t="s">
        <v>94</v>
      </c>
      <c r="P1" s="34" t="s">
        <v>99</v>
      </c>
      <c r="Q1" s="5" t="s">
        <v>83</v>
      </c>
      <c r="R1" s="5" t="s">
        <v>98</v>
      </c>
      <c r="S1" s="42" t="s">
        <v>41</v>
      </c>
      <c r="T1" s="35" t="s">
        <v>80</v>
      </c>
      <c r="U1" s="35" t="s">
        <v>95</v>
      </c>
      <c r="V1" s="5" t="s">
        <v>81</v>
      </c>
      <c r="W1" s="5" t="s">
        <v>97</v>
      </c>
      <c r="X1" s="14" t="s">
        <v>85</v>
      </c>
      <c r="Y1" s="5" t="s">
        <v>90</v>
      </c>
      <c r="Z1" s="5" t="s">
        <v>150</v>
      </c>
      <c r="AA1" s="11" t="s">
        <v>229</v>
      </c>
      <c r="AB1" s="11" t="s">
        <v>343</v>
      </c>
      <c r="AC1" s="11" t="s">
        <v>365</v>
      </c>
    </row>
    <row r="2" spans="1:29" ht="28.5" hidden="1" x14ac:dyDescent="0.2">
      <c r="A2" s="2">
        <v>1</v>
      </c>
      <c r="B2" s="2">
        <v>29</v>
      </c>
      <c r="C2" s="36" t="s">
        <v>31</v>
      </c>
      <c r="D2" s="2" t="s">
        <v>31</v>
      </c>
      <c r="E2" s="2" t="s">
        <v>31</v>
      </c>
      <c r="F2" s="2" t="s">
        <v>175</v>
      </c>
      <c r="G2" s="2" t="s">
        <v>59</v>
      </c>
      <c r="H2" s="2" t="s">
        <v>84</v>
      </c>
      <c r="I2" s="7">
        <v>40044996</v>
      </c>
      <c r="J2" s="3" t="s">
        <v>388</v>
      </c>
      <c r="K2" s="3">
        <v>1350278000</v>
      </c>
      <c r="L2" s="2" t="s">
        <v>49</v>
      </c>
      <c r="M2" s="17" t="s">
        <v>62</v>
      </c>
      <c r="N2" s="10">
        <v>44932</v>
      </c>
      <c r="O2" s="10">
        <v>44935</v>
      </c>
      <c r="P2" s="37">
        <v>1</v>
      </c>
      <c r="Q2" s="10">
        <v>45051</v>
      </c>
      <c r="R2" s="9">
        <v>45061</v>
      </c>
      <c r="S2" s="43">
        <v>45064</v>
      </c>
      <c r="T2" s="2">
        <v>10</v>
      </c>
      <c r="U2" s="9">
        <v>45065</v>
      </c>
      <c r="V2" s="2">
        <v>13</v>
      </c>
      <c r="W2" s="38">
        <v>9</v>
      </c>
      <c r="X2" s="13">
        <v>-607</v>
      </c>
      <c r="Y2" s="2" t="s">
        <v>380</v>
      </c>
      <c r="Z2" s="2" t="s">
        <v>157</v>
      </c>
      <c r="AA2" s="3">
        <v>234122</v>
      </c>
      <c r="AB2" s="3" t="s">
        <v>32</v>
      </c>
      <c r="AC2" s="3" t="s">
        <v>366</v>
      </c>
    </row>
    <row r="3" spans="1:29" s="60" customFormat="1" ht="42.75" hidden="1" x14ac:dyDescent="0.2">
      <c r="A3" s="2">
        <v>2</v>
      </c>
      <c r="B3" s="3">
        <v>29</v>
      </c>
      <c r="C3" s="36" t="s">
        <v>32</v>
      </c>
      <c r="D3" s="2" t="s">
        <v>31</v>
      </c>
      <c r="E3" s="2" t="s">
        <v>32</v>
      </c>
      <c r="F3" s="3" t="s">
        <v>48</v>
      </c>
      <c r="G3" s="3" t="s">
        <v>393</v>
      </c>
      <c r="H3" s="2" t="s">
        <v>397</v>
      </c>
      <c r="I3" s="7">
        <v>40039987</v>
      </c>
      <c r="J3" s="49" t="s">
        <v>279</v>
      </c>
      <c r="K3" s="3">
        <v>834989000</v>
      </c>
      <c r="L3" s="2" t="s">
        <v>49</v>
      </c>
      <c r="M3" s="15" t="s">
        <v>62</v>
      </c>
      <c r="N3" s="10">
        <v>44929</v>
      </c>
      <c r="O3" s="10">
        <v>44946</v>
      </c>
      <c r="P3" s="37">
        <v>13</v>
      </c>
      <c r="Q3" s="10">
        <v>45048</v>
      </c>
      <c r="R3" s="9">
        <v>45063</v>
      </c>
      <c r="S3" s="43">
        <v>45065</v>
      </c>
      <c r="T3" s="2">
        <v>15</v>
      </c>
      <c r="U3" s="9">
        <v>45069</v>
      </c>
      <c r="V3" s="2">
        <v>17</v>
      </c>
      <c r="W3" s="38">
        <v>13</v>
      </c>
      <c r="X3" s="13">
        <v>-603</v>
      </c>
      <c r="Y3" s="3" t="s">
        <v>392</v>
      </c>
      <c r="Z3" s="3" t="s">
        <v>383</v>
      </c>
      <c r="AA3" s="3">
        <v>8767</v>
      </c>
      <c r="AB3" s="3" t="s">
        <v>31</v>
      </c>
      <c r="AC3" s="3" t="s">
        <v>367</v>
      </c>
    </row>
    <row r="4" spans="1:29" ht="28.5" hidden="1" x14ac:dyDescent="0.2">
      <c r="A4" s="2">
        <v>3</v>
      </c>
      <c r="B4" s="2">
        <v>29</v>
      </c>
      <c r="C4" s="36" t="s">
        <v>31</v>
      </c>
      <c r="D4" s="2" t="s">
        <v>31</v>
      </c>
      <c r="E4" s="2" t="s">
        <v>32</v>
      </c>
      <c r="F4" s="2" t="s">
        <v>47</v>
      </c>
      <c r="G4" s="2" t="s">
        <v>0</v>
      </c>
      <c r="H4" s="2" t="s">
        <v>18</v>
      </c>
      <c r="I4" s="7">
        <v>40039346</v>
      </c>
      <c r="J4" s="3" t="s">
        <v>331</v>
      </c>
      <c r="K4" s="3"/>
      <c r="L4" s="2" t="s">
        <v>49</v>
      </c>
      <c r="M4" s="15" t="s">
        <v>74</v>
      </c>
      <c r="N4" s="10">
        <v>44930</v>
      </c>
      <c r="O4" s="10">
        <v>44943</v>
      </c>
      <c r="P4" s="37">
        <v>9</v>
      </c>
      <c r="Q4" s="10">
        <v>45015</v>
      </c>
      <c r="R4" s="9">
        <v>45030</v>
      </c>
      <c r="S4" s="43">
        <v>45036</v>
      </c>
      <c r="T4" s="2">
        <v>15</v>
      </c>
      <c r="U4" s="9">
        <v>45037</v>
      </c>
      <c r="V4" s="2">
        <v>21</v>
      </c>
      <c r="W4" s="38">
        <v>14</v>
      </c>
      <c r="X4" s="13">
        <v>-635</v>
      </c>
      <c r="Y4" s="2"/>
      <c r="Z4" s="2" t="s">
        <v>164</v>
      </c>
      <c r="AA4" s="3"/>
      <c r="AB4" s="3" t="s">
        <v>31</v>
      </c>
      <c r="AC4" s="3"/>
    </row>
    <row r="5" spans="1:29" ht="28.5" hidden="1" x14ac:dyDescent="0.2">
      <c r="A5" s="2">
        <v>4</v>
      </c>
      <c r="B5" s="2">
        <v>31</v>
      </c>
      <c r="C5" s="36" t="s">
        <v>31</v>
      </c>
      <c r="D5" s="2" t="s">
        <v>31</v>
      </c>
      <c r="E5" s="2" t="s">
        <v>32</v>
      </c>
      <c r="F5" s="2" t="s">
        <v>42</v>
      </c>
      <c r="G5" s="2" t="s">
        <v>65</v>
      </c>
      <c r="H5" s="2" t="s">
        <v>29</v>
      </c>
      <c r="I5" s="7">
        <v>40047664</v>
      </c>
      <c r="J5" s="3" t="s">
        <v>332</v>
      </c>
      <c r="K5" s="3">
        <v>548386000</v>
      </c>
      <c r="L5" s="2" t="s">
        <v>49</v>
      </c>
      <c r="M5" s="15" t="s">
        <v>62</v>
      </c>
      <c r="N5" s="10">
        <v>44931</v>
      </c>
      <c r="O5" s="10">
        <v>44942</v>
      </c>
      <c r="P5" s="37">
        <v>7</v>
      </c>
      <c r="Q5" s="10">
        <v>44931</v>
      </c>
      <c r="R5" s="9">
        <v>44946</v>
      </c>
      <c r="S5" s="43">
        <v>44942</v>
      </c>
      <c r="T5" s="2">
        <v>15</v>
      </c>
      <c r="U5" s="9">
        <v>44952</v>
      </c>
      <c r="V5" s="2">
        <v>11</v>
      </c>
      <c r="W5" s="38">
        <v>7</v>
      </c>
      <c r="X5" s="13">
        <v>-720</v>
      </c>
      <c r="Y5" s="2" t="s">
        <v>337</v>
      </c>
      <c r="Z5" s="2" t="s">
        <v>154</v>
      </c>
      <c r="AA5" s="3">
        <v>1928</v>
      </c>
      <c r="AB5" s="3" t="s">
        <v>31</v>
      </c>
      <c r="AC5" s="3" t="s">
        <v>366</v>
      </c>
    </row>
    <row r="6" spans="1:29" ht="57" hidden="1" x14ac:dyDescent="0.2">
      <c r="A6" s="2">
        <v>5</v>
      </c>
      <c r="B6" s="2">
        <v>31</v>
      </c>
      <c r="C6" s="36" t="s">
        <v>32</v>
      </c>
      <c r="D6" s="2" t="s">
        <v>32</v>
      </c>
      <c r="E6" s="2" t="s">
        <v>31</v>
      </c>
      <c r="F6" s="2" t="s">
        <v>47</v>
      </c>
      <c r="G6" s="84" t="s">
        <v>0</v>
      </c>
      <c r="H6" s="2" t="s">
        <v>18</v>
      </c>
      <c r="I6" s="7">
        <v>40022712</v>
      </c>
      <c r="J6" s="3" t="s">
        <v>330</v>
      </c>
      <c r="K6" s="3">
        <v>0</v>
      </c>
      <c r="L6" s="2" t="s">
        <v>49</v>
      </c>
      <c r="M6" s="17" t="s">
        <v>86</v>
      </c>
      <c r="N6" s="10"/>
      <c r="O6" s="10"/>
      <c r="P6" s="37" t="s">
        <v>686</v>
      </c>
      <c r="Q6" s="10">
        <v>45282</v>
      </c>
      <c r="R6" s="9">
        <v>45292</v>
      </c>
      <c r="S6" s="43">
        <v>45167</v>
      </c>
      <c r="T6" s="2">
        <v>10</v>
      </c>
      <c r="U6" s="9">
        <v>45299</v>
      </c>
      <c r="V6" s="2">
        <v>-115</v>
      </c>
      <c r="W6" s="38" t="s">
        <v>686</v>
      </c>
      <c r="X6" s="13">
        <v>-373</v>
      </c>
      <c r="Y6" s="2" t="s">
        <v>190</v>
      </c>
      <c r="Z6" s="12" t="s">
        <v>165</v>
      </c>
      <c r="AA6" s="3">
        <v>103</v>
      </c>
      <c r="AB6" s="3" t="s">
        <v>32</v>
      </c>
      <c r="AC6" s="3" t="s">
        <v>419</v>
      </c>
    </row>
    <row r="7" spans="1:29" ht="30.75" hidden="1" customHeight="1" x14ac:dyDescent="0.2">
      <c r="A7" s="2">
        <v>6</v>
      </c>
      <c r="B7" s="2">
        <v>29</v>
      </c>
      <c r="C7" s="36" t="s">
        <v>32</v>
      </c>
      <c r="D7" s="2" t="s">
        <v>31</v>
      </c>
      <c r="E7" s="2" t="s">
        <v>32</v>
      </c>
      <c r="F7" s="2" t="s">
        <v>45</v>
      </c>
      <c r="G7" s="2" t="s">
        <v>46</v>
      </c>
      <c r="H7" s="2" t="s">
        <v>23</v>
      </c>
      <c r="I7" s="7">
        <v>40031422</v>
      </c>
      <c r="J7" s="49" t="s">
        <v>333</v>
      </c>
      <c r="K7" s="3"/>
      <c r="L7" s="2" t="s">
        <v>49</v>
      </c>
      <c r="M7" s="15" t="s">
        <v>74</v>
      </c>
      <c r="N7" s="10">
        <v>44929</v>
      </c>
      <c r="O7" s="10">
        <v>44946</v>
      </c>
      <c r="P7" s="37">
        <v>13</v>
      </c>
      <c r="Q7" s="10">
        <v>44929</v>
      </c>
      <c r="R7" s="9">
        <v>44944</v>
      </c>
      <c r="S7" s="43">
        <v>44946</v>
      </c>
      <c r="T7" s="2">
        <v>15</v>
      </c>
      <c r="U7" s="9">
        <v>44950</v>
      </c>
      <c r="V7" s="2">
        <v>17</v>
      </c>
      <c r="W7" s="38">
        <v>13</v>
      </c>
      <c r="X7" s="13">
        <v>-722</v>
      </c>
      <c r="Y7" s="2"/>
      <c r="Z7" s="2" t="s">
        <v>152</v>
      </c>
      <c r="AA7" s="3"/>
      <c r="AB7" s="3" t="s">
        <v>31</v>
      </c>
      <c r="AC7" s="3"/>
    </row>
    <row r="8" spans="1:29" ht="28.5" hidden="1" x14ac:dyDescent="0.2">
      <c r="A8" s="2">
        <v>7</v>
      </c>
      <c r="B8" s="2">
        <v>29</v>
      </c>
      <c r="C8" s="36" t="s">
        <v>31</v>
      </c>
      <c r="D8" s="2" t="s">
        <v>31</v>
      </c>
      <c r="E8" s="2" t="s">
        <v>32</v>
      </c>
      <c r="F8" s="2" t="s">
        <v>42</v>
      </c>
      <c r="G8" s="2" t="s">
        <v>65</v>
      </c>
      <c r="H8" s="2" t="s">
        <v>29</v>
      </c>
      <c r="I8" s="7">
        <v>40048022</v>
      </c>
      <c r="J8" s="3" t="s">
        <v>335</v>
      </c>
      <c r="K8" s="3">
        <v>219536000</v>
      </c>
      <c r="L8" s="2" t="s">
        <v>49</v>
      </c>
      <c r="M8" s="15" t="s">
        <v>62</v>
      </c>
      <c r="N8" s="10">
        <v>44938</v>
      </c>
      <c r="O8" s="10">
        <v>44959</v>
      </c>
      <c r="P8" s="37">
        <v>14</v>
      </c>
      <c r="Q8" s="10">
        <v>45035</v>
      </c>
      <c r="R8" s="9">
        <v>45050</v>
      </c>
      <c r="S8" s="43">
        <v>45057</v>
      </c>
      <c r="T8" s="2">
        <v>15</v>
      </c>
      <c r="U8" s="9">
        <v>45057</v>
      </c>
      <c r="V8" s="2">
        <v>22</v>
      </c>
      <c r="W8" s="38">
        <v>15</v>
      </c>
      <c r="X8" s="13">
        <v>-615</v>
      </c>
      <c r="Y8" s="2" t="s">
        <v>390</v>
      </c>
      <c r="Z8" s="2" t="s">
        <v>162</v>
      </c>
      <c r="AA8" s="3">
        <v>1932</v>
      </c>
      <c r="AB8" s="3" t="s">
        <v>31</v>
      </c>
      <c r="AC8" s="3" t="s">
        <v>366</v>
      </c>
    </row>
    <row r="9" spans="1:29" ht="42.75" hidden="1" x14ac:dyDescent="0.2">
      <c r="A9" s="2">
        <v>8</v>
      </c>
      <c r="B9" s="2">
        <v>29</v>
      </c>
      <c r="C9" s="36" t="s">
        <v>31</v>
      </c>
      <c r="D9" s="2" t="s">
        <v>31</v>
      </c>
      <c r="E9" s="2" t="s">
        <v>32</v>
      </c>
      <c r="F9" s="2" t="s">
        <v>42</v>
      </c>
      <c r="G9" s="2" t="s">
        <v>65</v>
      </c>
      <c r="H9" s="2" t="s">
        <v>29</v>
      </c>
      <c r="I9" s="7">
        <v>40047660</v>
      </c>
      <c r="J9" s="3" t="s">
        <v>318</v>
      </c>
      <c r="K9" s="3">
        <v>231693000</v>
      </c>
      <c r="L9" s="2" t="s">
        <v>49</v>
      </c>
      <c r="M9" s="15" t="s">
        <v>62</v>
      </c>
      <c r="N9" s="10">
        <v>44938</v>
      </c>
      <c r="O9" s="10">
        <v>44950</v>
      </c>
      <c r="P9" s="37">
        <v>8</v>
      </c>
      <c r="Q9" s="10">
        <v>44938</v>
      </c>
      <c r="R9" s="9">
        <v>44953</v>
      </c>
      <c r="S9" s="43">
        <v>44950</v>
      </c>
      <c r="T9" s="2">
        <v>15</v>
      </c>
      <c r="U9" s="9">
        <v>44960</v>
      </c>
      <c r="V9" s="2">
        <v>12</v>
      </c>
      <c r="W9" s="38">
        <v>8</v>
      </c>
      <c r="X9" s="13">
        <v>-712</v>
      </c>
      <c r="Y9" s="2" t="s">
        <v>340</v>
      </c>
      <c r="Z9" s="3" t="s">
        <v>152</v>
      </c>
      <c r="AA9" s="3">
        <v>8778</v>
      </c>
      <c r="AB9" s="3" t="s">
        <v>31</v>
      </c>
      <c r="AC9" s="3" t="s">
        <v>367</v>
      </c>
    </row>
    <row r="10" spans="1:29" s="60" customFormat="1" ht="42.75" hidden="1" x14ac:dyDescent="0.2">
      <c r="A10" s="2">
        <v>9</v>
      </c>
      <c r="B10" s="3">
        <v>29</v>
      </c>
      <c r="C10" s="36" t="s">
        <v>32</v>
      </c>
      <c r="D10" s="2" t="s">
        <v>31</v>
      </c>
      <c r="E10" s="2" t="s">
        <v>32</v>
      </c>
      <c r="F10" s="3" t="s">
        <v>48</v>
      </c>
      <c r="G10" s="3" t="s">
        <v>394</v>
      </c>
      <c r="H10" s="2" t="s">
        <v>398</v>
      </c>
      <c r="I10" s="7">
        <v>40043006</v>
      </c>
      <c r="J10" s="49" t="s">
        <v>289</v>
      </c>
      <c r="K10" s="3">
        <v>374928000</v>
      </c>
      <c r="L10" s="2" t="s">
        <v>49</v>
      </c>
      <c r="M10" s="15" t="s">
        <v>62</v>
      </c>
      <c r="N10" s="10">
        <v>44943</v>
      </c>
      <c r="O10" s="10">
        <v>44952</v>
      </c>
      <c r="P10" s="37">
        <v>7</v>
      </c>
      <c r="Q10" s="10">
        <v>45015</v>
      </c>
      <c r="R10" s="9">
        <v>45030</v>
      </c>
      <c r="S10" s="43">
        <v>45033</v>
      </c>
      <c r="T10" s="2">
        <v>15</v>
      </c>
      <c r="U10" s="9">
        <v>45037</v>
      </c>
      <c r="V10" s="2">
        <v>18</v>
      </c>
      <c r="W10" s="38">
        <v>11</v>
      </c>
      <c r="X10" s="13">
        <v>-635</v>
      </c>
      <c r="Y10" s="2" t="s">
        <v>379</v>
      </c>
      <c r="Z10" s="3" t="s">
        <v>152</v>
      </c>
      <c r="AA10" s="3">
        <v>3025</v>
      </c>
      <c r="AB10" s="3" t="s">
        <v>31</v>
      </c>
      <c r="AC10" s="3" t="s">
        <v>367</v>
      </c>
    </row>
    <row r="11" spans="1:29" ht="28.5" hidden="1" x14ac:dyDescent="0.2">
      <c r="A11" s="2">
        <v>10</v>
      </c>
      <c r="B11" s="2">
        <v>29</v>
      </c>
      <c r="C11" s="36" t="s">
        <v>31</v>
      </c>
      <c r="D11" s="2" t="s">
        <v>31</v>
      </c>
      <c r="E11" s="2" t="s">
        <v>31</v>
      </c>
      <c r="F11" s="2" t="s">
        <v>42</v>
      </c>
      <c r="G11" s="2" t="s">
        <v>65</v>
      </c>
      <c r="H11" s="2" t="s">
        <v>29</v>
      </c>
      <c r="I11" s="7">
        <v>40048025</v>
      </c>
      <c r="J11" s="3" t="s">
        <v>336</v>
      </c>
      <c r="K11" s="3">
        <v>72980000</v>
      </c>
      <c r="L11" s="2" t="s">
        <v>49</v>
      </c>
      <c r="M11" s="15" t="s">
        <v>62</v>
      </c>
      <c r="N11" s="10">
        <v>44944</v>
      </c>
      <c r="O11" s="10">
        <v>44960</v>
      </c>
      <c r="P11" s="37">
        <v>11</v>
      </c>
      <c r="Q11" s="10">
        <v>45117</v>
      </c>
      <c r="R11" s="9">
        <v>45132</v>
      </c>
      <c r="S11" s="43">
        <v>45138</v>
      </c>
      <c r="T11" s="2">
        <v>15</v>
      </c>
      <c r="U11" s="9">
        <v>45138</v>
      </c>
      <c r="V11" s="2">
        <v>21</v>
      </c>
      <c r="W11" s="38">
        <v>15</v>
      </c>
      <c r="X11" s="13">
        <v>-534</v>
      </c>
      <c r="Y11" s="2" t="s">
        <v>436</v>
      </c>
      <c r="Z11" s="2" t="s">
        <v>338</v>
      </c>
      <c r="AA11" s="3">
        <v>5847</v>
      </c>
      <c r="AB11" s="3" t="s">
        <v>31</v>
      </c>
      <c r="AC11" s="3" t="s">
        <v>437</v>
      </c>
    </row>
    <row r="12" spans="1:29" ht="28.5" hidden="1" x14ac:dyDescent="0.2">
      <c r="A12" s="2">
        <v>11</v>
      </c>
      <c r="B12" s="2">
        <v>29</v>
      </c>
      <c r="C12" s="36" t="s">
        <v>31</v>
      </c>
      <c r="D12" s="2" t="s">
        <v>31</v>
      </c>
      <c r="E12" s="2" t="s">
        <v>32</v>
      </c>
      <c r="F12" s="2" t="s">
        <v>48</v>
      </c>
      <c r="G12" s="3" t="s">
        <v>393</v>
      </c>
      <c r="H12" s="2" t="s">
        <v>397</v>
      </c>
      <c r="I12" s="7">
        <v>40048688</v>
      </c>
      <c r="J12" s="3" t="s">
        <v>516</v>
      </c>
      <c r="K12" s="3">
        <v>109951000</v>
      </c>
      <c r="L12" s="2" t="s">
        <v>49</v>
      </c>
      <c r="M12" s="17" t="s">
        <v>74</v>
      </c>
      <c r="N12" s="10">
        <v>44945</v>
      </c>
      <c r="O12" s="10">
        <v>44966</v>
      </c>
      <c r="P12" s="37">
        <v>14</v>
      </c>
      <c r="Q12" s="10">
        <v>45266</v>
      </c>
      <c r="R12" s="9">
        <v>45276</v>
      </c>
      <c r="S12" s="43">
        <v>45286</v>
      </c>
      <c r="T12" s="2">
        <v>10</v>
      </c>
      <c r="U12" s="9">
        <v>45281</v>
      </c>
      <c r="V12" s="2">
        <v>20</v>
      </c>
      <c r="W12" s="38">
        <v>12</v>
      </c>
      <c r="X12" s="13">
        <v>-391</v>
      </c>
      <c r="Y12" s="2" t="s">
        <v>411</v>
      </c>
      <c r="Z12" s="2" t="s">
        <v>338</v>
      </c>
      <c r="AA12" s="3">
        <v>8944</v>
      </c>
      <c r="AB12" s="3" t="s">
        <v>32</v>
      </c>
      <c r="AC12" s="3" t="s">
        <v>366</v>
      </c>
    </row>
    <row r="13" spans="1:29" ht="28.5" hidden="1" x14ac:dyDescent="0.2">
      <c r="A13" s="2">
        <v>12</v>
      </c>
      <c r="B13" s="2">
        <v>31</v>
      </c>
      <c r="C13" s="36" t="s">
        <v>32</v>
      </c>
      <c r="D13" s="2" t="s">
        <v>31</v>
      </c>
      <c r="E13" s="2" t="s">
        <v>32</v>
      </c>
      <c r="F13" s="2" t="s">
        <v>42</v>
      </c>
      <c r="G13" s="2" t="s">
        <v>3</v>
      </c>
      <c r="H13" s="2" t="s">
        <v>16</v>
      </c>
      <c r="I13" s="7">
        <v>40018788</v>
      </c>
      <c r="J13" s="3" t="s">
        <v>233</v>
      </c>
      <c r="K13" s="3">
        <v>633888000</v>
      </c>
      <c r="L13" s="2" t="s">
        <v>49</v>
      </c>
      <c r="M13" s="15" t="s">
        <v>62</v>
      </c>
      <c r="N13" s="10">
        <v>44946</v>
      </c>
      <c r="O13" s="10">
        <v>44956</v>
      </c>
      <c r="P13" s="37">
        <v>6</v>
      </c>
      <c r="Q13" s="10">
        <v>44946</v>
      </c>
      <c r="R13" s="9">
        <v>44961</v>
      </c>
      <c r="S13" s="43">
        <v>44956</v>
      </c>
      <c r="T13" s="2">
        <v>15</v>
      </c>
      <c r="U13" s="9">
        <v>44970</v>
      </c>
      <c r="V13" s="2">
        <v>10</v>
      </c>
      <c r="W13" s="38">
        <v>6</v>
      </c>
      <c r="X13" s="13">
        <v>-702</v>
      </c>
      <c r="Y13" s="2" t="s">
        <v>341</v>
      </c>
      <c r="Z13" s="2" t="s">
        <v>154</v>
      </c>
      <c r="AA13" s="65">
        <v>608</v>
      </c>
      <c r="AB13" s="3" t="s">
        <v>31</v>
      </c>
      <c r="AC13" s="3" t="s">
        <v>366</v>
      </c>
    </row>
    <row r="14" spans="1:29" ht="28.5" hidden="1" x14ac:dyDescent="0.2">
      <c r="A14" s="2">
        <v>13</v>
      </c>
      <c r="B14" s="2">
        <v>29</v>
      </c>
      <c r="C14" s="36" t="s">
        <v>31</v>
      </c>
      <c r="D14" s="2" t="s">
        <v>31</v>
      </c>
      <c r="E14" s="2" t="s">
        <v>32</v>
      </c>
      <c r="F14" s="2" t="s">
        <v>45</v>
      </c>
      <c r="G14" s="2" t="s">
        <v>73</v>
      </c>
      <c r="H14" s="2" t="s">
        <v>14</v>
      </c>
      <c r="I14" s="7">
        <v>40047291</v>
      </c>
      <c r="J14" s="3" t="s">
        <v>323</v>
      </c>
      <c r="K14" s="3">
        <v>289138980</v>
      </c>
      <c r="L14" s="2" t="s">
        <v>49</v>
      </c>
      <c r="M14" s="15" t="s">
        <v>62</v>
      </c>
      <c r="N14" s="10">
        <v>44949</v>
      </c>
      <c r="O14" s="10">
        <v>44960</v>
      </c>
      <c r="P14" s="37">
        <v>8</v>
      </c>
      <c r="Q14" s="10">
        <v>44949</v>
      </c>
      <c r="R14" s="9">
        <v>44964</v>
      </c>
      <c r="S14" s="43">
        <v>44960</v>
      </c>
      <c r="T14" s="2">
        <v>15</v>
      </c>
      <c r="U14" s="9">
        <v>44971</v>
      </c>
      <c r="V14" s="2">
        <v>11</v>
      </c>
      <c r="W14" s="38">
        <v>8</v>
      </c>
      <c r="X14" s="13">
        <v>-701</v>
      </c>
      <c r="Y14" s="2" t="s">
        <v>344</v>
      </c>
      <c r="Z14" s="2" t="s">
        <v>151</v>
      </c>
      <c r="AA14" s="65">
        <v>4023</v>
      </c>
      <c r="AB14" s="3" t="s">
        <v>31</v>
      </c>
      <c r="AC14" s="3" t="s">
        <v>366</v>
      </c>
    </row>
    <row r="15" spans="1:29" ht="28.5" hidden="1" x14ac:dyDescent="0.2">
      <c r="A15" s="2">
        <v>14</v>
      </c>
      <c r="B15" s="2">
        <v>31</v>
      </c>
      <c r="C15" s="36" t="s">
        <v>32</v>
      </c>
      <c r="D15" s="2" t="s">
        <v>32</v>
      </c>
      <c r="E15" s="2" t="s">
        <v>31</v>
      </c>
      <c r="F15" s="2" t="s">
        <v>42</v>
      </c>
      <c r="G15" s="2" t="s">
        <v>43</v>
      </c>
      <c r="H15" s="2" t="s">
        <v>26</v>
      </c>
      <c r="I15" s="7">
        <v>40031584</v>
      </c>
      <c r="J15" s="3" t="s">
        <v>308</v>
      </c>
      <c r="K15" s="3">
        <v>420234000</v>
      </c>
      <c r="L15" s="2" t="s">
        <v>49</v>
      </c>
      <c r="M15" s="17" t="s">
        <v>62</v>
      </c>
      <c r="N15" s="10"/>
      <c r="O15" s="10"/>
      <c r="P15" s="37" t="s">
        <v>686</v>
      </c>
      <c r="Q15" s="10">
        <v>44951</v>
      </c>
      <c r="R15" s="9">
        <v>44961</v>
      </c>
      <c r="S15" s="43">
        <v>44958</v>
      </c>
      <c r="T15" s="2">
        <v>10</v>
      </c>
      <c r="U15" s="9">
        <v>44966</v>
      </c>
      <c r="V15" s="2">
        <v>7</v>
      </c>
      <c r="W15" s="38">
        <v>5</v>
      </c>
      <c r="X15" s="13">
        <v>-706</v>
      </c>
      <c r="Y15" s="2" t="s">
        <v>199</v>
      </c>
      <c r="Z15" s="2" t="s">
        <v>154</v>
      </c>
      <c r="AA15" s="12">
        <v>285</v>
      </c>
      <c r="AB15" s="3" t="s">
        <v>32</v>
      </c>
      <c r="AC15" s="3" t="s">
        <v>366</v>
      </c>
    </row>
    <row r="16" spans="1:29" ht="28.5" hidden="1" x14ac:dyDescent="0.2">
      <c r="A16" s="2">
        <v>15</v>
      </c>
      <c r="B16" s="2">
        <v>29</v>
      </c>
      <c r="C16" s="36" t="s">
        <v>32</v>
      </c>
      <c r="D16" s="2" t="s">
        <v>31</v>
      </c>
      <c r="E16" s="2" t="s">
        <v>32</v>
      </c>
      <c r="F16" s="2" t="s">
        <v>45</v>
      </c>
      <c r="G16" s="2" t="s">
        <v>60</v>
      </c>
      <c r="H16" s="2" t="s">
        <v>7</v>
      </c>
      <c r="I16" s="7">
        <v>40036932</v>
      </c>
      <c r="J16" s="3" t="s">
        <v>339</v>
      </c>
      <c r="K16" s="3"/>
      <c r="L16" s="2" t="s">
        <v>49</v>
      </c>
      <c r="M16" s="15" t="s">
        <v>74</v>
      </c>
      <c r="N16" s="10">
        <v>44957</v>
      </c>
      <c r="O16" s="10">
        <v>44967</v>
      </c>
      <c r="P16" s="37">
        <v>7</v>
      </c>
      <c r="Q16" s="10">
        <v>45071</v>
      </c>
      <c r="R16" s="9">
        <v>45086</v>
      </c>
      <c r="S16" s="43">
        <v>45092</v>
      </c>
      <c r="T16" s="2">
        <v>15</v>
      </c>
      <c r="U16" s="9">
        <v>45092</v>
      </c>
      <c r="V16" s="2">
        <v>21</v>
      </c>
      <c r="W16" s="38">
        <v>15</v>
      </c>
      <c r="X16" s="13">
        <v>-580</v>
      </c>
      <c r="Y16" s="2"/>
      <c r="Z16" s="2" t="s">
        <v>164</v>
      </c>
      <c r="AA16" s="57"/>
      <c r="AB16" s="3" t="s">
        <v>31</v>
      </c>
      <c r="AC16" s="3"/>
    </row>
    <row r="17" spans="1:29" ht="28.5" hidden="1" x14ac:dyDescent="0.2">
      <c r="A17" s="2">
        <v>16</v>
      </c>
      <c r="B17" s="2">
        <v>29</v>
      </c>
      <c r="C17" s="36" t="s">
        <v>31</v>
      </c>
      <c r="D17" s="2" t="s">
        <v>31</v>
      </c>
      <c r="E17" s="2" t="s">
        <v>32</v>
      </c>
      <c r="F17" s="2" t="s">
        <v>47</v>
      </c>
      <c r="G17" s="2" t="s">
        <v>0</v>
      </c>
      <c r="H17" s="2" t="s">
        <v>18</v>
      </c>
      <c r="I17" s="7">
        <v>40044681</v>
      </c>
      <c r="J17" s="3" t="s">
        <v>264</v>
      </c>
      <c r="K17" s="3">
        <v>303444000</v>
      </c>
      <c r="L17" s="2" t="s">
        <v>49</v>
      </c>
      <c r="M17" s="15" t="s">
        <v>62</v>
      </c>
      <c r="N17" s="10">
        <v>44953</v>
      </c>
      <c r="O17" s="10">
        <v>44967</v>
      </c>
      <c r="P17" s="37">
        <v>9</v>
      </c>
      <c r="Q17" s="10">
        <v>45000</v>
      </c>
      <c r="R17" s="9">
        <v>45015</v>
      </c>
      <c r="S17" s="43">
        <v>45019</v>
      </c>
      <c r="T17" s="2">
        <v>15</v>
      </c>
      <c r="U17" s="9">
        <v>45021</v>
      </c>
      <c r="V17" s="2">
        <v>19</v>
      </c>
      <c r="W17" s="38">
        <v>13</v>
      </c>
      <c r="X17" s="13">
        <v>-651</v>
      </c>
      <c r="Y17" s="2" t="s">
        <v>373</v>
      </c>
      <c r="Z17" s="48" t="s">
        <v>159</v>
      </c>
      <c r="AA17" s="65">
        <v>45</v>
      </c>
      <c r="AB17" s="3" t="s">
        <v>31</v>
      </c>
      <c r="AC17" s="3" t="s">
        <v>374</v>
      </c>
    </row>
    <row r="18" spans="1:29" ht="28.5" hidden="1" x14ac:dyDescent="0.2">
      <c r="A18" s="2">
        <v>17</v>
      </c>
      <c r="B18" s="2">
        <v>29</v>
      </c>
      <c r="C18" s="36" t="s">
        <v>31</v>
      </c>
      <c r="D18" s="2" t="s">
        <v>31</v>
      </c>
      <c r="E18" s="2" t="s">
        <v>32</v>
      </c>
      <c r="F18" s="2" t="s">
        <v>45</v>
      </c>
      <c r="G18" s="84" t="s">
        <v>60</v>
      </c>
      <c r="H18" s="2" t="s">
        <v>7</v>
      </c>
      <c r="I18" s="40">
        <v>30340925</v>
      </c>
      <c r="J18" s="3" t="s">
        <v>345</v>
      </c>
      <c r="K18" s="3">
        <v>650972000</v>
      </c>
      <c r="L18" s="2" t="s">
        <v>49</v>
      </c>
      <c r="M18" s="15" t="s">
        <v>62</v>
      </c>
      <c r="N18" s="10">
        <v>44970</v>
      </c>
      <c r="O18" s="10">
        <v>44991</v>
      </c>
      <c r="P18" s="37">
        <v>15</v>
      </c>
      <c r="Q18" s="10">
        <v>45197</v>
      </c>
      <c r="R18" s="9">
        <v>45212</v>
      </c>
      <c r="S18" s="43">
        <v>45198</v>
      </c>
      <c r="T18" s="2">
        <v>15</v>
      </c>
      <c r="U18" s="9">
        <v>45219</v>
      </c>
      <c r="V18" s="2">
        <v>1</v>
      </c>
      <c r="W18" s="38">
        <v>1</v>
      </c>
      <c r="X18" s="13">
        <v>-453</v>
      </c>
      <c r="Y18" s="2" t="s">
        <v>480</v>
      </c>
      <c r="Z18" s="48" t="s">
        <v>153</v>
      </c>
      <c r="AA18" s="65">
        <v>2462</v>
      </c>
      <c r="AB18" s="3" t="s">
        <v>31</v>
      </c>
      <c r="AC18" s="3" t="s">
        <v>409</v>
      </c>
    </row>
    <row r="19" spans="1:29" ht="28.5" hidden="1" x14ac:dyDescent="0.2">
      <c r="A19" s="2">
        <v>18</v>
      </c>
      <c r="B19" s="2">
        <v>29</v>
      </c>
      <c r="C19" s="36" t="s">
        <v>31</v>
      </c>
      <c r="D19" s="2" t="s">
        <v>31</v>
      </c>
      <c r="E19" s="2" t="s">
        <v>32</v>
      </c>
      <c r="F19" s="2" t="s">
        <v>42</v>
      </c>
      <c r="G19" s="2" t="s">
        <v>65</v>
      </c>
      <c r="H19" s="2" t="s">
        <v>29</v>
      </c>
      <c r="I19" s="18">
        <v>40048003</v>
      </c>
      <c r="J19" s="3" t="s">
        <v>389</v>
      </c>
      <c r="K19" s="3">
        <v>178893000</v>
      </c>
      <c r="L19" s="2" t="s">
        <v>49</v>
      </c>
      <c r="M19" s="15" t="s">
        <v>62</v>
      </c>
      <c r="N19" s="10">
        <v>44963</v>
      </c>
      <c r="O19" s="10">
        <v>44984</v>
      </c>
      <c r="P19" s="37">
        <v>15</v>
      </c>
      <c r="Q19" s="10">
        <v>45169</v>
      </c>
      <c r="R19" s="9">
        <v>45184</v>
      </c>
      <c r="S19" s="43">
        <v>45194</v>
      </c>
      <c r="T19" s="2">
        <v>15</v>
      </c>
      <c r="U19" s="9">
        <v>45194</v>
      </c>
      <c r="V19" s="2">
        <v>25</v>
      </c>
      <c r="W19" s="38">
        <v>15</v>
      </c>
      <c r="X19" s="13">
        <v>-478</v>
      </c>
      <c r="Y19" s="2" t="s">
        <v>479</v>
      </c>
      <c r="Z19" s="48" t="s">
        <v>157</v>
      </c>
      <c r="AA19" s="65">
        <v>2581</v>
      </c>
      <c r="AB19" s="3" t="s">
        <v>31</v>
      </c>
      <c r="AC19" s="2" t="s">
        <v>366</v>
      </c>
    </row>
    <row r="20" spans="1:29" ht="28.5" hidden="1" x14ac:dyDescent="0.2">
      <c r="A20" s="2">
        <v>19</v>
      </c>
      <c r="B20" s="2">
        <v>29</v>
      </c>
      <c r="C20" s="36" t="s">
        <v>31</v>
      </c>
      <c r="D20" s="2" t="s">
        <v>31</v>
      </c>
      <c r="E20" s="2" t="s">
        <v>32</v>
      </c>
      <c r="F20" s="2" t="s">
        <v>48</v>
      </c>
      <c r="G20" s="84" t="s">
        <v>48</v>
      </c>
      <c r="H20" s="2" t="s">
        <v>5</v>
      </c>
      <c r="I20" s="7">
        <v>40019251</v>
      </c>
      <c r="J20" s="3" t="s">
        <v>346</v>
      </c>
      <c r="K20" s="3">
        <v>335187000</v>
      </c>
      <c r="L20" s="2" t="s">
        <v>49</v>
      </c>
      <c r="M20" s="15" t="s">
        <v>62</v>
      </c>
      <c r="N20" s="10">
        <v>44965</v>
      </c>
      <c r="O20" s="10">
        <v>44986</v>
      </c>
      <c r="P20" s="37">
        <v>15</v>
      </c>
      <c r="Q20" s="10">
        <v>45216</v>
      </c>
      <c r="R20" s="9">
        <v>45231</v>
      </c>
      <c r="S20" s="43">
        <v>45229</v>
      </c>
      <c r="T20" s="2">
        <v>15</v>
      </c>
      <c r="U20" s="9">
        <v>45239</v>
      </c>
      <c r="V20" s="2">
        <v>13</v>
      </c>
      <c r="W20" s="38">
        <v>8</v>
      </c>
      <c r="X20" s="13">
        <v>-433</v>
      </c>
      <c r="Y20" s="2" t="s">
        <v>498</v>
      </c>
      <c r="Z20" s="48" t="s">
        <v>157</v>
      </c>
      <c r="AA20" s="3">
        <v>434</v>
      </c>
      <c r="AB20" s="3" t="s">
        <v>31</v>
      </c>
      <c r="AC20" s="2" t="s">
        <v>366</v>
      </c>
    </row>
    <row r="21" spans="1:29" ht="28.5" x14ac:dyDescent="0.2">
      <c r="A21" s="2">
        <v>20</v>
      </c>
      <c r="B21" s="2">
        <v>29</v>
      </c>
      <c r="C21" s="36" t="s">
        <v>32</v>
      </c>
      <c r="D21" s="2" t="s">
        <v>32</v>
      </c>
      <c r="E21" s="2" t="s">
        <v>32</v>
      </c>
      <c r="F21" s="2" t="s">
        <v>45</v>
      </c>
      <c r="G21" s="2" t="s">
        <v>70</v>
      </c>
      <c r="H21" s="2" t="s">
        <v>6</v>
      </c>
      <c r="I21" s="7">
        <v>40007939</v>
      </c>
      <c r="J21" s="16" t="s">
        <v>400</v>
      </c>
      <c r="K21" s="3">
        <v>1268797000</v>
      </c>
      <c r="L21" s="2" t="s">
        <v>49</v>
      </c>
      <c r="M21" s="17" t="s">
        <v>62</v>
      </c>
      <c r="N21" s="10">
        <v>44966</v>
      </c>
      <c r="O21" s="10">
        <v>44984</v>
      </c>
      <c r="P21" s="37">
        <v>12</v>
      </c>
      <c r="Q21" s="10">
        <v>45155</v>
      </c>
      <c r="R21" s="9">
        <v>45165</v>
      </c>
      <c r="S21" s="43">
        <v>45132</v>
      </c>
      <c r="T21" s="2">
        <v>10</v>
      </c>
      <c r="U21" s="9">
        <v>45169</v>
      </c>
      <c r="V21" s="2">
        <v>-23</v>
      </c>
      <c r="W21" s="38" t="s">
        <v>686</v>
      </c>
      <c r="X21" s="13">
        <v>-503</v>
      </c>
      <c r="Y21" s="2" t="s">
        <v>458</v>
      </c>
      <c r="Z21" s="2" t="s">
        <v>153</v>
      </c>
      <c r="AA21" s="3">
        <v>14216</v>
      </c>
      <c r="AB21" s="3" t="s">
        <v>32</v>
      </c>
      <c r="AC21" s="2" t="s">
        <v>409</v>
      </c>
    </row>
    <row r="22" spans="1:29" s="60" customFormat="1" ht="28.5" hidden="1" x14ac:dyDescent="0.2">
      <c r="A22" s="2">
        <v>21</v>
      </c>
      <c r="B22" s="3">
        <v>29</v>
      </c>
      <c r="C22" s="36" t="s">
        <v>31</v>
      </c>
      <c r="D22" s="2" t="s">
        <v>31</v>
      </c>
      <c r="E22" s="2" t="s">
        <v>32</v>
      </c>
      <c r="F22" s="3" t="s">
        <v>48</v>
      </c>
      <c r="G22" s="3" t="s">
        <v>394</v>
      </c>
      <c r="H22" s="3" t="s">
        <v>398</v>
      </c>
      <c r="I22" s="7">
        <v>40041686</v>
      </c>
      <c r="J22" s="3" t="s">
        <v>401</v>
      </c>
      <c r="K22" s="3">
        <v>674406000</v>
      </c>
      <c r="L22" s="2" t="s">
        <v>49</v>
      </c>
      <c r="M22" s="15" t="s">
        <v>62</v>
      </c>
      <c r="N22" s="10">
        <v>44967</v>
      </c>
      <c r="O22" s="10">
        <v>44986</v>
      </c>
      <c r="P22" s="37">
        <v>13</v>
      </c>
      <c r="Q22" s="10">
        <v>45015</v>
      </c>
      <c r="R22" s="9">
        <v>45030</v>
      </c>
      <c r="S22" s="43">
        <v>45036</v>
      </c>
      <c r="T22" s="2">
        <v>15</v>
      </c>
      <c r="U22" s="9">
        <v>45037</v>
      </c>
      <c r="V22" s="2">
        <v>21</v>
      </c>
      <c r="W22" s="38">
        <v>14</v>
      </c>
      <c r="X22" s="13">
        <v>-635</v>
      </c>
      <c r="Y22" s="3" t="s">
        <v>381</v>
      </c>
      <c r="Z22" s="2" t="s">
        <v>157</v>
      </c>
      <c r="AA22" s="3">
        <v>642</v>
      </c>
      <c r="AB22" s="3" t="s">
        <v>31</v>
      </c>
      <c r="AC22" s="2" t="s">
        <v>366</v>
      </c>
    </row>
    <row r="23" spans="1:29" s="60" customFormat="1" ht="57" hidden="1" x14ac:dyDescent="0.2">
      <c r="A23" s="2">
        <v>22</v>
      </c>
      <c r="B23" s="3">
        <v>31</v>
      </c>
      <c r="C23" s="36" t="s">
        <v>32</v>
      </c>
      <c r="D23" s="2" t="s">
        <v>31</v>
      </c>
      <c r="E23" s="2" t="s">
        <v>32</v>
      </c>
      <c r="F23" s="3" t="s">
        <v>42</v>
      </c>
      <c r="G23" s="3" t="s">
        <v>42</v>
      </c>
      <c r="H23" s="3" t="s">
        <v>17</v>
      </c>
      <c r="I23" s="7">
        <v>40039724</v>
      </c>
      <c r="J23" s="3" t="s">
        <v>347</v>
      </c>
      <c r="K23" s="3">
        <v>743283000</v>
      </c>
      <c r="L23" s="2" t="s">
        <v>49</v>
      </c>
      <c r="M23" s="15" t="s">
        <v>62</v>
      </c>
      <c r="N23" s="10">
        <v>44967</v>
      </c>
      <c r="O23" s="10">
        <v>44988</v>
      </c>
      <c r="P23" s="37">
        <v>15</v>
      </c>
      <c r="Q23" s="10">
        <v>45100</v>
      </c>
      <c r="R23" s="9">
        <v>45115</v>
      </c>
      <c r="S23" s="43">
        <v>45124</v>
      </c>
      <c r="T23" s="2">
        <v>15</v>
      </c>
      <c r="U23" s="9">
        <v>45124</v>
      </c>
      <c r="V23" s="2">
        <v>24</v>
      </c>
      <c r="W23" s="38">
        <v>15</v>
      </c>
      <c r="X23" s="13">
        <v>-548</v>
      </c>
      <c r="Y23" s="3" t="s">
        <v>428</v>
      </c>
      <c r="Z23" s="2" t="s">
        <v>155</v>
      </c>
      <c r="AA23" s="3">
        <v>24631</v>
      </c>
      <c r="AB23" s="3" t="s">
        <v>31</v>
      </c>
      <c r="AC23" s="2" t="s">
        <v>427</v>
      </c>
    </row>
    <row r="24" spans="1:29" s="60" customFormat="1" ht="28.5" hidden="1" x14ac:dyDescent="0.2">
      <c r="A24" s="2">
        <v>23</v>
      </c>
      <c r="B24" s="3">
        <v>31</v>
      </c>
      <c r="C24" s="36" t="s">
        <v>31</v>
      </c>
      <c r="D24" s="2" t="s">
        <v>31</v>
      </c>
      <c r="E24" s="2" t="s">
        <v>32</v>
      </c>
      <c r="F24" s="3" t="s">
        <v>45</v>
      </c>
      <c r="G24" s="3" t="s">
        <v>55</v>
      </c>
      <c r="H24" s="3" t="s">
        <v>4</v>
      </c>
      <c r="I24" s="18">
        <v>40049581</v>
      </c>
      <c r="J24" s="3" t="s">
        <v>348</v>
      </c>
      <c r="K24" s="3">
        <v>984384000</v>
      </c>
      <c r="L24" s="2" t="s">
        <v>49</v>
      </c>
      <c r="M24" s="15" t="s">
        <v>62</v>
      </c>
      <c r="N24" s="10">
        <v>44970</v>
      </c>
      <c r="O24" s="10">
        <v>44991</v>
      </c>
      <c r="P24" s="37">
        <v>15</v>
      </c>
      <c r="Q24" s="10">
        <v>45209</v>
      </c>
      <c r="R24" s="9">
        <v>45224</v>
      </c>
      <c r="S24" s="43">
        <v>45210</v>
      </c>
      <c r="T24" s="2">
        <v>15</v>
      </c>
      <c r="U24" s="9">
        <v>45232</v>
      </c>
      <c r="V24" s="2">
        <v>1</v>
      </c>
      <c r="W24" s="38">
        <v>1</v>
      </c>
      <c r="X24" s="13">
        <v>-440</v>
      </c>
      <c r="Y24" s="3" t="s">
        <v>487</v>
      </c>
      <c r="Z24" s="2" t="s">
        <v>154</v>
      </c>
      <c r="AA24" s="3">
        <v>157</v>
      </c>
      <c r="AB24" s="3" t="s">
        <v>31</v>
      </c>
      <c r="AC24" s="2" t="s">
        <v>366</v>
      </c>
    </row>
    <row r="25" spans="1:29" s="60" customFormat="1" ht="28.5" hidden="1" x14ac:dyDescent="0.2">
      <c r="A25" s="2">
        <v>24</v>
      </c>
      <c r="B25" s="3">
        <v>31</v>
      </c>
      <c r="C25" s="36" t="s">
        <v>31</v>
      </c>
      <c r="D25" s="2" t="s">
        <v>31</v>
      </c>
      <c r="E25" s="2" t="s">
        <v>32</v>
      </c>
      <c r="F25" s="3" t="s">
        <v>47</v>
      </c>
      <c r="G25" s="3" t="s">
        <v>56</v>
      </c>
      <c r="H25" s="3" t="s">
        <v>13</v>
      </c>
      <c r="I25" s="7">
        <v>40005528</v>
      </c>
      <c r="J25" s="3" t="s">
        <v>103</v>
      </c>
      <c r="K25" s="3"/>
      <c r="L25" s="2" t="s">
        <v>49</v>
      </c>
      <c r="M25" s="15" t="s">
        <v>74</v>
      </c>
      <c r="N25" s="10">
        <v>44984</v>
      </c>
      <c r="O25" s="10">
        <v>45005</v>
      </c>
      <c r="P25" s="37">
        <v>15</v>
      </c>
      <c r="Q25" s="10">
        <v>45230</v>
      </c>
      <c r="R25" s="9">
        <v>45245</v>
      </c>
      <c r="S25" s="43">
        <v>45238</v>
      </c>
      <c r="T25" s="2">
        <v>15</v>
      </c>
      <c r="U25" s="9">
        <v>45252</v>
      </c>
      <c r="V25" s="2">
        <v>8</v>
      </c>
      <c r="W25" s="38">
        <v>5</v>
      </c>
      <c r="X25" s="13">
        <v>-420</v>
      </c>
      <c r="Y25" s="3"/>
      <c r="Z25" s="2" t="s">
        <v>314</v>
      </c>
      <c r="AA25" s="3"/>
      <c r="AB25" s="3" t="s">
        <v>31</v>
      </c>
      <c r="AC25" s="2"/>
    </row>
    <row r="26" spans="1:29" s="60" customFormat="1" ht="28.5" hidden="1" x14ac:dyDescent="0.2">
      <c r="A26" s="2">
        <v>25</v>
      </c>
      <c r="B26" s="3">
        <v>31</v>
      </c>
      <c r="C26" s="36" t="s">
        <v>31</v>
      </c>
      <c r="D26" s="2" t="s">
        <v>31</v>
      </c>
      <c r="E26" s="2" t="s">
        <v>31</v>
      </c>
      <c r="F26" s="3" t="s">
        <v>47</v>
      </c>
      <c r="G26" s="3" t="s">
        <v>56</v>
      </c>
      <c r="H26" s="3" t="s">
        <v>13</v>
      </c>
      <c r="I26" s="7">
        <v>40049738</v>
      </c>
      <c r="J26" s="16" t="s">
        <v>349</v>
      </c>
      <c r="K26" s="3">
        <v>660823000</v>
      </c>
      <c r="L26" s="2" t="s">
        <v>49</v>
      </c>
      <c r="M26" s="15" t="s">
        <v>62</v>
      </c>
      <c r="N26" s="10">
        <v>44978</v>
      </c>
      <c r="O26" s="10">
        <v>44998</v>
      </c>
      <c r="P26" s="37">
        <v>14</v>
      </c>
      <c r="Q26" s="10">
        <v>45076</v>
      </c>
      <c r="R26" s="9">
        <v>45091</v>
      </c>
      <c r="S26" s="43">
        <v>45057</v>
      </c>
      <c r="T26" s="2">
        <v>15</v>
      </c>
      <c r="U26" s="9">
        <v>45097</v>
      </c>
      <c r="V26" s="2">
        <v>-19</v>
      </c>
      <c r="W26" s="38" t="s">
        <v>686</v>
      </c>
      <c r="X26" s="13">
        <v>-575</v>
      </c>
      <c r="Y26" s="3" t="s">
        <v>422</v>
      </c>
      <c r="Z26" s="2" t="s">
        <v>154</v>
      </c>
      <c r="AA26" s="3">
        <v>367</v>
      </c>
      <c r="AB26" s="3" t="s">
        <v>31</v>
      </c>
      <c r="AC26" s="2" t="s">
        <v>366</v>
      </c>
    </row>
    <row r="27" spans="1:29" ht="42.75" hidden="1" x14ac:dyDescent="0.2">
      <c r="A27" s="2">
        <v>26</v>
      </c>
      <c r="B27" s="2">
        <v>22</v>
      </c>
      <c r="C27" s="36" t="s">
        <v>32</v>
      </c>
      <c r="D27" s="2" t="s">
        <v>31</v>
      </c>
      <c r="E27" s="2" t="s">
        <v>32</v>
      </c>
      <c r="F27" s="2" t="s">
        <v>175</v>
      </c>
      <c r="G27" s="2" t="s">
        <v>59</v>
      </c>
      <c r="H27" s="2" t="s">
        <v>269</v>
      </c>
      <c r="I27" s="7">
        <v>40032331</v>
      </c>
      <c r="J27" s="16" t="s">
        <v>432</v>
      </c>
      <c r="K27" s="3">
        <v>219884000</v>
      </c>
      <c r="L27" s="2" t="s">
        <v>49</v>
      </c>
      <c r="M27" s="17" t="s">
        <v>62</v>
      </c>
      <c r="N27" s="10">
        <v>44959</v>
      </c>
      <c r="O27" s="10">
        <v>44984</v>
      </c>
      <c r="P27" s="37">
        <v>16</v>
      </c>
      <c r="Q27" s="10">
        <v>45154</v>
      </c>
      <c r="R27" s="9">
        <v>45164</v>
      </c>
      <c r="S27" s="43">
        <v>45154</v>
      </c>
      <c r="T27" s="2">
        <v>10</v>
      </c>
      <c r="U27" s="9">
        <v>45168</v>
      </c>
      <c r="V27" s="2">
        <v>0</v>
      </c>
      <c r="W27" s="38">
        <v>0</v>
      </c>
      <c r="X27" s="13">
        <v>-504</v>
      </c>
      <c r="Y27" s="2" t="s">
        <v>354</v>
      </c>
      <c r="Z27" s="2" t="s">
        <v>168</v>
      </c>
      <c r="AA27" s="3">
        <v>828708</v>
      </c>
      <c r="AB27" s="3" t="s">
        <v>32</v>
      </c>
      <c r="AC27" s="2" t="s">
        <v>367</v>
      </c>
    </row>
    <row r="28" spans="1:29" ht="28.5" hidden="1" x14ac:dyDescent="0.2">
      <c r="A28" s="2">
        <v>27</v>
      </c>
      <c r="B28" s="2">
        <v>22</v>
      </c>
      <c r="C28" s="36" t="s">
        <v>32</v>
      </c>
      <c r="D28" s="2" t="s">
        <v>32</v>
      </c>
      <c r="E28" s="2" t="s">
        <v>32</v>
      </c>
      <c r="F28" s="2" t="s">
        <v>175</v>
      </c>
      <c r="G28" s="2" t="s">
        <v>59</v>
      </c>
      <c r="H28" s="2" t="s">
        <v>269</v>
      </c>
      <c r="I28" s="7">
        <v>40043665</v>
      </c>
      <c r="J28" s="16" t="s">
        <v>350</v>
      </c>
      <c r="K28" s="3">
        <v>320000000</v>
      </c>
      <c r="L28" s="2" t="s">
        <v>49</v>
      </c>
      <c r="M28" s="15" t="s">
        <v>62</v>
      </c>
      <c r="N28" s="10">
        <v>44957</v>
      </c>
      <c r="O28" s="10">
        <v>44984</v>
      </c>
      <c r="P28" s="37">
        <v>18</v>
      </c>
      <c r="Q28" s="10">
        <v>44988</v>
      </c>
      <c r="R28" s="9">
        <v>45003</v>
      </c>
      <c r="S28" s="43">
        <v>44991</v>
      </c>
      <c r="T28" s="2">
        <v>15</v>
      </c>
      <c r="U28" s="9">
        <v>45009</v>
      </c>
      <c r="V28" s="2">
        <v>3</v>
      </c>
      <c r="W28" s="38">
        <v>1</v>
      </c>
      <c r="X28" s="13">
        <v>-663</v>
      </c>
      <c r="Y28" s="2" t="s">
        <v>353</v>
      </c>
      <c r="Z28" s="2" t="s">
        <v>168</v>
      </c>
      <c r="AA28" s="3">
        <v>828708</v>
      </c>
      <c r="AB28" s="3" t="s">
        <v>31</v>
      </c>
      <c r="AC28" s="2" t="s">
        <v>369</v>
      </c>
    </row>
    <row r="29" spans="1:29" ht="28.5" hidden="1" x14ac:dyDescent="0.2">
      <c r="A29" s="2">
        <v>28</v>
      </c>
      <c r="B29" s="2">
        <v>29</v>
      </c>
      <c r="C29" s="36" t="s">
        <v>31</v>
      </c>
      <c r="D29" s="2" t="s">
        <v>31</v>
      </c>
      <c r="E29" s="2" t="s">
        <v>31</v>
      </c>
      <c r="F29" s="2" t="s">
        <v>45</v>
      </c>
      <c r="G29" s="84" t="s">
        <v>55</v>
      </c>
      <c r="H29" s="2" t="s">
        <v>78</v>
      </c>
      <c r="I29" s="7">
        <v>40049481</v>
      </c>
      <c r="J29" s="3" t="s">
        <v>391</v>
      </c>
      <c r="K29" s="3">
        <v>356309000</v>
      </c>
      <c r="L29" s="2" t="s">
        <v>49</v>
      </c>
      <c r="M29" s="17" t="s">
        <v>62</v>
      </c>
      <c r="N29" s="10">
        <v>44966</v>
      </c>
      <c r="O29" s="10">
        <v>44986</v>
      </c>
      <c r="P29" s="37">
        <v>14</v>
      </c>
      <c r="Q29" s="10">
        <v>45161</v>
      </c>
      <c r="R29" s="9">
        <v>45171</v>
      </c>
      <c r="S29" s="43">
        <v>45167</v>
      </c>
      <c r="T29" s="2">
        <v>10</v>
      </c>
      <c r="U29" s="9">
        <v>45175</v>
      </c>
      <c r="V29" s="2">
        <v>6</v>
      </c>
      <c r="W29" s="38">
        <v>4</v>
      </c>
      <c r="X29" s="13">
        <v>-497</v>
      </c>
      <c r="Y29" s="2" t="s">
        <v>412</v>
      </c>
      <c r="Z29" s="2" t="s">
        <v>172</v>
      </c>
      <c r="AA29" s="3">
        <v>7990</v>
      </c>
      <c r="AB29" s="3" t="s">
        <v>32</v>
      </c>
      <c r="AC29" s="2" t="s">
        <v>375</v>
      </c>
    </row>
    <row r="30" spans="1:29" ht="28.5" hidden="1" x14ac:dyDescent="0.2">
      <c r="A30" s="2">
        <v>29</v>
      </c>
      <c r="B30" s="2">
        <v>29</v>
      </c>
      <c r="C30" s="36" t="s">
        <v>32</v>
      </c>
      <c r="D30" s="2" t="s">
        <v>31</v>
      </c>
      <c r="E30" s="2" t="s">
        <v>32</v>
      </c>
      <c r="F30" s="2" t="s">
        <v>42</v>
      </c>
      <c r="G30" s="2" t="s">
        <v>71</v>
      </c>
      <c r="H30" s="2" t="s">
        <v>20</v>
      </c>
      <c r="I30" s="7">
        <v>40037544</v>
      </c>
      <c r="J30" s="3" t="s">
        <v>321</v>
      </c>
      <c r="K30" s="3">
        <v>211461108</v>
      </c>
      <c r="L30" s="2" t="s">
        <v>49</v>
      </c>
      <c r="M30" s="15" t="s">
        <v>62</v>
      </c>
      <c r="N30" s="10">
        <v>44986</v>
      </c>
      <c r="O30" s="10">
        <v>45006</v>
      </c>
      <c r="P30" s="37">
        <v>14</v>
      </c>
      <c r="Q30" s="10">
        <v>44986</v>
      </c>
      <c r="R30" s="9">
        <v>45001</v>
      </c>
      <c r="S30" s="43">
        <v>45006</v>
      </c>
      <c r="T30" s="2">
        <v>15</v>
      </c>
      <c r="U30" s="9">
        <v>45007</v>
      </c>
      <c r="V30" s="2">
        <v>20</v>
      </c>
      <c r="W30" s="38">
        <v>14</v>
      </c>
      <c r="X30" s="13">
        <v>-665</v>
      </c>
      <c r="Y30" s="2" t="s">
        <v>362</v>
      </c>
      <c r="Z30" s="2" t="s">
        <v>151</v>
      </c>
      <c r="AA30" s="3">
        <v>6986</v>
      </c>
      <c r="AB30" s="3" t="s">
        <v>31</v>
      </c>
      <c r="AC30" s="2" t="s">
        <v>368</v>
      </c>
    </row>
    <row r="31" spans="1:29" ht="28.5" hidden="1" x14ac:dyDescent="0.2">
      <c r="A31" s="2">
        <v>30</v>
      </c>
      <c r="B31" s="2">
        <v>29</v>
      </c>
      <c r="C31" s="36" t="s">
        <v>31</v>
      </c>
      <c r="D31" s="2" t="s">
        <v>31</v>
      </c>
      <c r="E31" s="2" t="s">
        <v>32</v>
      </c>
      <c r="F31" s="2" t="s">
        <v>42</v>
      </c>
      <c r="G31" s="2" t="s">
        <v>65</v>
      </c>
      <c r="H31" s="2" t="s">
        <v>29</v>
      </c>
      <c r="I31" s="7">
        <v>40019426</v>
      </c>
      <c r="J31" s="3" t="s">
        <v>209</v>
      </c>
      <c r="K31" s="3">
        <v>365577000</v>
      </c>
      <c r="L31" s="2" t="s">
        <v>49</v>
      </c>
      <c r="M31" s="15" t="s">
        <v>62</v>
      </c>
      <c r="N31" s="10">
        <v>44987</v>
      </c>
      <c r="O31" s="10">
        <v>45008</v>
      </c>
      <c r="P31" s="37">
        <v>15</v>
      </c>
      <c r="Q31" s="10">
        <v>45076</v>
      </c>
      <c r="R31" s="9">
        <v>45091</v>
      </c>
      <c r="S31" s="43">
        <v>45008</v>
      </c>
      <c r="T31" s="2">
        <v>15</v>
      </c>
      <c r="U31" s="9">
        <v>45097</v>
      </c>
      <c r="V31" s="2">
        <v>-68</v>
      </c>
      <c r="W31" s="38" t="s">
        <v>686</v>
      </c>
      <c r="X31" s="13">
        <v>-575</v>
      </c>
      <c r="Y31" s="2" t="s">
        <v>414</v>
      </c>
      <c r="Z31" s="2" t="s">
        <v>153</v>
      </c>
      <c r="AA31" s="3">
        <v>6956</v>
      </c>
      <c r="AB31" s="3" t="s">
        <v>31</v>
      </c>
      <c r="AC31" s="2" t="s">
        <v>409</v>
      </c>
    </row>
    <row r="32" spans="1:29" ht="28.5" hidden="1" x14ac:dyDescent="0.2">
      <c r="A32" s="2">
        <v>31</v>
      </c>
      <c r="B32" s="2">
        <v>29</v>
      </c>
      <c r="C32" s="36" t="s">
        <v>32</v>
      </c>
      <c r="D32" s="2" t="s">
        <v>31</v>
      </c>
      <c r="E32" s="2" t="s">
        <v>32</v>
      </c>
      <c r="F32" s="2" t="s">
        <v>42</v>
      </c>
      <c r="G32" s="2" t="s">
        <v>42</v>
      </c>
      <c r="H32" s="2" t="s">
        <v>17</v>
      </c>
      <c r="I32" s="7">
        <v>40039802</v>
      </c>
      <c r="J32" s="3" t="s">
        <v>351</v>
      </c>
      <c r="K32" s="3"/>
      <c r="L32" s="2" t="s">
        <v>49</v>
      </c>
      <c r="M32" s="15" t="s">
        <v>74</v>
      </c>
      <c r="N32" s="10">
        <v>44988</v>
      </c>
      <c r="O32" s="10">
        <v>45008</v>
      </c>
      <c r="P32" s="37">
        <v>14</v>
      </c>
      <c r="Q32" s="10">
        <v>44988</v>
      </c>
      <c r="R32" s="9">
        <v>45003</v>
      </c>
      <c r="S32" s="43">
        <v>45008</v>
      </c>
      <c r="T32" s="2">
        <v>15</v>
      </c>
      <c r="U32" s="9">
        <v>45009</v>
      </c>
      <c r="V32" s="2">
        <v>20</v>
      </c>
      <c r="W32" s="38">
        <v>14</v>
      </c>
      <c r="X32" s="13">
        <v>-663</v>
      </c>
      <c r="Y32" s="2"/>
      <c r="Z32" s="2" t="s">
        <v>172</v>
      </c>
      <c r="AA32" s="3"/>
      <c r="AB32" s="3" t="s">
        <v>31</v>
      </c>
      <c r="AC32" s="2"/>
    </row>
    <row r="33" spans="1:29" ht="28.5" hidden="1" x14ac:dyDescent="0.2">
      <c r="A33" s="2">
        <v>32</v>
      </c>
      <c r="B33" s="2">
        <v>22</v>
      </c>
      <c r="C33" s="36" t="s">
        <v>31</v>
      </c>
      <c r="D33" s="2" t="s">
        <v>31</v>
      </c>
      <c r="E33" s="2" t="s">
        <v>32</v>
      </c>
      <c r="F33" s="2" t="s">
        <v>47</v>
      </c>
      <c r="G33" s="2" t="s">
        <v>53</v>
      </c>
      <c r="H33" s="2" t="s">
        <v>399</v>
      </c>
      <c r="I33" s="7">
        <v>40048803</v>
      </c>
      <c r="J33" s="3" t="s">
        <v>402</v>
      </c>
      <c r="K33" s="3"/>
      <c r="L33" s="2" t="s">
        <v>49</v>
      </c>
      <c r="M33" s="15" t="s">
        <v>74</v>
      </c>
      <c r="N33" s="10">
        <v>44981</v>
      </c>
      <c r="O33" s="10">
        <v>45002</v>
      </c>
      <c r="P33" s="37">
        <v>15</v>
      </c>
      <c r="Q33" s="10">
        <v>44981</v>
      </c>
      <c r="R33" s="9">
        <v>44996</v>
      </c>
      <c r="S33" s="43">
        <v>45002</v>
      </c>
      <c r="T33" s="2">
        <v>15</v>
      </c>
      <c r="U33" s="9">
        <v>45002</v>
      </c>
      <c r="V33" s="2">
        <v>21</v>
      </c>
      <c r="W33" s="38">
        <v>15</v>
      </c>
      <c r="X33" s="13">
        <v>-670</v>
      </c>
      <c r="Y33" s="2"/>
      <c r="Z33" s="2" t="s">
        <v>168</v>
      </c>
      <c r="AA33" s="3"/>
      <c r="AB33" s="3" t="s">
        <v>31</v>
      </c>
      <c r="AC33" s="2"/>
    </row>
    <row r="34" spans="1:29" ht="28.5" hidden="1" x14ac:dyDescent="0.2">
      <c r="A34" s="2">
        <v>33</v>
      </c>
      <c r="B34" s="2">
        <v>29</v>
      </c>
      <c r="C34" s="36" t="s">
        <v>32</v>
      </c>
      <c r="D34" s="2" t="s">
        <v>31</v>
      </c>
      <c r="E34" s="2" t="s">
        <v>32</v>
      </c>
      <c r="F34" s="2" t="s">
        <v>47</v>
      </c>
      <c r="G34" s="2" t="s">
        <v>53</v>
      </c>
      <c r="H34" s="2" t="s">
        <v>399</v>
      </c>
      <c r="I34" s="7">
        <v>40043207</v>
      </c>
      <c r="J34" s="3" t="s">
        <v>403</v>
      </c>
      <c r="K34" s="3"/>
      <c r="L34" s="2" t="s">
        <v>49</v>
      </c>
      <c r="M34" s="15" t="s">
        <v>74</v>
      </c>
      <c r="N34" s="10">
        <v>44987</v>
      </c>
      <c r="O34" s="10">
        <v>45008</v>
      </c>
      <c r="P34" s="37">
        <v>15</v>
      </c>
      <c r="Q34" s="10">
        <v>44987</v>
      </c>
      <c r="R34" s="9">
        <v>45002</v>
      </c>
      <c r="S34" s="43">
        <v>45008</v>
      </c>
      <c r="T34" s="2">
        <v>15</v>
      </c>
      <c r="U34" s="9">
        <v>45008</v>
      </c>
      <c r="V34" s="2">
        <v>21</v>
      </c>
      <c r="W34" s="38">
        <v>15</v>
      </c>
      <c r="X34" s="13">
        <v>-664</v>
      </c>
      <c r="Y34" s="2"/>
      <c r="Z34" s="2" t="s">
        <v>157</v>
      </c>
      <c r="AA34" s="3"/>
      <c r="AB34" s="3" t="s">
        <v>31</v>
      </c>
      <c r="AC34" s="2"/>
    </row>
    <row r="35" spans="1:29" ht="28.5" hidden="1" x14ac:dyDescent="0.2">
      <c r="A35" s="2">
        <v>34</v>
      </c>
      <c r="B35" s="2">
        <v>29</v>
      </c>
      <c r="C35" s="36" t="s">
        <v>31</v>
      </c>
      <c r="D35" s="2" t="s">
        <v>31</v>
      </c>
      <c r="E35" s="2" t="s">
        <v>32</v>
      </c>
      <c r="F35" s="2" t="s">
        <v>42</v>
      </c>
      <c r="G35" s="2" t="s">
        <v>58</v>
      </c>
      <c r="H35" s="2" t="s">
        <v>404</v>
      </c>
      <c r="I35" s="7">
        <v>40049985</v>
      </c>
      <c r="J35" s="3" t="s">
        <v>352</v>
      </c>
      <c r="K35" s="3">
        <v>388483000</v>
      </c>
      <c r="L35" s="2" t="s">
        <v>49</v>
      </c>
      <c r="M35" s="15" t="s">
        <v>62</v>
      </c>
      <c r="N35" s="10">
        <v>44992</v>
      </c>
      <c r="O35" s="10">
        <v>45013</v>
      </c>
      <c r="P35" s="37">
        <v>15</v>
      </c>
      <c r="Q35" s="10">
        <v>45169</v>
      </c>
      <c r="R35" s="9">
        <v>45184</v>
      </c>
      <c r="S35" s="43">
        <v>45204</v>
      </c>
      <c r="T35" s="2">
        <v>15</v>
      </c>
      <c r="U35" s="9">
        <v>45194</v>
      </c>
      <c r="V35" s="2">
        <v>35</v>
      </c>
      <c r="W35" s="38">
        <v>23</v>
      </c>
      <c r="X35" s="13">
        <v>-478</v>
      </c>
      <c r="Y35" s="2" t="s">
        <v>485</v>
      </c>
      <c r="Z35" s="2" t="s">
        <v>169</v>
      </c>
      <c r="AA35" s="3">
        <v>8563</v>
      </c>
      <c r="AB35" s="3" t="s">
        <v>31</v>
      </c>
      <c r="AC35" s="2" t="s">
        <v>368</v>
      </c>
    </row>
    <row r="36" spans="1:29" ht="28.5" hidden="1" x14ac:dyDescent="0.2">
      <c r="A36" s="2">
        <v>35</v>
      </c>
      <c r="B36" s="2">
        <v>29</v>
      </c>
      <c r="C36" s="36" t="s">
        <v>32</v>
      </c>
      <c r="D36" s="2" t="s">
        <v>31</v>
      </c>
      <c r="E36" s="2" t="s">
        <v>32</v>
      </c>
      <c r="F36" s="2" t="s">
        <v>45</v>
      </c>
      <c r="G36" s="2" t="s">
        <v>73</v>
      </c>
      <c r="H36" s="2" t="s">
        <v>14</v>
      </c>
      <c r="I36" s="18">
        <v>40039887</v>
      </c>
      <c r="J36" s="49" t="s">
        <v>241</v>
      </c>
      <c r="K36" s="3"/>
      <c r="L36" s="2" t="s">
        <v>49</v>
      </c>
      <c r="M36" s="15" t="s">
        <v>74</v>
      </c>
      <c r="N36" s="10">
        <v>44992</v>
      </c>
      <c r="O36" s="10">
        <v>45013</v>
      </c>
      <c r="P36" s="37">
        <v>15</v>
      </c>
      <c r="Q36" s="10">
        <v>45173</v>
      </c>
      <c r="R36" s="9">
        <v>45188</v>
      </c>
      <c r="S36" s="43">
        <v>45205</v>
      </c>
      <c r="T36" s="2">
        <v>15</v>
      </c>
      <c r="U36" s="9">
        <v>45196</v>
      </c>
      <c r="V36" s="2">
        <v>32</v>
      </c>
      <c r="W36" s="38">
        <v>22</v>
      </c>
      <c r="X36" s="13">
        <v>-476</v>
      </c>
      <c r="Y36" s="2"/>
      <c r="Z36" s="2" t="s">
        <v>169</v>
      </c>
      <c r="AA36" s="3"/>
      <c r="AB36" s="3" t="s">
        <v>31</v>
      </c>
      <c r="AC36" s="2" t="s">
        <v>368</v>
      </c>
    </row>
    <row r="37" spans="1:29" ht="30.75" hidden="1" customHeight="1" x14ac:dyDescent="0.2">
      <c r="A37" s="2">
        <v>36</v>
      </c>
      <c r="B37" s="2">
        <v>29</v>
      </c>
      <c r="C37" s="36" t="s">
        <v>31</v>
      </c>
      <c r="D37" s="2" t="s">
        <v>32</v>
      </c>
      <c r="E37" s="2" t="s">
        <v>31</v>
      </c>
      <c r="F37" s="2" t="s">
        <v>48</v>
      </c>
      <c r="G37" s="3" t="s">
        <v>393</v>
      </c>
      <c r="H37" s="2" t="s">
        <v>78</v>
      </c>
      <c r="I37" s="7">
        <v>40035802</v>
      </c>
      <c r="J37" s="3" t="s">
        <v>355</v>
      </c>
      <c r="K37" s="3">
        <v>189203000</v>
      </c>
      <c r="L37" s="2" t="s">
        <v>49</v>
      </c>
      <c r="M37" s="17" t="s">
        <v>62</v>
      </c>
      <c r="N37" s="10"/>
      <c r="O37" s="10"/>
      <c r="P37" s="37" t="s">
        <v>686</v>
      </c>
      <c r="Q37" s="10">
        <v>45050</v>
      </c>
      <c r="R37" s="9">
        <v>45060</v>
      </c>
      <c r="S37" s="43">
        <v>45051</v>
      </c>
      <c r="T37" s="2">
        <v>10</v>
      </c>
      <c r="U37" s="9">
        <v>45064</v>
      </c>
      <c r="V37" s="2">
        <v>1</v>
      </c>
      <c r="W37" s="38">
        <v>1</v>
      </c>
      <c r="X37" s="13">
        <v>-608</v>
      </c>
      <c r="Y37" s="2" t="s">
        <v>228</v>
      </c>
      <c r="Z37" s="12" t="s">
        <v>164</v>
      </c>
      <c r="AA37" s="3">
        <v>8944</v>
      </c>
      <c r="AB37" s="3" t="s">
        <v>32</v>
      </c>
      <c r="AC37" s="2" t="s">
        <v>375</v>
      </c>
    </row>
    <row r="38" spans="1:29" ht="30.75" hidden="1" customHeight="1" x14ac:dyDescent="0.2">
      <c r="A38" s="2">
        <v>37</v>
      </c>
      <c r="B38" s="2">
        <v>29</v>
      </c>
      <c r="C38" s="36" t="s">
        <v>31</v>
      </c>
      <c r="D38" s="2" t="s">
        <v>31</v>
      </c>
      <c r="E38" s="2" t="s">
        <v>31</v>
      </c>
      <c r="F38" s="2" t="s">
        <v>42</v>
      </c>
      <c r="G38" s="2" t="s">
        <v>43</v>
      </c>
      <c r="H38" s="2" t="s">
        <v>26</v>
      </c>
      <c r="I38" s="7">
        <v>40005408</v>
      </c>
      <c r="J38" s="3" t="s">
        <v>196</v>
      </c>
      <c r="K38" s="3">
        <v>301384000</v>
      </c>
      <c r="L38" s="2" t="s">
        <v>49</v>
      </c>
      <c r="M38" s="17" t="s">
        <v>62</v>
      </c>
      <c r="N38" s="10"/>
      <c r="O38" s="9"/>
      <c r="P38" s="37" t="s">
        <v>686</v>
      </c>
      <c r="Q38" s="10">
        <v>45037</v>
      </c>
      <c r="R38" s="9">
        <v>45047</v>
      </c>
      <c r="S38" s="43">
        <v>45049</v>
      </c>
      <c r="T38" s="2">
        <v>10</v>
      </c>
      <c r="U38" s="9">
        <v>45054</v>
      </c>
      <c r="V38" s="2">
        <v>12</v>
      </c>
      <c r="W38" s="38">
        <v>7</v>
      </c>
      <c r="X38" s="13">
        <v>-618</v>
      </c>
      <c r="Y38" s="2" t="s">
        <v>173</v>
      </c>
      <c r="Z38" s="2" t="s">
        <v>153</v>
      </c>
      <c r="AA38" s="3">
        <v>12219</v>
      </c>
      <c r="AB38" s="3" t="s">
        <v>32</v>
      </c>
      <c r="AC38" s="2" t="s">
        <v>409</v>
      </c>
    </row>
    <row r="39" spans="1:29" ht="28.5" hidden="1" x14ac:dyDescent="0.2">
      <c r="A39" s="2">
        <v>38</v>
      </c>
      <c r="B39" s="2">
        <v>31</v>
      </c>
      <c r="C39" s="36" t="s">
        <v>31</v>
      </c>
      <c r="D39" s="2" t="s">
        <v>31</v>
      </c>
      <c r="E39" s="2" t="s">
        <v>32</v>
      </c>
      <c r="F39" s="2" t="s">
        <v>47</v>
      </c>
      <c r="G39" s="2" t="s">
        <v>396</v>
      </c>
      <c r="H39" s="2" t="s">
        <v>405</v>
      </c>
      <c r="I39" s="7">
        <v>40049291</v>
      </c>
      <c r="J39" s="3" t="s">
        <v>356</v>
      </c>
      <c r="K39" s="3">
        <v>518702000</v>
      </c>
      <c r="L39" s="2" t="s">
        <v>49</v>
      </c>
      <c r="M39" s="15" t="s">
        <v>62</v>
      </c>
      <c r="N39" s="10">
        <v>44994</v>
      </c>
      <c r="O39" s="10">
        <v>45015</v>
      </c>
      <c r="P39" s="37">
        <v>15</v>
      </c>
      <c r="Q39" s="10">
        <v>45083</v>
      </c>
      <c r="R39" s="9">
        <v>45098</v>
      </c>
      <c r="S39" s="43">
        <v>45106</v>
      </c>
      <c r="T39" s="2">
        <v>15</v>
      </c>
      <c r="U39" s="9">
        <v>45106</v>
      </c>
      <c r="V39" s="2">
        <v>23</v>
      </c>
      <c r="W39" s="38">
        <v>15</v>
      </c>
      <c r="X39" s="13">
        <v>-566</v>
      </c>
      <c r="Y39" s="2" t="s">
        <v>423</v>
      </c>
      <c r="Z39" s="2" t="s">
        <v>154</v>
      </c>
      <c r="AA39" s="3">
        <v>102</v>
      </c>
      <c r="AB39" s="3" t="s">
        <v>31</v>
      </c>
      <c r="AC39" s="2" t="s">
        <v>366</v>
      </c>
    </row>
    <row r="40" spans="1:29" ht="28.5" hidden="1" x14ac:dyDescent="0.2">
      <c r="A40" s="2">
        <v>39</v>
      </c>
      <c r="B40" s="2">
        <v>29</v>
      </c>
      <c r="C40" s="36" t="s">
        <v>32</v>
      </c>
      <c r="D40" s="2" t="s">
        <v>31</v>
      </c>
      <c r="E40" s="2" t="s">
        <v>32</v>
      </c>
      <c r="F40" s="2" t="s">
        <v>47</v>
      </c>
      <c r="G40" s="2" t="s">
        <v>396</v>
      </c>
      <c r="H40" s="2" t="s">
        <v>405</v>
      </c>
      <c r="I40" s="7">
        <v>40040641</v>
      </c>
      <c r="J40" s="3" t="s">
        <v>301</v>
      </c>
      <c r="K40" s="3">
        <v>734241594</v>
      </c>
      <c r="L40" s="2" t="s">
        <v>49</v>
      </c>
      <c r="M40" s="15" t="s">
        <v>62</v>
      </c>
      <c r="N40" s="10">
        <v>45000</v>
      </c>
      <c r="O40" s="10">
        <v>45021</v>
      </c>
      <c r="P40" s="37">
        <v>15</v>
      </c>
      <c r="Q40" s="10">
        <v>45030</v>
      </c>
      <c r="R40" s="9">
        <v>45045</v>
      </c>
      <c r="S40" s="43">
        <v>45054</v>
      </c>
      <c r="T40" s="2">
        <v>15</v>
      </c>
      <c r="U40" s="9">
        <v>45054</v>
      </c>
      <c r="V40" s="2">
        <v>24</v>
      </c>
      <c r="W40" s="38">
        <v>15</v>
      </c>
      <c r="X40" s="13">
        <v>-618</v>
      </c>
      <c r="Y40" s="2" t="s">
        <v>386</v>
      </c>
      <c r="Z40" s="2" t="s">
        <v>157</v>
      </c>
      <c r="AA40" s="3">
        <v>725</v>
      </c>
      <c r="AB40" s="3" t="s">
        <v>31</v>
      </c>
      <c r="AC40" s="2" t="s">
        <v>366</v>
      </c>
    </row>
    <row r="41" spans="1:29" ht="28.5" hidden="1" x14ac:dyDescent="0.2">
      <c r="A41" s="2">
        <v>40</v>
      </c>
      <c r="B41" s="2">
        <v>29</v>
      </c>
      <c r="C41" s="36" t="s">
        <v>31</v>
      </c>
      <c r="D41" s="2" t="s">
        <v>31</v>
      </c>
      <c r="E41" s="2" t="s">
        <v>31</v>
      </c>
      <c r="F41" s="2" t="s">
        <v>47</v>
      </c>
      <c r="G41" s="84" t="s">
        <v>1</v>
      </c>
      <c r="H41" s="2" t="s">
        <v>8</v>
      </c>
      <c r="I41" s="18">
        <v>40049055</v>
      </c>
      <c r="J41" s="3" t="s">
        <v>361</v>
      </c>
      <c r="K41" s="3">
        <v>622462000</v>
      </c>
      <c r="L41" s="2" t="s">
        <v>49</v>
      </c>
      <c r="M41" s="15" t="s">
        <v>62</v>
      </c>
      <c r="N41" s="10">
        <v>44999</v>
      </c>
      <c r="O41" s="10">
        <v>45019</v>
      </c>
      <c r="P41" s="37">
        <v>14</v>
      </c>
      <c r="Q41" s="10">
        <v>45216</v>
      </c>
      <c r="R41" s="9">
        <v>45231</v>
      </c>
      <c r="S41" s="43">
        <v>45223</v>
      </c>
      <c r="T41" s="2">
        <v>15</v>
      </c>
      <c r="U41" s="9">
        <v>45239</v>
      </c>
      <c r="V41" s="2">
        <v>7</v>
      </c>
      <c r="W41" s="38">
        <v>5</v>
      </c>
      <c r="X41" s="13">
        <v>-433</v>
      </c>
      <c r="Y41" s="2" t="s">
        <v>497</v>
      </c>
      <c r="Z41" s="2" t="s">
        <v>157</v>
      </c>
      <c r="AA41" s="3">
        <v>2597</v>
      </c>
      <c r="AB41" s="3" t="s">
        <v>31</v>
      </c>
      <c r="AC41" s="2" t="s">
        <v>366</v>
      </c>
    </row>
    <row r="42" spans="1:29" ht="28.5" hidden="1" x14ac:dyDescent="0.2">
      <c r="A42" s="2">
        <v>41</v>
      </c>
      <c r="B42" s="2">
        <v>29</v>
      </c>
      <c r="C42" s="36" t="s">
        <v>31</v>
      </c>
      <c r="D42" s="2" t="s">
        <v>31</v>
      </c>
      <c r="E42" s="2" t="s">
        <v>32</v>
      </c>
      <c r="F42" s="2" t="s">
        <v>47</v>
      </c>
      <c r="G42" s="84" t="s">
        <v>395</v>
      </c>
      <c r="H42" s="2" t="s">
        <v>406</v>
      </c>
      <c r="I42" s="7">
        <v>40050856</v>
      </c>
      <c r="J42" s="49" t="s">
        <v>363</v>
      </c>
      <c r="K42" s="3">
        <v>659178000</v>
      </c>
      <c r="L42" s="2" t="s">
        <v>49</v>
      </c>
      <c r="M42" s="15" t="s">
        <v>62</v>
      </c>
      <c r="N42" s="10">
        <v>45007</v>
      </c>
      <c r="O42" s="10">
        <v>45030</v>
      </c>
      <c r="P42" s="37">
        <v>16</v>
      </c>
      <c r="Q42" s="10">
        <v>45203</v>
      </c>
      <c r="R42" s="9">
        <v>45218</v>
      </c>
      <c r="S42" s="43">
        <v>45229</v>
      </c>
      <c r="T42" s="2">
        <v>15</v>
      </c>
      <c r="U42" s="9">
        <v>45225</v>
      </c>
      <c r="V42" s="2">
        <v>26</v>
      </c>
      <c r="W42" s="38">
        <v>16</v>
      </c>
      <c r="X42" s="13">
        <v>-447</v>
      </c>
      <c r="Y42" s="2" t="s">
        <v>502</v>
      </c>
      <c r="Z42" s="2" t="s">
        <v>169</v>
      </c>
      <c r="AA42" s="3">
        <v>3339</v>
      </c>
      <c r="AB42" s="3" t="s">
        <v>31</v>
      </c>
      <c r="AC42" s="2"/>
    </row>
    <row r="43" spans="1:29" ht="28.5" hidden="1" x14ac:dyDescent="0.2">
      <c r="A43" s="2">
        <v>42</v>
      </c>
      <c r="B43" s="2">
        <v>29</v>
      </c>
      <c r="C43" s="36" t="s">
        <v>31</v>
      </c>
      <c r="D43" s="2" t="s">
        <v>31</v>
      </c>
      <c r="E43" s="2" t="s">
        <v>32</v>
      </c>
      <c r="F43" s="2" t="s">
        <v>42</v>
      </c>
      <c r="G43" s="2" t="s">
        <v>42</v>
      </c>
      <c r="H43" s="2" t="s">
        <v>17</v>
      </c>
      <c r="I43" s="7">
        <v>40044531</v>
      </c>
      <c r="J43" s="49" t="s">
        <v>364</v>
      </c>
      <c r="K43" s="3"/>
      <c r="L43" s="2" t="s">
        <v>49</v>
      </c>
      <c r="M43" s="15" t="s">
        <v>74</v>
      </c>
      <c r="N43" s="10">
        <v>45006</v>
      </c>
      <c r="O43" s="10">
        <v>45028</v>
      </c>
      <c r="P43" s="37">
        <v>15</v>
      </c>
      <c r="Q43" s="10">
        <v>45006</v>
      </c>
      <c r="R43" s="9">
        <v>45021</v>
      </c>
      <c r="S43" s="43">
        <v>45028</v>
      </c>
      <c r="T43" s="2">
        <v>15</v>
      </c>
      <c r="U43" s="9">
        <v>45028</v>
      </c>
      <c r="V43" s="2">
        <v>22</v>
      </c>
      <c r="W43" s="38">
        <v>15</v>
      </c>
      <c r="X43" s="13">
        <v>-644</v>
      </c>
      <c r="Y43" s="2"/>
      <c r="Z43" s="2" t="s">
        <v>152</v>
      </c>
      <c r="AA43" s="3"/>
      <c r="AB43" s="3" t="s">
        <v>31</v>
      </c>
      <c r="AC43" s="2"/>
    </row>
    <row r="44" spans="1:29" ht="28.5" hidden="1" x14ac:dyDescent="0.2">
      <c r="A44" s="2">
        <v>43</v>
      </c>
      <c r="B44" s="2">
        <v>31</v>
      </c>
      <c r="C44" s="36" t="s">
        <v>32</v>
      </c>
      <c r="D44" s="2" t="s">
        <v>31</v>
      </c>
      <c r="E44" s="2" t="s">
        <v>32</v>
      </c>
      <c r="F44" s="2" t="s">
        <v>45</v>
      </c>
      <c r="G44" s="2" t="s">
        <v>60</v>
      </c>
      <c r="H44" s="2" t="s">
        <v>7</v>
      </c>
      <c r="I44" s="7">
        <v>40042403</v>
      </c>
      <c r="J44" s="3" t="s">
        <v>448</v>
      </c>
      <c r="K44" s="3">
        <v>987774000</v>
      </c>
      <c r="L44" s="2" t="s">
        <v>49</v>
      </c>
      <c r="M44" s="15" t="s">
        <v>62</v>
      </c>
      <c r="N44" s="10">
        <v>45012</v>
      </c>
      <c r="O44" s="10">
        <v>45034</v>
      </c>
      <c r="P44" s="37">
        <v>15</v>
      </c>
      <c r="Q44" s="10">
        <v>45139</v>
      </c>
      <c r="R44" s="9">
        <v>45154</v>
      </c>
      <c r="S44" s="43">
        <v>45169</v>
      </c>
      <c r="T44" s="2">
        <v>15</v>
      </c>
      <c r="U44" s="9">
        <v>45161</v>
      </c>
      <c r="V44" s="2">
        <v>30</v>
      </c>
      <c r="W44" s="38">
        <v>21</v>
      </c>
      <c r="X44" s="13">
        <v>-511</v>
      </c>
      <c r="Y44" s="2" t="s">
        <v>469</v>
      </c>
      <c r="Z44" s="2" t="s">
        <v>154</v>
      </c>
      <c r="AA44" s="3">
        <v>404</v>
      </c>
      <c r="AB44" s="3" t="s">
        <v>31</v>
      </c>
      <c r="AC44" s="2" t="s">
        <v>366</v>
      </c>
    </row>
    <row r="45" spans="1:29" ht="42.75" hidden="1" x14ac:dyDescent="0.2">
      <c r="A45" s="2">
        <v>44</v>
      </c>
      <c r="B45" s="2">
        <v>29</v>
      </c>
      <c r="C45" s="36" t="s">
        <v>31</v>
      </c>
      <c r="D45" s="2" t="s">
        <v>31</v>
      </c>
      <c r="E45" s="2" t="s">
        <v>32</v>
      </c>
      <c r="F45" s="2" t="s">
        <v>45</v>
      </c>
      <c r="G45" s="2" t="s">
        <v>51</v>
      </c>
      <c r="H45" s="2" t="s">
        <v>11</v>
      </c>
      <c r="I45" s="7">
        <v>40039966</v>
      </c>
      <c r="J45" s="49" t="s">
        <v>435</v>
      </c>
      <c r="K45" s="3">
        <v>2344418000</v>
      </c>
      <c r="L45" s="2" t="s">
        <v>49</v>
      </c>
      <c r="M45" s="17" t="s">
        <v>62</v>
      </c>
      <c r="N45" s="10">
        <v>45012</v>
      </c>
      <c r="O45" s="10">
        <v>45034</v>
      </c>
      <c r="P45" s="37">
        <v>15</v>
      </c>
      <c r="Q45" s="10">
        <v>45124</v>
      </c>
      <c r="R45" s="9">
        <v>45134</v>
      </c>
      <c r="S45" s="43">
        <v>45141</v>
      </c>
      <c r="T45" s="2">
        <v>10</v>
      </c>
      <c r="U45" s="9">
        <v>45138</v>
      </c>
      <c r="V45" s="2">
        <v>17</v>
      </c>
      <c r="W45" s="38">
        <v>13</v>
      </c>
      <c r="X45" s="13">
        <v>-534</v>
      </c>
      <c r="Y45" s="2" t="s">
        <v>408</v>
      </c>
      <c r="Z45" s="2" t="s">
        <v>167</v>
      </c>
      <c r="AA45" s="3">
        <v>84700</v>
      </c>
      <c r="AB45" s="3" t="s">
        <v>32</v>
      </c>
      <c r="AC45" s="2" t="s">
        <v>367</v>
      </c>
    </row>
    <row r="46" spans="1:29" ht="28.5" hidden="1" x14ac:dyDescent="0.2">
      <c r="A46" s="2">
        <v>45</v>
      </c>
      <c r="B46" s="2">
        <v>29</v>
      </c>
      <c r="C46" s="36" t="s">
        <v>32</v>
      </c>
      <c r="D46" s="2" t="s">
        <v>31</v>
      </c>
      <c r="E46" s="2" t="s">
        <v>32</v>
      </c>
      <c r="F46" s="2" t="s">
        <v>47</v>
      </c>
      <c r="G46" s="2" t="s">
        <v>0</v>
      </c>
      <c r="H46" s="2" t="s">
        <v>18</v>
      </c>
      <c r="I46" s="7">
        <v>40013891</v>
      </c>
      <c r="J46" s="3" t="s">
        <v>148</v>
      </c>
      <c r="K46" s="3">
        <v>316000000</v>
      </c>
      <c r="L46" s="2" t="s">
        <v>49</v>
      </c>
      <c r="M46" s="15" t="s">
        <v>62</v>
      </c>
      <c r="N46" s="10">
        <v>45016</v>
      </c>
      <c r="O46" s="10">
        <v>45027</v>
      </c>
      <c r="P46" s="37">
        <v>6</v>
      </c>
      <c r="Q46" s="10">
        <v>45083</v>
      </c>
      <c r="R46" s="9">
        <v>45098</v>
      </c>
      <c r="S46" s="43">
        <v>45106</v>
      </c>
      <c r="T46" s="2">
        <v>15</v>
      </c>
      <c r="U46" s="9">
        <v>45106</v>
      </c>
      <c r="V46" s="2">
        <v>23</v>
      </c>
      <c r="W46" s="38">
        <v>15</v>
      </c>
      <c r="X46" s="13">
        <v>-566</v>
      </c>
      <c r="Y46" s="2" t="s">
        <v>424</v>
      </c>
      <c r="Z46" s="2" t="s">
        <v>153</v>
      </c>
      <c r="AA46" s="3">
        <v>3096</v>
      </c>
      <c r="AB46" s="12" t="s">
        <v>31</v>
      </c>
      <c r="AC46" s="2" t="s">
        <v>409</v>
      </c>
    </row>
    <row r="47" spans="1:29" ht="28.5" hidden="1" x14ac:dyDescent="0.2">
      <c r="A47" s="2">
        <v>46</v>
      </c>
      <c r="B47" s="2">
        <v>29</v>
      </c>
      <c r="C47" s="36" t="s">
        <v>31</v>
      </c>
      <c r="D47" s="2" t="s">
        <v>31</v>
      </c>
      <c r="E47" s="2" t="s">
        <v>31</v>
      </c>
      <c r="F47" s="2" t="s">
        <v>45</v>
      </c>
      <c r="G47" s="2" t="s">
        <v>61</v>
      </c>
      <c r="H47" s="2" t="s">
        <v>15</v>
      </c>
      <c r="I47" s="7">
        <v>40051200</v>
      </c>
      <c r="J47" s="49" t="s">
        <v>370</v>
      </c>
      <c r="K47" s="3"/>
      <c r="L47" s="2" t="s">
        <v>49</v>
      </c>
      <c r="M47" s="15" t="s">
        <v>74</v>
      </c>
      <c r="N47" s="10">
        <v>45015</v>
      </c>
      <c r="O47" s="10">
        <v>45036</v>
      </c>
      <c r="P47" s="37">
        <v>14</v>
      </c>
      <c r="Q47" s="10">
        <v>45120</v>
      </c>
      <c r="R47" s="9">
        <v>45135</v>
      </c>
      <c r="S47" s="43">
        <v>45142</v>
      </c>
      <c r="T47" s="2">
        <v>15</v>
      </c>
      <c r="U47" s="9">
        <v>45141</v>
      </c>
      <c r="V47" s="2">
        <v>22</v>
      </c>
      <c r="W47" s="38">
        <v>16</v>
      </c>
      <c r="X47" s="13">
        <v>-531</v>
      </c>
      <c r="Y47" s="2"/>
      <c r="Z47" s="2" t="s">
        <v>371</v>
      </c>
      <c r="AA47" s="3"/>
      <c r="AB47" s="12" t="s">
        <v>31</v>
      </c>
      <c r="AC47" s="2"/>
    </row>
    <row r="48" spans="1:29" ht="28.5" hidden="1" x14ac:dyDescent="0.2">
      <c r="A48" s="2">
        <v>47</v>
      </c>
      <c r="B48" s="2">
        <v>29</v>
      </c>
      <c r="C48" s="36" t="s">
        <v>31</v>
      </c>
      <c r="D48" s="2" t="s">
        <v>31</v>
      </c>
      <c r="E48" s="2" t="s">
        <v>32</v>
      </c>
      <c r="F48" s="2" t="s">
        <v>47</v>
      </c>
      <c r="G48" s="2" t="s">
        <v>395</v>
      </c>
      <c r="H48" s="2" t="s">
        <v>406</v>
      </c>
      <c r="I48" s="7">
        <v>40050854</v>
      </c>
      <c r="J48" s="49" t="s">
        <v>372</v>
      </c>
      <c r="K48" s="3">
        <v>252164000</v>
      </c>
      <c r="L48" s="2" t="s">
        <v>49</v>
      </c>
      <c r="M48" s="15" t="s">
        <v>62</v>
      </c>
      <c r="N48" s="10">
        <v>45021</v>
      </c>
      <c r="O48" s="10">
        <v>45043</v>
      </c>
      <c r="P48" s="37">
        <v>15</v>
      </c>
      <c r="Q48" s="10">
        <v>45224</v>
      </c>
      <c r="R48" s="9">
        <v>45239</v>
      </c>
      <c r="S48" s="43">
        <v>45229</v>
      </c>
      <c r="T48" s="2">
        <v>15</v>
      </c>
      <c r="U48" s="9">
        <v>45247</v>
      </c>
      <c r="V48" s="2">
        <v>5</v>
      </c>
      <c r="W48" s="38">
        <v>2</v>
      </c>
      <c r="X48" s="13">
        <v>-425</v>
      </c>
      <c r="Y48" s="2" t="s">
        <v>505</v>
      </c>
      <c r="Z48" s="2" t="s">
        <v>383</v>
      </c>
      <c r="AA48" s="3">
        <v>3829</v>
      </c>
      <c r="AB48" s="12" t="s">
        <v>31</v>
      </c>
      <c r="AC48" s="2"/>
    </row>
    <row r="49" spans="1:29" ht="28.5" hidden="1" x14ac:dyDescent="0.2">
      <c r="A49" s="2">
        <v>48</v>
      </c>
      <c r="B49" s="2">
        <v>29</v>
      </c>
      <c r="C49" s="36" t="s">
        <v>31</v>
      </c>
      <c r="D49" s="2" t="s">
        <v>31</v>
      </c>
      <c r="E49" s="2" t="s">
        <v>32</v>
      </c>
      <c r="F49" s="2" t="s">
        <v>45</v>
      </c>
      <c r="G49" s="2" t="s">
        <v>46</v>
      </c>
      <c r="H49" s="2" t="s">
        <v>23</v>
      </c>
      <c r="I49" s="2">
        <v>40045839</v>
      </c>
      <c r="J49" s="3" t="s">
        <v>376</v>
      </c>
      <c r="K49" s="3">
        <v>95438000</v>
      </c>
      <c r="L49" s="2" t="s">
        <v>49</v>
      </c>
      <c r="M49" s="15" t="s">
        <v>62</v>
      </c>
      <c r="N49" s="10">
        <v>45034</v>
      </c>
      <c r="O49" s="10">
        <v>45056</v>
      </c>
      <c r="P49" s="37">
        <v>15</v>
      </c>
      <c r="Q49" s="10">
        <v>45161</v>
      </c>
      <c r="R49" s="9">
        <v>45176</v>
      </c>
      <c r="S49" s="43">
        <v>45181</v>
      </c>
      <c r="T49" s="2">
        <v>15</v>
      </c>
      <c r="U49" s="9">
        <v>45182</v>
      </c>
      <c r="V49" s="2">
        <v>20</v>
      </c>
      <c r="W49" s="38">
        <v>14</v>
      </c>
      <c r="X49" s="13">
        <v>-490</v>
      </c>
      <c r="Y49" s="2" t="s">
        <v>478</v>
      </c>
      <c r="Z49" s="2" t="s">
        <v>384</v>
      </c>
      <c r="AA49" s="3">
        <v>20</v>
      </c>
      <c r="AB49" s="12" t="s">
        <v>31</v>
      </c>
      <c r="AC49" s="2" t="s">
        <v>375</v>
      </c>
    </row>
    <row r="50" spans="1:29" ht="28.5" hidden="1" x14ac:dyDescent="0.2">
      <c r="A50" s="2">
        <v>49</v>
      </c>
      <c r="B50" s="2">
        <v>29</v>
      </c>
      <c r="C50" s="36" t="s">
        <v>31</v>
      </c>
      <c r="D50" s="2" t="s">
        <v>31</v>
      </c>
      <c r="E50" s="2" t="s">
        <v>31</v>
      </c>
      <c r="F50" s="2" t="s">
        <v>45</v>
      </c>
      <c r="G50" s="2" t="s">
        <v>59</v>
      </c>
      <c r="H50" s="2" t="s">
        <v>78</v>
      </c>
      <c r="I50" s="7">
        <v>40034230</v>
      </c>
      <c r="J50" s="3" t="s">
        <v>377</v>
      </c>
      <c r="K50" s="3">
        <v>1445553000</v>
      </c>
      <c r="L50" s="2" t="s">
        <v>49</v>
      </c>
      <c r="M50" s="15" t="s">
        <v>62</v>
      </c>
      <c r="N50" s="10">
        <v>45022</v>
      </c>
      <c r="O50" s="10">
        <v>45044</v>
      </c>
      <c r="P50" s="37">
        <v>15</v>
      </c>
      <c r="Q50" s="10">
        <v>45149</v>
      </c>
      <c r="R50" s="9">
        <v>45164</v>
      </c>
      <c r="S50" s="43">
        <v>45162</v>
      </c>
      <c r="T50" s="2">
        <v>15</v>
      </c>
      <c r="U50" s="9">
        <v>45173</v>
      </c>
      <c r="V50" s="2">
        <v>13</v>
      </c>
      <c r="W50" s="38">
        <v>8</v>
      </c>
      <c r="X50" s="13">
        <v>-499</v>
      </c>
      <c r="Y50" s="2" t="s">
        <v>461</v>
      </c>
      <c r="Z50" s="2" t="s">
        <v>172</v>
      </c>
      <c r="AA50" s="3">
        <v>466521</v>
      </c>
      <c r="AB50" s="12" t="s">
        <v>31</v>
      </c>
      <c r="AC50" s="2"/>
    </row>
    <row r="51" spans="1:29" ht="28.5" hidden="1" x14ac:dyDescent="0.2">
      <c r="A51" s="2">
        <v>50</v>
      </c>
      <c r="B51" s="2">
        <v>29</v>
      </c>
      <c r="C51" s="36" t="s">
        <v>32</v>
      </c>
      <c r="D51" s="2" t="s">
        <v>31</v>
      </c>
      <c r="E51" s="2" t="s">
        <v>32</v>
      </c>
      <c r="F51" s="2" t="s">
        <v>45</v>
      </c>
      <c r="G51" s="2" t="s">
        <v>55</v>
      </c>
      <c r="H51" s="2" t="s">
        <v>4</v>
      </c>
      <c r="I51" s="7">
        <v>40039653</v>
      </c>
      <c r="J51" s="3" t="s">
        <v>378</v>
      </c>
      <c r="K51" s="3"/>
      <c r="L51" s="2" t="s">
        <v>49</v>
      </c>
      <c r="M51" s="15" t="s">
        <v>74</v>
      </c>
      <c r="N51" s="10">
        <v>45035</v>
      </c>
      <c r="O51" s="10">
        <v>45057</v>
      </c>
      <c r="P51" s="37">
        <v>15</v>
      </c>
      <c r="Q51" s="10">
        <v>45035</v>
      </c>
      <c r="R51" s="9">
        <v>45050</v>
      </c>
      <c r="S51" s="43">
        <v>45057</v>
      </c>
      <c r="T51" s="2">
        <v>15</v>
      </c>
      <c r="U51" s="9">
        <v>45057</v>
      </c>
      <c r="V51" s="2">
        <v>22</v>
      </c>
      <c r="W51" s="38">
        <v>15</v>
      </c>
      <c r="X51" s="13">
        <v>-615</v>
      </c>
      <c r="Y51" s="2"/>
      <c r="Z51" s="2" t="s">
        <v>164</v>
      </c>
      <c r="AA51" s="3"/>
      <c r="AB51" s="12" t="s">
        <v>31</v>
      </c>
      <c r="AC51" s="2"/>
    </row>
    <row r="52" spans="1:29" ht="28.5" hidden="1" x14ac:dyDescent="0.2">
      <c r="A52" s="2">
        <v>51</v>
      </c>
      <c r="B52" s="2">
        <v>29</v>
      </c>
      <c r="C52" s="36" t="s">
        <v>31</v>
      </c>
      <c r="D52" s="2" t="s">
        <v>31</v>
      </c>
      <c r="E52" s="2" t="s">
        <v>32</v>
      </c>
      <c r="F52" s="2" t="s">
        <v>47</v>
      </c>
      <c r="G52" s="2" t="s">
        <v>54</v>
      </c>
      <c r="H52" s="2" t="s">
        <v>407</v>
      </c>
      <c r="I52" s="7">
        <v>40051860</v>
      </c>
      <c r="J52" s="49" t="s">
        <v>382</v>
      </c>
      <c r="K52" s="3"/>
      <c r="L52" s="2" t="s">
        <v>49</v>
      </c>
      <c r="M52" s="15" t="s">
        <v>74</v>
      </c>
      <c r="N52" s="10">
        <v>45044</v>
      </c>
      <c r="O52" s="10">
        <v>45065</v>
      </c>
      <c r="P52" s="37">
        <v>14</v>
      </c>
      <c r="Q52" s="10">
        <v>45253</v>
      </c>
      <c r="R52" s="9">
        <v>45268</v>
      </c>
      <c r="S52" s="43">
        <v>45271</v>
      </c>
      <c r="T52" s="2">
        <v>15</v>
      </c>
      <c r="U52" s="9">
        <v>45275</v>
      </c>
      <c r="V52" s="2">
        <v>18</v>
      </c>
      <c r="W52" s="38">
        <v>11</v>
      </c>
      <c r="X52" s="13">
        <v>-397</v>
      </c>
      <c r="Y52" s="2"/>
      <c r="Z52" s="2" t="s">
        <v>383</v>
      </c>
      <c r="AA52" s="3"/>
      <c r="AB52" s="12" t="s">
        <v>31</v>
      </c>
      <c r="AC52" s="2"/>
    </row>
    <row r="53" spans="1:29" s="60" customFormat="1" ht="28.5" hidden="1" x14ac:dyDescent="0.2">
      <c r="A53" s="2">
        <v>52</v>
      </c>
      <c r="B53" s="3">
        <v>29</v>
      </c>
      <c r="C53" s="36" t="s">
        <v>31</v>
      </c>
      <c r="D53" s="2" t="s">
        <v>31</v>
      </c>
      <c r="E53" s="2" t="s">
        <v>31</v>
      </c>
      <c r="F53" s="3" t="s">
        <v>45</v>
      </c>
      <c r="G53" s="2" t="s">
        <v>51</v>
      </c>
      <c r="H53" s="2" t="s">
        <v>78</v>
      </c>
      <c r="I53" s="7">
        <v>40045800</v>
      </c>
      <c r="J53" s="3" t="s">
        <v>385</v>
      </c>
      <c r="K53" s="3">
        <v>1695445000</v>
      </c>
      <c r="L53" s="2" t="s">
        <v>49</v>
      </c>
      <c r="M53" s="15" t="s">
        <v>62</v>
      </c>
      <c r="N53" s="10">
        <v>45050</v>
      </c>
      <c r="O53" s="10">
        <v>45069</v>
      </c>
      <c r="P53" s="37">
        <v>13</v>
      </c>
      <c r="Q53" s="10">
        <v>45149</v>
      </c>
      <c r="R53" s="9">
        <v>45164</v>
      </c>
      <c r="S53" s="43">
        <v>45069</v>
      </c>
      <c r="T53" s="2">
        <v>15</v>
      </c>
      <c r="U53" s="9">
        <v>45173</v>
      </c>
      <c r="V53" s="2">
        <v>-80</v>
      </c>
      <c r="W53" s="38" t="s">
        <v>686</v>
      </c>
      <c r="X53" s="13">
        <v>-499</v>
      </c>
      <c r="Y53" s="3" t="s">
        <v>456</v>
      </c>
      <c r="Z53" s="12" t="s">
        <v>164</v>
      </c>
      <c r="AA53" s="3">
        <v>245902</v>
      </c>
      <c r="AB53" s="65" t="s">
        <v>31</v>
      </c>
      <c r="AC53" s="2" t="s">
        <v>457</v>
      </c>
    </row>
    <row r="54" spans="1:29" s="60" customFormat="1" ht="28.5" hidden="1" x14ac:dyDescent="0.2">
      <c r="A54" s="2">
        <v>53</v>
      </c>
      <c r="B54" s="3">
        <v>29</v>
      </c>
      <c r="C54" s="36" t="s">
        <v>31</v>
      </c>
      <c r="D54" s="2" t="s">
        <v>31</v>
      </c>
      <c r="E54" s="2" t="s">
        <v>32</v>
      </c>
      <c r="F54" s="3" t="s">
        <v>48</v>
      </c>
      <c r="G54" s="3" t="s">
        <v>394</v>
      </c>
      <c r="H54" s="2" t="s">
        <v>398</v>
      </c>
      <c r="I54" s="7">
        <v>40053669</v>
      </c>
      <c r="J54" s="49" t="s">
        <v>387</v>
      </c>
      <c r="K54" s="3"/>
      <c r="L54" s="2" t="s">
        <v>49</v>
      </c>
      <c r="M54" s="15" t="s">
        <v>74</v>
      </c>
      <c r="N54" s="10">
        <v>45056</v>
      </c>
      <c r="O54" s="10">
        <v>45076</v>
      </c>
      <c r="P54" s="37">
        <v>14</v>
      </c>
      <c r="Q54" s="10">
        <v>45274</v>
      </c>
      <c r="R54" s="9">
        <v>45289</v>
      </c>
      <c r="S54" s="43">
        <v>45286</v>
      </c>
      <c r="T54" s="2">
        <v>15</v>
      </c>
      <c r="U54" s="9">
        <v>45296</v>
      </c>
      <c r="V54" s="2">
        <v>12</v>
      </c>
      <c r="W54" s="38">
        <v>7</v>
      </c>
      <c r="X54" s="13">
        <v>-376</v>
      </c>
      <c r="Y54" s="3"/>
      <c r="Z54" s="12" t="s">
        <v>371</v>
      </c>
      <c r="AA54" s="3"/>
      <c r="AB54" s="3" t="s">
        <v>31</v>
      </c>
      <c r="AC54" s="2"/>
    </row>
    <row r="55" spans="1:29" s="60" customFormat="1" ht="28.5" hidden="1" x14ac:dyDescent="0.2">
      <c r="A55" s="2">
        <v>54</v>
      </c>
      <c r="B55" s="3">
        <v>29</v>
      </c>
      <c r="C55" s="36" t="s">
        <v>31</v>
      </c>
      <c r="D55" s="2" t="s">
        <v>31</v>
      </c>
      <c r="E55" s="2" t="s">
        <v>32</v>
      </c>
      <c r="F55" s="3" t="s">
        <v>42</v>
      </c>
      <c r="G55" s="3" t="s">
        <v>42</v>
      </c>
      <c r="H55" s="2" t="s">
        <v>17</v>
      </c>
      <c r="I55" s="7">
        <v>40053613</v>
      </c>
      <c r="J55" s="49" t="s">
        <v>510</v>
      </c>
      <c r="K55" s="3"/>
      <c r="L55" s="2" t="s">
        <v>49</v>
      </c>
      <c r="M55" s="15" t="s">
        <v>74</v>
      </c>
      <c r="N55" s="10">
        <v>45061</v>
      </c>
      <c r="O55" s="10">
        <v>45082</v>
      </c>
      <c r="P55" s="37">
        <v>15</v>
      </c>
      <c r="Q55" s="10">
        <v>45222</v>
      </c>
      <c r="R55" s="9">
        <v>45237</v>
      </c>
      <c r="S55" s="43">
        <v>45286</v>
      </c>
      <c r="T55" s="2">
        <v>15</v>
      </c>
      <c r="U55" s="9">
        <v>45245</v>
      </c>
      <c r="V55" s="2">
        <v>64</v>
      </c>
      <c r="W55" s="38">
        <v>42</v>
      </c>
      <c r="X55" s="13">
        <v>-427</v>
      </c>
      <c r="Y55" s="3"/>
      <c r="Z55" s="2" t="s">
        <v>157</v>
      </c>
      <c r="AA55" s="3"/>
      <c r="AB55" s="3" t="s">
        <v>31</v>
      </c>
      <c r="AC55" s="2"/>
    </row>
    <row r="56" spans="1:29" s="52" customFormat="1" ht="28.5" hidden="1" x14ac:dyDescent="0.2">
      <c r="A56" s="2">
        <v>55</v>
      </c>
      <c r="B56" s="48">
        <v>31</v>
      </c>
      <c r="C56" s="36" t="s">
        <v>32</v>
      </c>
      <c r="D56" s="2" t="s">
        <v>32</v>
      </c>
      <c r="E56" s="2" t="s">
        <v>31</v>
      </c>
      <c r="F56" s="2" t="s">
        <v>47</v>
      </c>
      <c r="G56" s="2" t="s">
        <v>0</v>
      </c>
      <c r="H56" s="48" t="s">
        <v>18</v>
      </c>
      <c r="I56" s="48">
        <v>40027935</v>
      </c>
      <c r="J56" s="48" t="s">
        <v>291</v>
      </c>
      <c r="K56" s="50">
        <v>1149679000</v>
      </c>
      <c r="L56" s="48" t="s">
        <v>49</v>
      </c>
      <c r="M56" s="17" t="s">
        <v>74</v>
      </c>
      <c r="N56" s="51"/>
      <c r="O56" s="10"/>
      <c r="P56" s="37" t="s">
        <v>686</v>
      </c>
      <c r="Q56" s="10">
        <v>45069</v>
      </c>
      <c r="R56" s="9">
        <v>45079</v>
      </c>
      <c r="S56" s="43">
        <v>45084</v>
      </c>
      <c r="T56" s="2">
        <v>10</v>
      </c>
      <c r="U56" s="9">
        <v>45083</v>
      </c>
      <c r="V56" s="2">
        <v>15</v>
      </c>
      <c r="W56" s="38">
        <v>11</v>
      </c>
      <c r="X56" s="13">
        <v>-589</v>
      </c>
      <c r="Y56" s="2" t="s">
        <v>195</v>
      </c>
      <c r="Z56" s="12" t="s">
        <v>154</v>
      </c>
      <c r="AA56" s="3">
        <v>2357</v>
      </c>
      <c r="AB56" s="65" t="s">
        <v>32</v>
      </c>
      <c r="AC56" s="2"/>
    </row>
    <row r="57" spans="1:29" ht="57" hidden="1" x14ac:dyDescent="0.2">
      <c r="A57" s="2">
        <v>56</v>
      </c>
      <c r="B57" s="2">
        <v>29</v>
      </c>
      <c r="C57" s="36" t="s">
        <v>31</v>
      </c>
      <c r="D57" s="2" t="s">
        <v>31</v>
      </c>
      <c r="E57" s="2" t="s">
        <v>32</v>
      </c>
      <c r="F57" s="2" t="s">
        <v>42</v>
      </c>
      <c r="G57" s="2" t="s">
        <v>3</v>
      </c>
      <c r="H57" s="2" t="s">
        <v>16</v>
      </c>
      <c r="I57" s="7">
        <v>40002956</v>
      </c>
      <c r="J57" s="3" t="s">
        <v>322</v>
      </c>
      <c r="K57" s="3">
        <v>397177000</v>
      </c>
      <c r="L57" s="2" t="s">
        <v>49</v>
      </c>
      <c r="M57" s="15" t="s">
        <v>62</v>
      </c>
      <c r="N57" s="10">
        <v>45071</v>
      </c>
      <c r="O57" s="10"/>
      <c r="P57" s="37" t="s">
        <v>686</v>
      </c>
      <c r="Q57" s="10">
        <v>45149</v>
      </c>
      <c r="R57" s="9">
        <v>45164</v>
      </c>
      <c r="S57" s="43">
        <v>45155</v>
      </c>
      <c r="T57" s="2">
        <v>15</v>
      </c>
      <c r="U57" s="9">
        <v>45173</v>
      </c>
      <c r="V57" s="2">
        <v>6</v>
      </c>
      <c r="W57" s="38">
        <v>3</v>
      </c>
      <c r="X57" s="13">
        <v>-499</v>
      </c>
      <c r="Y57" s="2" t="s">
        <v>447</v>
      </c>
      <c r="Z57" s="2" t="s">
        <v>156</v>
      </c>
      <c r="AA57" s="3">
        <v>187</v>
      </c>
      <c r="AB57" s="81" t="s">
        <v>31</v>
      </c>
      <c r="AC57" s="2" t="s">
        <v>416</v>
      </c>
    </row>
    <row r="58" spans="1:29" ht="28.5" hidden="1" x14ac:dyDescent="0.2">
      <c r="A58" s="2">
        <v>57</v>
      </c>
      <c r="B58" s="2">
        <v>29</v>
      </c>
      <c r="C58" s="36" t="s">
        <v>32</v>
      </c>
      <c r="D58" s="2" t="s">
        <v>31</v>
      </c>
      <c r="E58" s="2" t="s">
        <v>32</v>
      </c>
      <c r="F58" s="2" t="s">
        <v>45</v>
      </c>
      <c r="G58" s="84" t="s">
        <v>66</v>
      </c>
      <c r="H58" s="2" t="s">
        <v>28</v>
      </c>
      <c r="I58" s="7">
        <v>40034362</v>
      </c>
      <c r="J58" s="3" t="s">
        <v>315</v>
      </c>
      <c r="K58" s="3">
        <v>232581000</v>
      </c>
      <c r="L58" s="2" t="s">
        <v>49</v>
      </c>
      <c r="M58" s="15" t="s">
        <v>62</v>
      </c>
      <c r="N58" s="10">
        <v>45078</v>
      </c>
      <c r="O58" s="10">
        <v>45097</v>
      </c>
      <c r="P58" s="37">
        <v>13</v>
      </c>
      <c r="Q58" s="10">
        <v>45146</v>
      </c>
      <c r="R58" s="9">
        <v>45161</v>
      </c>
      <c r="S58" s="43">
        <v>45097</v>
      </c>
      <c r="T58" s="2">
        <v>15</v>
      </c>
      <c r="U58" s="9">
        <v>45168</v>
      </c>
      <c r="V58" s="2">
        <v>-49</v>
      </c>
      <c r="W58" s="38" t="s">
        <v>686</v>
      </c>
      <c r="X58" s="13">
        <v>-504</v>
      </c>
      <c r="Y58" s="2" t="s">
        <v>459</v>
      </c>
      <c r="Z58" s="48" t="s">
        <v>172</v>
      </c>
      <c r="AA58" s="3">
        <v>5487</v>
      </c>
      <c r="AB58" s="4" t="s">
        <v>31</v>
      </c>
      <c r="AC58" s="2" t="s">
        <v>375</v>
      </c>
    </row>
    <row r="59" spans="1:29" ht="28.5" hidden="1" x14ac:dyDescent="0.2">
      <c r="A59" s="2">
        <v>58</v>
      </c>
      <c r="B59" s="2">
        <v>29</v>
      </c>
      <c r="C59" s="36" t="s">
        <v>31</v>
      </c>
      <c r="D59" s="2" t="s">
        <v>31</v>
      </c>
      <c r="E59" s="2" t="s">
        <v>32</v>
      </c>
      <c r="F59" s="2" t="s">
        <v>59</v>
      </c>
      <c r="G59" s="2" t="s">
        <v>59</v>
      </c>
      <c r="H59" s="2" t="s">
        <v>185</v>
      </c>
      <c r="I59" s="7">
        <v>40052706</v>
      </c>
      <c r="J59" s="3" t="s">
        <v>410</v>
      </c>
      <c r="K59" s="3"/>
      <c r="L59" s="2" t="s">
        <v>49</v>
      </c>
      <c r="M59" s="15" t="s">
        <v>74</v>
      </c>
      <c r="N59" s="10">
        <v>45029</v>
      </c>
      <c r="O59" s="10">
        <v>45078</v>
      </c>
      <c r="P59" s="37">
        <v>34</v>
      </c>
      <c r="Q59" s="10">
        <v>45240</v>
      </c>
      <c r="R59" s="9">
        <v>45255</v>
      </c>
      <c r="S59" s="43">
        <v>45245</v>
      </c>
      <c r="T59" s="2">
        <v>15</v>
      </c>
      <c r="U59" s="9">
        <v>45261</v>
      </c>
      <c r="V59" s="2">
        <v>5</v>
      </c>
      <c r="W59" s="38">
        <v>3</v>
      </c>
      <c r="X59" s="13">
        <v>-411</v>
      </c>
      <c r="Y59" s="2"/>
      <c r="Z59" s="48" t="s">
        <v>413</v>
      </c>
      <c r="AA59" s="3">
        <v>828708</v>
      </c>
      <c r="AB59" s="4" t="s">
        <v>31</v>
      </c>
      <c r="AC59" s="2"/>
    </row>
    <row r="60" spans="1:29" ht="28.5" hidden="1" x14ac:dyDescent="0.2">
      <c r="A60" s="2">
        <v>59</v>
      </c>
      <c r="B60" s="2">
        <v>29</v>
      </c>
      <c r="C60" s="36" t="s">
        <v>32</v>
      </c>
      <c r="D60" s="2" t="s">
        <v>31</v>
      </c>
      <c r="E60" s="2" t="s">
        <v>32</v>
      </c>
      <c r="F60" s="2" t="s">
        <v>47</v>
      </c>
      <c r="G60" s="2" t="s">
        <v>396</v>
      </c>
      <c r="H60" s="2" t="s">
        <v>405</v>
      </c>
      <c r="I60" s="7">
        <v>40015505</v>
      </c>
      <c r="J60" s="3" t="s">
        <v>248</v>
      </c>
      <c r="K60" s="3">
        <v>271413000</v>
      </c>
      <c r="L60" s="2" t="s">
        <v>49</v>
      </c>
      <c r="M60" s="15" t="s">
        <v>62</v>
      </c>
      <c r="N60" s="10">
        <v>45078</v>
      </c>
      <c r="O60" s="10">
        <v>45089</v>
      </c>
      <c r="P60" s="37">
        <v>7</v>
      </c>
      <c r="Q60" s="10">
        <v>45105</v>
      </c>
      <c r="R60" s="9">
        <v>45120</v>
      </c>
      <c r="S60" s="43">
        <v>45126</v>
      </c>
      <c r="T60" s="2">
        <v>15</v>
      </c>
      <c r="U60" s="9">
        <v>45126</v>
      </c>
      <c r="V60" s="2">
        <v>21</v>
      </c>
      <c r="W60" s="38">
        <v>15</v>
      </c>
      <c r="X60" s="13">
        <v>-546</v>
      </c>
      <c r="Y60" s="2" t="s">
        <v>434</v>
      </c>
      <c r="Z60" s="48" t="s">
        <v>162</v>
      </c>
      <c r="AA60" s="3">
        <v>855</v>
      </c>
      <c r="AB60" s="4" t="s">
        <v>31</v>
      </c>
      <c r="AC60" s="2" t="s">
        <v>366</v>
      </c>
    </row>
    <row r="61" spans="1:29" ht="28.5" hidden="1" x14ac:dyDescent="0.2">
      <c r="A61" s="2">
        <v>60</v>
      </c>
      <c r="B61" s="2">
        <v>31</v>
      </c>
      <c r="C61" s="36" t="s">
        <v>31</v>
      </c>
      <c r="D61" s="2" t="s">
        <v>31</v>
      </c>
      <c r="E61" s="2" t="s">
        <v>32</v>
      </c>
      <c r="F61" s="2" t="s">
        <v>47</v>
      </c>
      <c r="G61" s="2" t="s">
        <v>395</v>
      </c>
      <c r="H61" s="2" t="s">
        <v>406</v>
      </c>
      <c r="I61" s="7">
        <v>40053634</v>
      </c>
      <c r="J61" s="3" t="s">
        <v>430</v>
      </c>
      <c r="K61" s="3">
        <v>910710000</v>
      </c>
      <c r="L61" s="2" t="s">
        <v>49</v>
      </c>
      <c r="M61" s="15" t="s">
        <v>62</v>
      </c>
      <c r="N61" s="10">
        <v>45082</v>
      </c>
      <c r="O61" s="10">
        <v>45104</v>
      </c>
      <c r="P61" s="37">
        <v>14</v>
      </c>
      <c r="Q61" s="10">
        <v>45118</v>
      </c>
      <c r="R61" s="9">
        <v>45133</v>
      </c>
      <c r="S61" s="43">
        <v>45124</v>
      </c>
      <c r="T61" s="2">
        <v>15</v>
      </c>
      <c r="U61" s="9">
        <v>45139</v>
      </c>
      <c r="V61" s="2">
        <v>6</v>
      </c>
      <c r="W61" s="38">
        <v>4</v>
      </c>
      <c r="X61" s="13">
        <v>-533</v>
      </c>
      <c r="Y61" s="2" t="s">
        <v>429</v>
      </c>
      <c r="Z61" s="48" t="s">
        <v>154</v>
      </c>
      <c r="AA61" s="3">
        <v>124</v>
      </c>
      <c r="AB61" s="4" t="s">
        <v>31</v>
      </c>
      <c r="AC61" s="2" t="s">
        <v>366</v>
      </c>
    </row>
    <row r="62" spans="1:29" ht="42.75" hidden="1" x14ac:dyDescent="0.2">
      <c r="A62" s="2">
        <v>61</v>
      </c>
      <c r="B62" s="2">
        <v>29</v>
      </c>
      <c r="C62" s="36" t="s">
        <v>31</v>
      </c>
      <c r="D62" s="2" t="s">
        <v>31</v>
      </c>
      <c r="E62" s="2" t="s">
        <v>32</v>
      </c>
      <c r="F62" s="2" t="s">
        <v>42</v>
      </c>
      <c r="G62" s="2" t="s">
        <v>71</v>
      </c>
      <c r="H62" s="2" t="s">
        <v>20</v>
      </c>
      <c r="I62" s="40">
        <v>40053743</v>
      </c>
      <c r="J62" s="49" t="s">
        <v>415</v>
      </c>
      <c r="K62" s="3">
        <v>71400000</v>
      </c>
      <c r="L62" s="2" t="s">
        <v>49</v>
      </c>
      <c r="M62" s="15" t="s">
        <v>62</v>
      </c>
      <c r="N62" s="10">
        <v>45090</v>
      </c>
      <c r="O62" s="10">
        <v>45112</v>
      </c>
      <c r="P62" s="37">
        <v>14</v>
      </c>
      <c r="Q62" s="10">
        <v>45177</v>
      </c>
      <c r="R62" s="9">
        <v>45192</v>
      </c>
      <c r="S62" s="43">
        <v>45112</v>
      </c>
      <c r="T62" s="2">
        <v>15</v>
      </c>
      <c r="U62" s="9">
        <v>45202</v>
      </c>
      <c r="V62" s="2">
        <v>-65</v>
      </c>
      <c r="W62" s="38" t="s">
        <v>686</v>
      </c>
      <c r="X62" s="13">
        <v>-470</v>
      </c>
      <c r="Y62" s="2" t="s">
        <v>473</v>
      </c>
      <c r="Z62" s="48" t="s">
        <v>167</v>
      </c>
      <c r="AA62" s="3">
        <v>8968</v>
      </c>
      <c r="AB62" s="4" t="s">
        <v>31</v>
      </c>
      <c r="AC62" s="2" t="s">
        <v>474</v>
      </c>
    </row>
    <row r="63" spans="1:29" ht="48" hidden="1" customHeight="1" x14ac:dyDescent="0.2">
      <c r="A63" s="2">
        <v>62</v>
      </c>
      <c r="B63" s="2">
        <v>29</v>
      </c>
      <c r="C63" s="36" t="s">
        <v>32</v>
      </c>
      <c r="D63" s="2" t="s">
        <v>32</v>
      </c>
      <c r="E63" s="2" t="s">
        <v>32</v>
      </c>
      <c r="F63" s="2" t="s">
        <v>45</v>
      </c>
      <c r="G63" s="2" t="s">
        <v>51</v>
      </c>
      <c r="H63" s="2" t="s">
        <v>11</v>
      </c>
      <c r="I63" s="7">
        <v>40033774</v>
      </c>
      <c r="J63" s="3" t="s">
        <v>417</v>
      </c>
      <c r="K63" s="3">
        <v>1711198000</v>
      </c>
      <c r="L63" s="2" t="s">
        <v>49</v>
      </c>
      <c r="M63" s="17" t="s">
        <v>62</v>
      </c>
      <c r="N63" s="10"/>
      <c r="O63" s="10"/>
      <c r="P63" s="37" t="s">
        <v>686</v>
      </c>
      <c r="Q63" s="10">
        <v>45111</v>
      </c>
      <c r="R63" s="9">
        <v>45121</v>
      </c>
      <c r="S63" s="43">
        <v>45120</v>
      </c>
      <c r="T63" s="2">
        <v>10</v>
      </c>
      <c r="U63" s="9">
        <v>45125</v>
      </c>
      <c r="V63" s="2">
        <v>9</v>
      </c>
      <c r="W63" s="38">
        <v>7</v>
      </c>
      <c r="X63" s="13">
        <v>-547</v>
      </c>
      <c r="Y63" s="2" t="s">
        <v>204</v>
      </c>
      <c r="Z63" s="12" t="s">
        <v>157</v>
      </c>
      <c r="AA63" s="3">
        <v>27528</v>
      </c>
      <c r="AB63" s="4" t="s">
        <v>32</v>
      </c>
      <c r="AC63" s="2"/>
    </row>
    <row r="64" spans="1:29" ht="28.5" hidden="1" x14ac:dyDescent="0.2">
      <c r="A64" s="2">
        <v>63</v>
      </c>
      <c r="B64" s="2">
        <v>29</v>
      </c>
      <c r="C64" s="36" t="s">
        <v>32</v>
      </c>
      <c r="D64" s="2" t="s">
        <v>32</v>
      </c>
      <c r="E64" s="2" t="s">
        <v>31</v>
      </c>
      <c r="F64" s="2" t="s">
        <v>48</v>
      </c>
      <c r="G64" s="2" t="s">
        <v>72</v>
      </c>
      <c r="H64" s="2" t="s">
        <v>87</v>
      </c>
      <c r="I64" s="7">
        <v>40033852</v>
      </c>
      <c r="J64" s="3" t="s">
        <v>418</v>
      </c>
      <c r="K64" s="3">
        <v>389995000</v>
      </c>
      <c r="L64" s="2" t="s">
        <v>49</v>
      </c>
      <c r="M64" s="17" t="s">
        <v>62</v>
      </c>
      <c r="N64" s="10"/>
      <c r="O64" s="10"/>
      <c r="P64" s="37" t="s">
        <v>686</v>
      </c>
      <c r="Q64" s="10">
        <v>45104</v>
      </c>
      <c r="R64" s="9">
        <v>45114</v>
      </c>
      <c r="S64" s="43">
        <v>45110</v>
      </c>
      <c r="T64" s="2">
        <v>10</v>
      </c>
      <c r="U64" s="9">
        <v>45118</v>
      </c>
      <c r="V64" s="2">
        <v>6</v>
      </c>
      <c r="W64" s="38">
        <v>4</v>
      </c>
      <c r="X64" s="13">
        <v>-554</v>
      </c>
      <c r="Y64" s="2" t="s">
        <v>203</v>
      </c>
      <c r="Z64" s="12" t="s">
        <v>157</v>
      </c>
      <c r="AA64" s="3">
        <v>5276</v>
      </c>
      <c r="AB64" s="4" t="s">
        <v>32</v>
      </c>
      <c r="AC64" s="2"/>
    </row>
    <row r="65" spans="1:29" ht="28.5" hidden="1" x14ac:dyDescent="0.2">
      <c r="A65" s="2">
        <v>64</v>
      </c>
      <c r="B65" s="2">
        <v>31</v>
      </c>
      <c r="C65" s="36" t="s">
        <v>31</v>
      </c>
      <c r="D65" s="2" t="s">
        <v>31</v>
      </c>
      <c r="E65" s="2" t="s">
        <v>32</v>
      </c>
      <c r="F65" s="2" t="s">
        <v>45</v>
      </c>
      <c r="G65" s="2" t="s">
        <v>51</v>
      </c>
      <c r="H65" s="2" t="s">
        <v>11</v>
      </c>
      <c r="I65" s="7">
        <v>40032903</v>
      </c>
      <c r="J65" s="3" t="s">
        <v>420</v>
      </c>
      <c r="K65" s="3"/>
      <c r="L65" s="2" t="s">
        <v>49</v>
      </c>
      <c r="M65" s="15" t="s">
        <v>74</v>
      </c>
      <c r="N65" s="10">
        <v>45097</v>
      </c>
      <c r="O65" s="10">
        <v>45120</v>
      </c>
      <c r="P65" s="37">
        <v>15</v>
      </c>
      <c r="Q65" s="10">
        <v>45097</v>
      </c>
      <c r="R65" s="9">
        <v>45112</v>
      </c>
      <c r="S65" s="43">
        <v>45120</v>
      </c>
      <c r="T65" s="2">
        <v>15</v>
      </c>
      <c r="U65" s="9">
        <v>45120</v>
      </c>
      <c r="V65" s="2">
        <v>23</v>
      </c>
      <c r="W65" s="38">
        <v>15</v>
      </c>
      <c r="X65" s="13">
        <v>-552</v>
      </c>
      <c r="Y65" s="2"/>
      <c r="Z65" s="12" t="s">
        <v>161</v>
      </c>
      <c r="AA65" s="3"/>
      <c r="AB65" s="4" t="s">
        <v>31</v>
      </c>
      <c r="AC65" s="2"/>
    </row>
    <row r="66" spans="1:29" ht="28.5" hidden="1" x14ac:dyDescent="0.2">
      <c r="A66" s="2">
        <v>65</v>
      </c>
      <c r="B66" s="2">
        <v>31</v>
      </c>
      <c r="C66" s="36" t="s">
        <v>31</v>
      </c>
      <c r="D66" s="2" t="s">
        <v>31</v>
      </c>
      <c r="E66" s="2" t="s">
        <v>32</v>
      </c>
      <c r="F66" s="2" t="s">
        <v>45</v>
      </c>
      <c r="G66" s="2" t="s">
        <v>51</v>
      </c>
      <c r="H66" s="2" t="s">
        <v>11</v>
      </c>
      <c r="I66" s="7">
        <v>40055170</v>
      </c>
      <c r="J66" s="3" t="s">
        <v>421</v>
      </c>
      <c r="K66" s="3"/>
      <c r="L66" s="2" t="s">
        <v>49</v>
      </c>
      <c r="M66" s="15" t="s">
        <v>74</v>
      </c>
      <c r="N66" s="10">
        <v>45097</v>
      </c>
      <c r="O66" s="10">
        <v>45120</v>
      </c>
      <c r="P66" s="37">
        <v>15</v>
      </c>
      <c r="Q66" s="10">
        <v>45097</v>
      </c>
      <c r="R66" s="9">
        <v>45112</v>
      </c>
      <c r="S66" s="43">
        <v>45120</v>
      </c>
      <c r="T66" s="2">
        <v>15</v>
      </c>
      <c r="U66" s="9">
        <v>45120</v>
      </c>
      <c r="V66" s="2">
        <v>23</v>
      </c>
      <c r="W66" s="38">
        <v>15</v>
      </c>
      <c r="X66" s="13">
        <v>-552</v>
      </c>
      <c r="Y66" s="2"/>
      <c r="Z66" s="12" t="s">
        <v>431</v>
      </c>
      <c r="AA66" s="3"/>
      <c r="AB66" s="4" t="s">
        <v>31</v>
      </c>
      <c r="AC66" s="2"/>
    </row>
    <row r="67" spans="1:29" ht="28.5" hidden="1" x14ac:dyDescent="0.2">
      <c r="A67" s="2">
        <v>66</v>
      </c>
      <c r="B67" s="2">
        <v>31</v>
      </c>
      <c r="C67" s="36" t="s">
        <v>32</v>
      </c>
      <c r="D67" s="2" t="s">
        <v>31</v>
      </c>
      <c r="E67" s="2" t="s">
        <v>31</v>
      </c>
      <c r="F67" s="2" t="s">
        <v>47</v>
      </c>
      <c r="G67" s="2" t="s">
        <v>54</v>
      </c>
      <c r="H67" s="2" t="s">
        <v>407</v>
      </c>
      <c r="I67" s="7">
        <v>40013816</v>
      </c>
      <c r="J67" s="3" t="s">
        <v>180</v>
      </c>
      <c r="K67" s="3"/>
      <c r="L67" s="2" t="s">
        <v>49</v>
      </c>
      <c r="M67" s="15" t="s">
        <v>74</v>
      </c>
      <c r="N67" s="10">
        <v>45105</v>
      </c>
      <c r="O67" s="10">
        <v>45126</v>
      </c>
      <c r="P67" s="37">
        <v>15</v>
      </c>
      <c r="Q67" s="10">
        <v>45105</v>
      </c>
      <c r="R67" s="9">
        <v>45120</v>
      </c>
      <c r="S67" s="43">
        <v>45126</v>
      </c>
      <c r="T67" s="2">
        <v>15</v>
      </c>
      <c r="U67" s="9">
        <v>45126</v>
      </c>
      <c r="V67" s="2">
        <v>21</v>
      </c>
      <c r="W67" s="38">
        <v>15</v>
      </c>
      <c r="X67" s="13">
        <v>-546</v>
      </c>
      <c r="Y67" s="2"/>
      <c r="Z67" s="2" t="s">
        <v>314</v>
      </c>
      <c r="AA67" s="3"/>
      <c r="AB67" s="4" t="s">
        <v>31</v>
      </c>
      <c r="AC67" s="2"/>
    </row>
    <row r="68" spans="1:29" ht="28.5" hidden="1" x14ac:dyDescent="0.2">
      <c r="A68" s="2">
        <v>67</v>
      </c>
      <c r="B68" s="2">
        <v>29</v>
      </c>
      <c r="C68" s="36" t="s">
        <v>32</v>
      </c>
      <c r="D68" s="2" t="s">
        <v>31</v>
      </c>
      <c r="E68" s="2" t="s">
        <v>32</v>
      </c>
      <c r="F68" s="2" t="s">
        <v>47</v>
      </c>
      <c r="G68" s="2" t="s">
        <v>54</v>
      </c>
      <c r="H68" s="2" t="s">
        <v>407</v>
      </c>
      <c r="I68" s="7">
        <v>40013818</v>
      </c>
      <c r="J68" s="3" t="s">
        <v>496</v>
      </c>
      <c r="K68" s="3">
        <v>839659000</v>
      </c>
      <c r="L68" s="2" t="s">
        <v>49</v>
      </c>
      <c r="M68" s="15" t="s">
        <v>62</v>
      </c>
      <c r="N68" s="10">
        <v>45105</v>
      </c>
      <c r="O68" s="10">
        <v>45126</v>
      </c>
      <c r="P68" s="37">
        <v>15</v>
      </c>
      <c r="Q68" s="10">
        <v>45216</v>
      </c>
      <c r="R68" s="9">
        <v>45231</v>
      </c>
      <c r="S68" s="43">
        <v>45229</v>
      </c>
      <c r="T68" s="2">
        <v>15</v>
      </c>
      <c r="U68" s="9">
        <v>45239</v>
      </c>
      <c r="V68" s="2">
        <v>13</v>
      </c>
      <c r="W68" s="38">
        <v>8</v>
      </c>
      <c r="X68" s="13">
        <v>-433</v>
      </c>
      <c r="Y68" s="2" t="s">
        <v>507</v>
      </c>
      <c r="Z68" s="48" t="s">
        <v>157</v>
      </c>
      <c r="AA68" s="3">
        <v>1190</v>
      </c>
      <c r="AB68" s="4" t="s">
        <v>31</v>
      </c>
      <c r="AC68" s="2" t="s">
        <v>366</v>
      </c>
    </row>
    <row r="69" spans="1:29" ht="57" hidden="1" x14ac:dyDescent="0.2">
      <c r="A69" s="2">
        <v>68</v>
      </c>
      <c r="B69" s="2">
        <v>29</v>
      </c>
      <c r="C69" s="36" t="s">
        <v>31</v>
      </c>
      <c r="D69" s="2" t="s">
        <v>31</v>
      </c>
      <c r="E69" s="2" t="s">
        <v>31</v>
      </c>
      <c r="F69" s="2" t="s">
        <v>42</v>
      </c>
      <c r="G69" s="2" t="s">
        <v>3</v>
      </c>
      <c r="H69" s="2" t="s">
        <v>16</v>
      </c>
      <c r="I69" s="18">
        <v>40002962</v>
      </c>
      <c r="J69" s="3" t="s">
        <v>425</v>
      </c>
      <c r="K69" s="3">
        <v>394458000</v>
      </c>
      <c r="L69" s="2" t="s">
        <v>49</v>
      </c>
      <c r="M69" s="15" t="s">
        <v>62</v>
      </c>
      <c r="N69" s="10">
        <v>45110</v>
      </c>
      <c r="O69" s="10">
        <v>45131</v>
      </c>
      <c r="P69" s="37">
        <v>15</v>
      </c>
      <c r="Q69" s="10">
        <v>45190</v>
      </c>
      <c r="R69" s="9">
        <v>45205</v>
      </c>
      <c r="S69" s="43">
        <v>45209</v>
      </c>
      <c r="T69" s="2">
        <v>15</v>
      </c>
      <c r="U69" s="9">
        <v>45212</v>
      </c>
      <c r="V69" s="2">
        <v>19</v>
      </c>
      <c r="W69" s="38">
        <v>12</v>
      </c>
      <c r="X69" s="13">
        <v>-460</v>
      </c>
      <c r="Y69" s="2" t="s">
        <v>488</v>
      </c>
      <c r="Z69" s="12" t="s">
        <v>156</v>
      </c>
      <c r="AA69" s="3">
        <v>633</v>
      </c>
      <c r="AB69" s="4" t="s">
        <v>31</v>
      </c>
      <c r="AC69" s="2" t="s">
        <v>419</v>
      </c>
    </row>
    <row r="70" spans="1:29" ht="28.5" hidden="1" x14ac:dyDescent="0.2">
      <c r="A70" s="2">
        <v>69</v>
      </c>
      <c r="B70" s="2">
        <v>29</v>
      </c>
      <c r="C70" s="36" t="s">
        <v>31</v>
      </c>
      <c r="D70" s="2" t="s">
        <v>31</v>
      </c>
      <c r="E70" s="2" t="s">
        <v>31</v>
      </c>
      <c r="F70" s="2" t="s">
        <v>45</v>
      </c>
      <c r="G70" s="2" t="s">
        <v>69</v>
      </c>
      <c r="H70" s="2" t="s">
        <v>78</v>
      </c>
      <c r="I70" s="7">
        <v>40054760</v>
      </c>
      <c r="J70" s="3" t="s">
        <v>426</v>
      </c>
      <c r="K70" s="3">
        <v>627784000</v>
      </c>
      <c r="L70" s="2" t="s">
        <v>49</v>
      </c>
      <c r="M70" s="15" t="s">
        <v>62</v>
      </c>
      <c r="N70" s="10">
        <v>45105</v>
      </c>
      <c r="O70" s="10">
        <v>45126</v>
      </c>
      <c r="P70" s="37">
        <v>15</v>
      </c>
      <c r="Q70" s="10">
        <v>45149</v>
      </c>
      <c r="R70" s="9">
        <v>45164</v>
      </c>
      <c r="S70" s="43">
        <v>45163</v>
      </c>
      <c r="T70" s="2">
        <v>15</v>
      </c>
      <c r="U70" s="9">
        <v>45173</v>
      </c>
      <c r="V70" s="2">
        <v>14</v>
      </c>
      <c r="W70" s="38">
        <v>9</v>
      </c>
      <c r="X70" s="13">
        <v>-499</v>
      </c>
      <c r="Y70" s="2" t="s">
        <v>460</v>
      </c>
      <c r="Z70" s="12" t="s">
        <v>172</v>
      </c>
      <c r="AA70" s="3">
        <v>35915</v>
      </c>
      <c r="AB70" s="4" t="s">
        <v>31</v>
      </c>
      <c r="AC70" s="2"/>
    </row>
    <row r="71" spans="1:29" ht="28.5" hidden="1" x14ac:dyDescent="0.2">
      <c r="A71" s="2">
        <v>70</v>
      </c>
      <c r="B71" s="2">
        <v>29</v>
      </c>
      <c r="C71" s="36" t="s">
        <v>31</v>
      </c>
      <c r="D71" s="2" t="s">
        <v>31</v>
      </c>
      <c r="E71" s="2" t="s">
        <v>32</v>
      </c>
      <c r="F71" s="2" t="s">
        <v>48</v>
      </c>
      <c r="G71" s="84" t="s">
        <v>72</v>
      </c>
      <c r="H71" s="2" t="s">
        <v>87</v>
      </c>
      <c r="I71" s="18">
        <v>40053350</v>
      </c>
      <c r="J71" s="3" t="s">
        <v>493</v>
      </c>
      <c r="K71" s="3">
        <v>368116000</v>
      </c>
      <c r="L71" s="2" t="s">
        <v>49</v>
      </c>
      <c r="M71" s="15" t="s">
        <v>62</v>
      </c>
      <c r="N71" s="10">
        <v>45127</v>
      </c>
      <c r="O71" s="10">
        <v>45156</v>
      </c>
      <c r="P71" s="37">
        <v>20</v>
      </c>
      <c r="Q71" s="10">
        <v>45223</v>
      </c>
      <c r="R71" s="9">
        <v>45238</v>
      </c>
      <c r="S71" s="43">
        <v>45223</v>
      </c>
      <c r="T71" s="2">
        <v>15</v>
      </c>
      <c r="U71" s="9">
        <v>45246</v>
      </c>
      <c r="V71" s="2">
        <v>0</v>
      </c>
      <c r="W71" s="38">
        <v>0</v>
      </c>
      <c r="X71" s="13">
        <v>-426</v>
      </c>
      <c r="Y71" s="2" t="s">
        <v>499</v>
      </c>
      <c r="Z71" s="2" t="s">
        <v>151</v>
      </c>
      <c r="AA71" s="3">
        <v>5383</v>
      </c>
      <c r="AB71" s="4" t="s">
        <v>31</v>
      </c>
      <c r="AC71" s="2" t="s">
        <v>366</v>
      </c>
    </row>
    <row r="72" spans="1:29" ht="28.5" hidden="1" x14ac:dyDescent="0.2">
      <c r="A72" s="2">
        <v>71</v>
      </c>
      <c r="B72" s="2">
        <v>29</v>
      </c>
      <c r="C72" s="36" t="s">
        <v>32</v>
      </c>
      <c r="D72" s="2" t="s">
        <v>32</v>
      </c>
      <c r="E72" s="2" t="s">
        <v>31</v>
      </c>
      <c r="F72" s="2" t="s">
        <v>47</v>
      </c>
      <c r="G72" s="2" t="s">
        <v>395</v>
      </c>
      <c r="H72" s="2" t="s">
        <v>406</v>
      </c>
      <c r="I72" s="7">
        <v>40043012</v>
      </c>
      <c r="J72" s="3" t="s">
        <v>433</v>
      </c>
      <c r="K72" s="3">
        <v>301038000</v>
      </c>
      <c r="L72" s="2" t="s">
        <v>49</v>
      </c>
      <c r="M72" s="17" t="s">
        <v>62</v>
      </c>
      <c r="N72" s="10"/>
      <c r="O72" s="10"/>
      <c r="P72" s="37" t="s">
        <v>686</v>
      </c>
      <c r="Q72" s="10">
        <v>45131</v>
      </c>
      <c r="R72" s="9">
        <v>45141</v>
      </c>
      <c r="S72" s="43">
        <v>45135</v>
      </c>
      <c r="T72" s="2">
        <v>10</v>
      </c>
      <c r="U72" s="9">
        <v>45145</v>
      </c>
      <c r="V72" s="2">
        <v>4</v>
      </c>
      <c r="W72" s="38">
        <v>4</v>
      </c>
      <c r="X72" s="13">
        <v>-527</v>
      </c>
      <c r="Y72" s="2" t="s">
        <v>309</v>
      </c>
      <c r="Z72" s="2" t="s">
        <v>162</v>
      </c>
      <c r="AA72" s="3">
        <v>263</v>
      </c>
      <c r="AB72" s="65" t="s">
        <v>32</v>
      </c>
      <c r="AC72" s="2"/>
    </row>
    <row r="73" spans="1:29" ht="42.75" hidden="1" x14ac:dyDescent="0.2">
      <c r="A73" s="2">
        <v>72</v>
      </c>
      <c r="B73" s="2">
        <v>29</v>
      </c>
      <c r="C73" s="36" t="s">
        <v>32</v>
      </c>
      <c r="D73" s="2" t="s">
        <v>31</v>
      </c>
      <c r="E73" s="2" t="s">
        <v>31</v>
      </c>
      <c r="F73" s="2" t="s">
        <v>45</v>
      </c>
      <c r="G73" s="84" t="s">
        <v>51</v>
      </c>
      <c r="H73" s="2" t="s">
        <v>250</v>
      </c>
      <c r="I73" s="7">
        <v>40042999</v>
      </c>
      <c r="J73" s="3" t="s">
        <v>273</v>
      </c>
      <c r="K73" s="3">
        <v>570505000</v>
      </c>
      <c r="L73" s="2" t="s">
        <v>49</v>
      </c>
      <c r="M73" s="15" t="s">
        <v>62</v>
      </c>
      <c r="N73" s="10">
        <v>45138</v>
      </c>
      <c r="O73" s="10">
        <v>45159</v>
      </c>
      <c r="P73" s="37">
        <v>14</v>
      </c>
      <c r="Q73" s="10">
        <v>45194</v>
      </c>
      <c r="R73" s="9">
        <v>45209</v>
      </c>
      <c r="S73" s="43">
        <v>45229</v>
      </c>
      <c r="T73" s="2">
        <v>15</v>
      </c>
      <c r="U73" s="9">
        <v>45216</v>
      </c>
      <c r="V73" s="2">
        <v>35</v>
      </c>
      <c r="W73" s="38">
        <v>23</v>
      </c>
      <c r="X73" s="13">
        <v>-456</v>
      </c>
      <c r="Y73" s="2" t="s">
        <v>500</v>
      </c>
      <c r="Z73" s="2" t="s">
        <v>156</v>
      </c>
      <c r="AA73" s="3">
        <v>1182</v>
      </c>
      <c r="AB73" s="65" t="s">
        <v>31</v>
      </c>
      <c r="AC73" s="2" t="s">
        <v>501</v>
      </c>
    </row>
    <row r="74" spans="1:29" ht="28.5" hidden="1" x14ac:dyDescent="0.2">
      <c r="A74" s="2">
        <v>73</v>
      </c>
      <c r="B74" s="2">
        <v>29</v>
      </c>
      <c r="C74" s="36" t="s">
        <v>31</v>
      </c>
      <c r="D74" s="2" t="s">
        <v>31</v>
      </c>
      <c r="E74" s="2" t="s">
        <v>32</v>
      </c>
      <c r="F74" s="2" t="s">
        <v>45</v>
      </c>
      <c r="G74" s="2" t="s">
        <v>60</v>
      </c>
      <c r="H74" s="2" t="s">
        <v>7</v>
      </c>
      <c r="I74" s="18">
        <v>40054955</v>
      </c>
      <c r="J74" s="3" t="s">
        <v>438</v>
      </c>
      <c r="K74" s="3">
        <v>800512000</v>
      </c>
      <c r="L74" s="2" t="s">
        <v>49</v>
      </c>
      <c r="M74" s="15" t="s">
        <v>62</v>
      </c>
      <c r="N74" s="10">
        <v>45166</v>
      </c>
      <c r="O74" s="10">
        <v>45184</v>
      </c>
      <c r="P74" s="37">
        <v>14</v>
      </c>
      <c r="Q74" s="10">
        <v>45209</v>
      </c>
      <c r="R74" s="9">
        <v>45224</v>
      </c>
      <c r="S74" s="43">
        <v>45211</v>
      </c>
      <c r="T74" s="2">
        <v>15</v>
      </c>
      <c r="U74" s="9">
        <v>45232</v>
      </c>
      <c r="V74" s="2">
        <v>2</v>
      </c>
      <c r="W74" s="38">
        <v>2</v>
      </c>
      <c r="X74" s="13">
        <v>-440</v>
      </c>
      <c r="Y74" s="2" t="s">
        <v>494</v>
      </c>
      <c r="Z74" s="2" t="s">
        <v>154</v>
      </c>
      <c r="AA74" s="3">
        <v>416</v>
      </c>
      <c r="AB74" s="65" t="s">
        <v>31</v>
      </c>
      <c r="AC74" s="2" t="s">
        <v>366</v>
      </c>
    </row>
    <row r="75" spans="1:29" ht="28.5" hidden="1" x14ac:dyDescent="0.2">
      <c r="A75" s="2">
        <v>74</v>
      </c>
      <c r="B75" s="2">
        <v>29</v>
      </c>
      <c r="C75" s="36" t="s">
        <v>31</v>
      </c>
      <c r="D75" s="2" t="s">
        <v>31</v>
      </c>
      <c r="E75" s="2" t="s">
        <v>31</v>
      </c>
      <c r="F75" s="2" t="s">
        <v>48</v>
      </c>
      <c r="G75" s="2" t="s">
        <v>69</v>
      </c>
      <c r="H75" s="2" t="s">
        <v>78</v>
      </c>
      <c r="I75" s="7">
        <v>40055959</v>
      </c>
      <c r="J75" s="3" t="s">
        <v>441</v>
      </c>
      <c r="K75" s="3">
        <v>448939000</v>
      </c>
      <c r="L75" s="2" t="s">
        <v>49</v>
      </c>
      <c r="M75" s="15" t="s">
        <v>62</v>
      </c>
      <c r="N75" s="10">
        <v>45148</v>
      </c>
      <c r="O75" s="10">
        <v>45169</v>
      </c>
      <c r="P75" s="37">
        <v>14</v>
      </c>
      <c r="Q75" s="10">
        <v>45177</v>
      </c>
      <c r="R75" s="9">
        <v>45192</v>
      </c>
      <c r="S75" s="43">
        <v>45180</v>
      </c>
      <c r="T75" s="2">
        <v>15</v>
      </c>
      <c r="U75" s="9">
        <v>45202</v>
      </c>
      <c r="V75" s="2">
        <v>3</v>
      </c>
      <c r="W75" s="38">
        <v>1</v>
      </c>
      <c r="X75" s="13">
        <v>-470</v>
      </c>
      <c r="Y75" s="2" t="s">
        <v>472</v>
      </c>
      <c r="Z75" s="12" t="s">
        <v>172</v>
      </c>
      <c r="AA75" s="3"/>
      <c r="AB75" s="65" t="s">
        <v>31</v>
      </c>
      <c r="AC75" s="2"/>
    </row>
    <row r="76" spans="1:29" ht="28.5" hidden="1" x14ac:dyDescent="0.2">
      <c r="A76" s="2">
        <v>75</v>
      </c>
      <c r="B76" s="2">
        <v>31</v>
      </c>
      <c r="C76" s="36" t="s">
        <v>31</v>
      </c>
      <c r="D76" s="2" t="s">
        <v>31</v>
      </c>
      <c r="E76" s="2" t="s">
        <v>31</v>
      </c>
      <c r="F76" s="2" t="s">
        <v>45</v>
      </c>
      <c r="G76" s="2" t="s">
        <v>51</v>
      </c>
      <c r="H76" s="2" t="s">
        <v>11</v>
      </c>
      <c r="I76" s="7">
        <v>40056949</v>
      </c>
      <c r="J76" s="3" t="s">
        <v>439</v>
      </c>
      <c r="K76" s="3"/>
      <c r="L76" s="2" t="s">
        <v>49</v>
      </c>
      <c r="M76" s="15" t="s">
        <v>74</v>
      </c>
      <c r="N76" s="10">
        <v>45149</v>
      </c>
      <c r="O76" s="10">
        <v>45173</v>
      </c>
      <c r="P76" s="37">
        <v>15</v>
      </c>
      <c r="Q76" s="10">
        <v>45244</v>
      </c>
      <c r="R76" s="9">
        <v>45259</v>
      </c>
      <c r="S76" s="43">
        <v>45271</v>
      </c>
      <c r="T76" s="2">
        <v>15</v>
      </c>
      <c r="U76" s="9">
        <v>45265</v>
      </c>
      <c r="V76" s="2">
        <v>27</v>
      </c>
      <c r="W76" s="38">
        <v>18</v>
      </c>
      <c r="X76" s="13">
        <v>-407</v>
      </c>
      <c r="Y76" s="2"/>
      <c r="Z76" s="2" t="s">
        <v>155</v>
      </c>
      <c r="AA76" s="3"/>
      <c r="AB76" s="65" t="s">
        <v>31</v>
      </c>
      <c r="AC76" s="2"/>
    </row>
    <row r="77" spans="1:29" ht="28.5" hidden="1" x14ac:dyDescent="0.2">
      <c r="A77" s="2">
        <v>76</v>
      </c>
      <c r="B77" s="2">
        <v>31</v>
      </c>
      <c r="C77" s="36" t="s">
        <v>32</v>
      </c>
      <c r="D77" s="2" t="s">
        <v>32</v>
      </c>
      <c r="E77" s="2" t="s">
        <v>32</v>
      </c>
      <c r="F77" s="2" t="s">
        <v>47</v>
      </c>
      <c r="G77" s="84" t="s">
        <v>253</v>
      </c>
      <c r="H77" s="2" t="s">
        <v>8</v>
      </c>
      <c r="I77" s="7">
        <v>40040024</v>
      </c>
      <c r="J77" s="3" t="s">
        <v>440</v>
      </c>
      <c r="K77" s="3">
        <v>437100000</v>
      </c>
      <c r="L77" s="2" t="s">
        <v>49</v>
      </c>
      <c r="M77" s="17" t="s">
        <v>62</v>
      </c>
      <c r="N77" s="10"/>
      <c r="O77" s="10"/>
      <c r="P77" s="37" t="s">
        <v>686</v>
      </c>
      <c r="Q77" s="10">
        <v>45154</v>
      </c>
      <c r="R77" s="9">
        <v>45164</v>
      </c>
      <c r="S77" s="43">
        <v>45166</v>
      </c>
      <c r="T77" s="2">
        <v>10</v>
      </c>
      <c r="U77" s="9">
        <v>45168</v>
      </c>
      <c r="V77" s="2">
        <v>12</v>
      </c>
      <c r="W77" s="38">
        <v>8</v>
      </c>
      <c r="X77" s="13">
        <v>-504</v>
      </c>
      <c r="Y77" s="2" t="s">
        <v>287</v>
      </c>
      <c r="Z77" s="2" t="s">
        <v>154</v>
      </c>
      <c r="AA77" s="3">
        <v>940</v>
      </c>
      <c r="AB77" s="85" t="s">
        <v>32</v>
      </c>
      <c r="AC77" s="2"/>
    </row>
    <row r="78" spans="1:29" ht="28.5" hidden="1" x14ac:dyDescent="0.2">
      <c r="A78" s="2">
        <v>77</v>
      </c>
      <c r="B78" s="2">
        <v>29</v>
      </c>
      <c r="C78" s="36" t="s">
        <v>31</v>
      </c>
      <c r="D78" s="2" t="s">
        <v>31</v>
      </c>
      <c r="E78" s="2" t="s">
        <v>31</v>
      </c>
      <c r="F78" s="2" t="s">
        <v>45</v>
      </c>
      <c r="G78" s="2" t="s">
        <v>46</v>
      </c>
      <c r="H78" s="2" t="s">
        <v>78</v>
      </c>
      <c r="I78" s="18">
        <v>40056836</v>
      </c>
      <c r="J78" s="3" t="s">
        <v>442</v>
      </c>
      <c r="K78" s="3"/>
      <c r="L78" s="2" t="s">
        <v>49</v>
      </c>
      <c r="M78" s="15" t="s">
        <v>74</v>
      </c>
      <c r="N78" s="10">
        <v>45149</v>
      </c>
      <c r="O78" s="10">
        <v>45163</v>
      </c>
      <c r="P78" s="37">
        <v>9</v>
      </c>
      <c r="Q78" s="10">
        <v>45182</v>
      </c>
      <c r="R78" s="9">
        <v>45197</v>
      </c>
      <c r="S78" s="43">
        <v>45163</v>
      </c>
      <c r="T78" s="2">
        <v>15</v>
      </c>
      <c r="U78" s="9">
        <v>45205</v>
      </c>
      <c r="V78" s="2">
        <v>-19</v>
      </c>
      <c r="W78" s="38" t="s">
        <v>686</v>
      </c>
      <c r="X78" s="13">
        <v>-467</v>
      </c>
      <c r="Y78" s="2"/>
      <c r="Z78" s="2" t="s">
        <v>172</v>
      </c>
      <c r="AA78" s="3"/>
      <c r="AB78" s="65" t="s">
        <v>31</v>
      </c>
      <c r="AC78" s="2"/>
    </row>
    <row r="79" spans="1:29" ht="28.5" hidden="1" x14ac:dyDescent="0.2">
      <c r="A79" s="2">
        <v>78</v>
      </c>
      <c r="B79" s="2">
        <v>29</v>
      </c>
      <c r="C79" s="36" t="s">
        <v>31</v>
      </c>
      <c r="D79" s="2" t="s">
        <v>31</v>
      </c>
      <c r="E79" s="2" t="s">
        <v>31</v>
      </c>
      <c r="F79" s="2" t="s">
        <v>45</v>
      </c>
      <c r="G79" s="2" t="s">
        <v>69</v>
      </c>
      <c r="H79" s="2" t="s">
        <v>78</v>
      </c>
      <c r="I79" s="7">
        <v>40056926</v>
      </c>
      <c r="J79" s="3" t="s">
        <v>443</v>
      </c>
      <c r="K79" s="3"/>
      <c r="L79" s="2" t="s">
        <v>49</v>
      </c>
      <c r="M79" s="15" t="s">
        <v>74</v>
      </c>
      <c r="N79" s="10">
        <v>45169</v>
      </c>
      <c r="O79" s="10"/>
      <c r="P79" s="37" t="s">
        <v>686</v>
      </c>
      <c r="Q79" s="10">
        <v>45169</v>
      </c>
      <c r="R79" s="9">
        <v>45184</v>
      </c>
      <c r="S79" s="43">
        <v>45286</v>
      </c>
      <c r="T79" s="2">
        <v>15</v>
      </c>
      <c r="U79" s="9">
        <v>45194</v>
      </c>
      <c r="V79" s="2">
        <v>117</v>
      </c>
      <c r="W79" s="38">
        <v>76</v>
      </c>
      <c r="X79" s="13">
        <v>-478</v>
      </c>
      <c r="Y79" s="2"/>
      <c r="Z79" s="2" t="s">
        <v>172</v>
      </c>
      <c r="AA79" s="3"/>
      <c r="AB79" s="65" t="s">
        <v>31</v>
      </c>
      <c r="AC79" s="2"/>
    </row>
    <row r="80" spans="1:29" ht="28.5" hidden="1" x14ac:dyDescent="0.2">
      <c r="A80" s="2">
        <v>79</v>
      </c>
      <c r="B80" s="2">
        <v>29</v>
      </c>
      <c r="C80" s="36" t="s">
        <v>31</v>
      </c>
      <c r="D80" s="2" t="s">
        <v>31</v>
      </c>
      <c r="E80" s="2" t="s">
        <v>31</v>
      </c>
      <c r="F80" s="2" t="s">
        <v>45</v>
      </c>
      <c r="G80" s="2" t="s">
        <v>45</v>
      </c>
      <c r="H80" s="2" t="s">
        <v>78</v>
      </c>
      <c r="I80" s="7">
        <v>40054960</v>
      </c>
      <c r="J80" s="3" t="s">
        <v>444</v>
      </c>
      <c r="K80" s="3"/>
      <c r="L80" s="2" t="s">
        <v>49</v>
      </c>
      <c r="M80" s="15" t="s">
        <v>74</v>
      </c>
      <c r="N80" s="10">
        <v>45149</v>
      </c>
      <c r="O80" s="10">
        <v>45170</v>
      </c>
      <c r="P80" s="37">
        <v>14</v>
      </c>
      <c r="Q80" s="10">
        <v>45149</v>
      </c>
      <c r="R80" s="9">
        <v>45164</v>
      </c>
      <c r="S80" s="43">
        <v>45170</v>
      </c>
      <c r="T80" s="2">
        <v>15</v>
      </c>
      <c r="U80" s="9">
        <v>45173</v>
      </c>
      <c r="V80" s="2">
        <v>21</v>
      </c>
      <c r="W80" s="38">
        <v>14</v>
      </c>
      <c r="X80" s="13">
        <v>-499</v>
      </c>
      <c r="Y80" s="2"/>
      <c r="Z80" s="2" t="s">
        <v>172</v>
      </c>
      <c r="AA80" s="65"/>
      <c r="AB80" s="65" t="s">
        <v>31</v>
      </c>
      <c r="AC80" s="2"/>
    </row>
    <row r="81" spans="1:29" ht="28.5" hidden="1" x14ac:dyDescent="0.2">
      <c r="A81" s="2">
        <v>80</v>
      </c>
      <c r="B81" s="2">
        <v>29</v>
      </c>
      <c r="C81" s="36" t="s">
        <v>31</v>
      </c>
      <c r="D81" s="2" t="s">
        <v>31</v>
      </c>
      <c r="E81" s="2" t="s">
        <v>31</v>
      </c>
      <c r="F81" s="2" t="s">
        <v>45</v>
      </c>
      <c r="G81" s="2" t="s">
        <v>55</v>
      </c>
      <c r="H81" s="2" t="s">
        <v>78</v>
      </c>
      <c r="I81" s="7">
        <v>40056974</v>
      </c>
      <c r="J81" s="3" t="s">
        <v>445</v>
      </c>
      <c r="K81" s="3"/>
      <c r="L81" s="2" t="s">
        <v>49</v>
      </c>
      <c r="M81" s="15" t="s">
        <v>74</v>
      </c>
      <c r="N81" s="10">
        <v>45156</v>
      </c>
      <c r="O81" s="10">
        <v>45163</v>
      </c>
      <c r="P81" s="37">
        <v>5</v>
      </c>
      <c r="Q81" s="10">
        <v>45156</v>
      </c>
      <c r="R81" s="9">
        <v>45171</v>
      </c>
      <c r="S81" s="43">
        <v>45163</v>
      </c>
      <c r="T81" s="2">
        <v>15</v>
      </c>
      <c r="U81" s="9">
        <v>45177</v>
      </c>
      <c r="V81" s="2">
        <v>7</v>
      </c>
      <c r="W81" s="38">
        <v>5</v>
      </c>
      <c r="X81" s="13">
        <v>-495</v>
      </c>
      <c r="Y81" s="2"/>
      <c r="Z81" s="2" t="s">
        <v>172</v>
      </c>
      <c r="AA81" s="65"/>
      <c r="AB81" s="65" t="s">
        <v>31</v>
      </c>
      <c r="AC81" s="2"/>
    </row>
    <row r="82" spans="1:29" ht="48" customHeight="1" x14ac:dyDescent="0.2">
      <c r="A82" s="2">
        <v>81</v>
      </c>
      <c r="B82" s="2">
        <v>29</v>
      </c>
      <c r="C82" s="36" t="s">
        <v>31</v>
      </c>
      <c r="D82" s="2" t="s">
        <v>31</v>
      </c>
      <c r="E82" s="2" t="s">
        <v>32</v>
      </c>
      <c r="F82" s="2" t="s">
        <v>45</v>
      </c>
      <c r="G82" s="2" t="s">
        <v>70</v>
      </c>
      <c r="H82" s="2" t="s">
        <v>6</v>
      </c>
      <c r="I82" s="7">
        <v>40020478</v>
      </c>
      <c r="J82" s="3" t="s">
        <v>174</v>
      </c>
      <c r="K82" s="3">
        <v>629973000</v>
      </c>
      <c r="L82" s="2" t="s">
        <v>49</v>
      </c>
      <c r="M82" s="15" t="s">
        <v>62</v>
      </c>
      <c r="N82" s="10">
        <v>45159</v>
      </c>
      <c r="O82" s="10">
        <v>45180</v>
      </c>
      <c r="P82" s="37">
        <v>15</v>
      </c>
      <c r="Q82" s="10">
        <v>45232</v>
      </c>
      <c r="R82" s="9">
        <v>45247</v>
      </c>
      <c r="S82" s="43">
        <v>45252</v>
      </c>
      <c r="T82" s="2">
        <v>15</v>
      </c>
      <c r="U82" s="9">
        <v>45253</v>
      </c>
      <c r="V82" s="2">
        <v>20</v>
      </c>
      <c r="W82" s="38">
        <v>14</v>
      </c>
      <c r="X82" s="13">
        <v>-419</v>
      </c>
      <c r="Y82" s="2" t="s">
        <v>513</v>
      </c>
      <c r="Z82" s="2" t="s">
        <v>157</v>
      </c>
      <c r="AA82" s="64">
        <v>7494</v>
      </c>
      <c r="AB82" s="65" t="s">
        <v>31</v>
      </c>
      <c r="AC82" s="2" t="s">
        <v>366</v>
      </c>
    </row>
    <row r="83" spans="1:29" ht="30.75" hidden="1" customHeight="1" x14ac:dyDescent="0.2">
      <c r="A83" s="2">
        <v>82</v>
      </c>
      <c r="B83" s="2">
        <v>31</v>
      </c>
      <c r="C83" s="36" t="s">
        <v>31</v>
      </c>
      <c r="D83" s="2" t="s">
        <v>31</v>
      </c>
      <c r="E83" s="2" t="s">
        <v>31</v>
      </c>
      <c r="F83" s="2" t="s">
        <v>48</v>
      </c>
      <c r="G83" s="2" t="s">
        <v>394</v>
      </c>
      <c r="H83" s="2" t="s">
        <v>398</v>
      </c>
      <c r="I83" s="40">
        <v>40056911</v>
      </c>
      <c r="J83" s="3" t="s">
        <v>446</v>
      </c>
      <c r="K83" s="3">
        <v>693008000</v>
      </c>
      <c r="L83" s="2" t="s">
        <v>49</v>
      </c>
      <c r="M83" s="15" t="s">
        <v>62</v>
      </c>
      <c r="N83" s="10">
        <v>45160</v>
      </c>
      <c r="O83" s="10">
        <v>45181</v>
      </c>
      <c r="P83" s="37">
        <v>15</v>
      </c>
      <c r="Q83" s="10">
        <v>45274</v>
      </c>
      <c r="R83" s="9">
        <v>45289</v>
      </c>
      <c r="S83" s="43">
        <v>45289</v>
      </c>
      <c r="T83" s="2">
        <v>15</v>
      </c>
      <c r="U83" s="9">
        <v>45296</v>
      </c>
      <c r="V83" s="2">
        <v>15</v>
      </c>
      <c r="W83" s="38">
        <v>10</v>
      </c>
      <c r="X83" s="13">
        <v>-376</v>
      </c>
      <c r="Y83" s="2" t="s">
        <v>519</v>
      </c>
      <c r="Z83" s="2" t="s">
        <v>154</v>
      </c>
      <c r="AA83" s="12">
        <v>68</v>
      </c>
      <c r="AB83" s="65" t="s">
        <v>31</v>
      </c>
      <c r="AC83" s="2"/>
    </row>
    <row r="84" spans="1:29" ht="30.75" hidden="1" customHeight="1" x14ac:dyDescent="0.2">
      <c r="A84" s="2">
        <v>83</v>
      </c>
      <c r="B84" s="2">
        <v>31</v>
      </c>
      <c r="C84" s="36" t="s">
        <v>31</v>
      </c>
      <c r="D84" s="2" t="s">
        <v>31</v>
      </c>
      <c r="E84" s="2" t="s">
        <v>31</v>
      </c>
      <c r="F84" s="2" t="s">
        <v>45</v>
      </c>
      <c r="G84" s="2" t="s">
        <v>51</v>
      </c>
      <c r="H84" s="2" t="s">
        <v>250</v>
      </c>
      <c r="I84" s="7">
        <v>40056923</v>
      </c>
      <c r="J84" s="3" t="s">
        <v>449</v>
      </c>
      <c r="K84" s="3"/>
      <c r="L84" s="2" t="s">
        <v>49</v>
      </c>
      <c r="M84" s="15" t="s">
        <v>74</v>
      </c>
      <c r="N84" s="10">
        <v>45161</v>
      </c>
      <c r="O84" s="10"/>
      <c r="P84" s="37" t="s">
        <v>686</v>
      </c>
      <c r="Q84" s="10">
        <v>45161</v>
      </c>
      <c r="R84" s="9">
        <v>45176</v>
      </c>
      <c r="S84" s="43">
        <v>45240</v>
      </c>
      <c r="T84" s="2">
        <v>15</v>
      </c>
      <c r="U84" s="9">
        <v>45182</v>
      </c>
      <c r="V84" s="2">
        <v>79</v>
      </c>
      <c r="W84" s="38">
        <v>52</v>
      </c>
      <c r="X84" s="13">
        <v>-490</v>
      </c>
      <c r="Y84" s="2"/>
      <c r="Z84" s="12" t="s">
        <v>165</v>
      </c>
      <c r="AA84" s="12"/>
      <c r="AB84" s="65" t="s">
        <v>31</v>
      </c>
      <c r="AC84" s="2"/>
    </row>
    <row r="85" spans="1:29" ht="30.75" hidden="1" customHeight="1" x14ac:dyDescent="0.2">
      <c r="A85" s="2">
        <v>84</v>
      </c>
      <c r="B85" s="2">
        <v>31</v>
      </c>
      <c r="C85" s="36" t="s">
        <v>31</v>
      </c>
      <c r="D85" s="2" t="s">
        <v>31</v>
      </c>
      <c r="E85" s="2" t="s">
        <v>31</v>
      </c>
      <c r="F85" s="2" t="s">
        <v>42</v>
      </c>
      <c r="G85" s="2" t="s">
        <v>42</v>
      </c>
      <c r="H85" s="2" t="s">
        <v>250</v>
      </c>
      <c r="I85" s="7">
        <v>40056948</v>
      </c>
      <c r="J85" s="3" t="s">
        <v>450</v>
      </c>
      <c r="K85" s="3"/>
      <c r="L85" s="2" t="s">
        <v>49</v>
      </c>
      <c r="M85" s="15" t="s">
        <v>74</v>
      </c>
      <c r="N85" s="10">
        <v>45161</v>
      </c>
      <c r="O85" s="10"/>
      <c r="P85" s="37" t="s">
        <v>686</v>
      </c>
      <c r="Q85" s="10">
        <v>45161</v>
      </c>
      <c r="R85" s="9">
        <v>45176</v>
      </c>
      <c r="S85" s="43">
        <v>45240</v>
      </c>
      <c r="T85" s="2">
        <v>15</v>
      </c>
      <c r="U85" s="9">
        <v>45182</v>
      </c>
      <c r="V85" s="2">
        <v>79</v>
      </c>
      <c r="W85" s="38">
        <v>52</v>
      </c>
      <c r="X85" s="13">
        <v>-490</v>
      </c>
      <c r="Y85" s="2"/>
      <c r="Z85" s="12" t="s">
        <v>165</v>
      </c>
      <c r="AA85" s="12"/>
      <c r="AB85" s="65" t="s">
        <v>31</v>
      </c>
      <c r="AC85" s="2"/>
    </row>
    <row r="86" spans="1:29" ht="30.75" hidden="1" customHeight="1" x14ac:dyDescent="0.2">
      <c r="A86" s="2">
        <v>85</v>
      </c>
      <c r="B86" s="2">
        <v>29</v>
      </c>
      <c r="C86" s="36" t="s">
        <v>31</v>
      </c>
      <c r="D86" s="2" t="s">
        <v>31</v>
      </c>
      <c r="E86" s="2" t="s">
        <v>31</v>
      </c>
      <c r="F86" s="2" t="s">
        <v>42</v>
      </c>
      <c r="G86" s="2" t="s">
        <v>69</v>
      </c>
      <c r="H86" s="2" t="s">
        <v>84</v>
      </c>
      <c r="I86" s="7">
        <v>40057048</v>
      </c>
      <c r="J86" s="3" t="s">
        <v>451</v>
      </c>
      <c r="K86" s="3">
        <v>438335000</v>
      </c>
      <c r="L86" s="2" t="s">
        <v>49</v>
      </c>
      <c r="M86" s="15" t="s">
        <v>62</v>
      </c>
      <c r="N86" s="10">
        <v>45163</v>
      </c>
      <c r="O86" s="10">
        <v>45170</v>
      </c>
      <c r="P86" s="37">
        <v>5</v>
      </c>
      <c r="Q86" s="10">
        <v>45163</v>
      </c>
      <c r="R86" s="9">
        <v>45178</v>
      </c>
      <c r="S86" s="43">
        <v>45170</v>
      </c>
      <c r="T86" s="2">
        <v>15</v>
      </c>
      <c r="U86" s="9">
        <v>45184</v>
      </c>
      <c r="V86" s="2">
        <v>7</v>
      </c>
      <c r="W86" s="38">
        <v>5</v>
      </c>
      <c r="X86" s="13">
        <v>-488</v>
      </c>
      <c r="Y86" s="2" t="s">
        <v>467</v>
      </c>
      <c r="Z86" s="2" t="s">
        <v>157</v>
      </c>
      <c r="AA86" s="3">
        <v>234122</v>
      </c>
      <c r="AB86" s="65" t="s">
        <v>31</v>
      </c>
      <c r="AC86" s="2" t="s">
        <v>366</v>
      </c>
    </row>
    <row r="87" spans="1:29" ht="30.75" hidden="1" customHeight="1" x14ac:dyDescent="0.2">
      <c r="A87" s="2">
        <v>86</v>
      </c>
      <c r="B87" s="2">
        <v>29</v>
      </c>
      <c r="C87" s="36" t="s">
        <v>31</v>
      </c>
      <c r="D87" s="2" t="s">
        <v>31</v>
      </c>
      <c r="E87" s="2" t="s">
        <v>31</v>
      </c>
      <c r="F87" s="2" t="s">
        <v>48</v>
      </c>
      <c r="G87" s="2" t="s">
        <v>69</v>
      </c>
      <c r="H87" s="2" t="s">
        <v>84</v>
      </c>
      <c r="I87" s="7">
        <v>40057144</v>
      </c>
      <c r="J87" s="3" t="s">
        <v>452</v>
      </c>
      <c r="K87" s="3">
        <v>438335000</v>
      </c>
      <c r="L87" s="2" t="s">
        <v>49</v>
      </c>
      <c r="M87" s="15" t="s">
        <v>62</v>
      </c>
      <c r="N87" s="10">
        <v>45163</v>
      </c>
      <c r="O87" s="10">
        <v>45170</v>
      </c>
      <c r="P87" s="37">
        <v>5</v>
      </c>
      <c r="Q87" s="10">
        <v>45163</v>
      </c>
      <c r="R87" s="9">
        <v>45178</v>
      </c>
      <c r="S87" s="43">
        <v>45170</v>
      </c>
      <c r="T87" s="2">
        <v>15</v>
      </c>
      <c r="U87" s="9">
        <v>45184</v>
      </c>
      <c r="V87" s="2">
        <v>7</v>
      </c>
      <c r="W87" s="38">
        <v>5</v>
      </c>
      <c r="X87" s="13">
        <v>-488</v>
      </c>
      <c r="Y87" s="2" t="s">
        <v>466</v>
      </c>
      <c r="Z87" s="2" t="s">
        <v>157</v>
      </c>
      <c r="AA87" s="3">
        <v>18349</v>
      </c>
      <c r="AB87" s="65" t="s">
        <v>31</v>
      </c>
      <c r="AC87" s="2" t="s">
        <v>366</v>
      </c>
    </row>
    <row r="88" spans="1:29" ht="30.75" hidden="1" customHeight="1" x14ac:dyDescent="0.2">
      <c r="A88" s="2">
        <v>87</v>
      </c>
      <c r="B88" s="2">
        <v>29</v>
      </c>
      <c r="C88" s="36" t="s">
        <v>31</v>
      </c>
      <c r="D88" s="2" t="s">
        <v>31</v>
      </c>
      <c r="E88" s="2" t="s">
        <v>31</v>
      </c>
      <c r="F88" s="2" t="s">
        <v>47</v>
      </c>
      <c r="G88" s="2" t="s">
        <v>69</v>
      </c>
      <c r="H88" s="2" t="s">
        <v>84</v>
      </c>
      <c r="I88" s="7">
        <v>40057050</v>
      </c>
      <c r="J88" s="3" t="s">
        <v>453</v>
      </c>
      <c r="K88" s="3">
        <v>438335000</v>
      </c>
      <c r="L88" s="2" t="s">
        <v>49</v>
      </c>
      <c r="M88" s="15" t="s">
        <v>62</v>
      </c>
      <c r="N88" s="10">
        <v>45163</v>
      </c>
      <c r="O88" s="10">
        <v>45170</v>
      </c>
      <c r="P88" s="37">
        <v>5</v>
      </c>
      <c r="Q88" s="10">
        <v>45163</v>
      </c>
      <c r="R88" s="9">
        <v>45178</v>
      </c>
      <c r="S88" s="43">
        <v>45170</v>
      </c>
      <c r="T88" s="2">
        <v>15</v>
      </c>
      <c r="U88" s="9">
        <v>45184</v>
      </c>
      <c r="V88" s="2">
        <v>7</v>
      </c>
      <c r="W88" s="38">
        <v>5</v>
      </c>
      <c r="X88" s="13">
        <v>-488</v>
      </c>
      <c r="Y88" s="2" t="s">
        <v>468</v>
      </c>
      <c r="Z88" s="2" t="s">
        <v>157</v>
      </c>
      <c r="AA88" s="3">
        <v>168185</v>
      </c>
      <c r="AB88" s="65" t="s">
        <v>31</v>
      </c>
      <c r="AC88" s="2" t="s">
        <v>366</v>
      </c>
    </row>
    <row r="89" spans="1:29" ht="30.75" hidden="1" customHeight="1" x14ac:dyDescent="0.2">
      <c r="A89" s="2">
        <v>88</v>
      </c>
      <c r="B89" s="2">
        <v>29</v>
      </c>
      <c r="C89" s="36" t="s">
        <v>31</v>
      </c>
      <c r="D89" s="2" t="s">
        <v>31</v>
      </c>
      <c r="E89" s="2" t="s">
        <v>31</v>
      </c>
      <c r="F89" s="2" t="s">
        <v>45</v>
      </c>
      <c r="G89" s="2" t="s">
        <v>69</v>
      </c>
      <c r="H89" s="2" t="s">
        <v>84</v>
      </c>
      <c r="I89" s="7">
        <v>40057049</v>
      </c>
      <c r="J89" s="3" t="s">
        <v>454</v>
      </c>
      <c r="K89" s="3">
        <v>438335000</v>
      </c>
      <c r="L89" s="2" t="s">
        <v>49</v>
      </c>
      <c r="M89" s="15" t="s">
        <v>62</v>
      </c>
      <c r="N89" s="10">
        <v>45163</v>
      </c>
      <c r="O89" s="10">
        <v>45170</v>
      </c>
      <c r="P89" s="37">
        <v>5</v>
      </c>
      <c r="Q89" s="10">
        <v>45163</v>
      </c>
      <c r="R89" s="9">
        <v>45178</v>
      </c>
      <c r="S89" s="43">
        <v>45170</v>
      </c>
      <c r="T89" s="2">
        <v>15</v>
      </c>
      <c r="U89" s="9">
        <v>45184</v>
      </c>
      <c r="V89" s="2">
        <v>7</v>
      </c>
      <c r="W89" s="38">
        <v>5</v>
      </c>
      <c r="X89" s="13">
        <v>-488</v>
      </c>
      <c r="Y89" s="2" t="s">
        <v>465</v>
      </c>
      <c r="Z89" s="2" t="s">
        <v>157</v>
      </c>
      <c r="AA89" s="3">
        <v>408052</v>
      </c>
      <c r="AB89" s="65" t="s">
        <v>31</v>
      </c>
      <c r="AC89" s="2" t="s">
        <v>366</v>
      </c>
    </row>
    <row r="90" spans="1:29" ht="30.75" hidden="1" customHeight="1" x14ac:dyDescent="0.2">
      <c r="A90" s="2">
        <v>89</v>
      </c>
      <c r="B90" s="2">
        <v>29</v>
      </c>
      <c r="C90" s="36" t="s">
        <v>31</v>
      </c>
      <c r="D90" s="2" t="s">
        <v>31</v>
      </c>
      <c r="E90" s="2" t="s">
        <v>31</v>
      </c>
      <c r="F90" s="2" t="s">
        <v>47</v>
      </c>
      <c r="G90" s="2" t="s">
        <v>69</v>
      </c>
      <c r="H90" s="2" t="s">
        <v>84</v>
      </c>
      <c r="I90" s="2">
        <v>40057047</v>
      </c>
      <c r="J90" s="3" t="s">
        <v>455</v>
      </c>
      <c r="K90" s="3">
        <v>1338819000</v>
      </c>
      <c r="L90" s="2" t="s">
        <v>49</v>
      </c>
      <c r="M90" s="15" t="s">
        <v>62</v>
      </c>
      <c r="N90" s="10">
        <v>45163</v>
      </c>
      <c r="O90" s="10">
        <v>45168</v>
      </c>
      <c r="P90" s="37">
        <v>3</v>
      </c>
      <c r="Q90" s="10">
        <v>45174</v>
      </c>
      <c r="R90" s="9">
        <v>45189</v>
      </c>
      <c r="S90" s="43">
        <v>45184</v>
      </c>
      <c r="T90" s="2">
        <v>15</v>
      </c>
      <c r="U90" s="9">
        <v>45197</v>
      </c>
      <c r="V90" s="2">
        <v>10</v>
      </c>
      <c r="W90" s="38">
        <v>8</v>
      </c>
      <c r="X90" s="13">
        <v>-475</v>
      </c>
      <c r="Y90" s="2" t="s">
        <v>477</v>
      </c>
      <c r="Z90" s="2" t="s">
        <v>157</v>
      </c>
      <c r="AA90" s="64">
        <v>168185</v>
      </c>
      <c r="AB90" s="65" t="s">
        <v>31</v>
      </c>
      <c r="AC90" s="2" t="s">
        <v>366</v>
      </c>
    </row>
    <row r="91" spans="1:29" ht="30.75" customHeight="1" x14ac:dyDescent="0.2">
      <c r="A91" s="2">
        <v>90</v>
      </c>
      <c r="B91" s="2">
        <v>29</v>
      </c>
      <c r="C91" s="36" t="s">
        <v>32</v>
      </c>
      <c r="D91" s="2" t="s">
        <v>31</v>
      </c>
      <c r="E91" s="2" t="s">
        <v>32</v>
      </c>
      <c r="F91" s="2" t="s">
        <v>45</v>
      </c>
      <c r="G91" s="2" t="s">
        <v>70</v>
      </c>
      <c r="H91" s="2" t="s">
        <v>6</v>
      </c>
      <c r="I91" s="7">
        <v>40034762</v>
      </c>
      <c r="J91" s="49" t="s">
        <v>197</v>
      </c>
      <c r="K91" s="3"/>
      <c r="L91" s="2" t="s">
        <v>49</v>
      </c>
      <c r="M91" s="15" t="s">
        <v>74</v>
      </c>
      <c r="N91" s="10">
        <v>45161</v>
      </c>
      <c r="O91" s="10">
        <v>45183</v>
      </c>
      <c r="P91" s="37">
        <v>16</v>
      </c>
      <c r="Q91" s="10">
        <v>45237</v>
      </c>
      <c r="R91" s="9">
        <v>45252</v>
      </c>
      <c r="S91" s="43">
        <v>45272</v>
      </c>
      <c r="T91" s="2">
        <v>15</v>
      </c>
      <c r="U91" s="9">
        <v>45258</v>
      </c>
      <c r="V91" s="2">
        <v>35</v>
      </c>
      <c r="W91" s="38">
        <v>24</v>
      </c>
      <c r="X91" s="13">
        <v>-414</v>
      </c>
      <c r="Y91" s="2"/>
      <c r="Z91" s="2" t="s">
        <v>152</v>
      </c>
      <c r="AA91" s="12"/>
      <c r="AB91" s="65" t="s">
        <v>31</v>
      </c>
      <c r="AC91" s="2"/>
    </row>
    <row r="92" spans="1:29" ht="30.75" hidden="1" customHeight="1" x14ac:dyDescent="0.2">
      <c r="A92" s="2">
        <v>91</v>
      </c>
      <c r="B92" s="2">
        <v>29</v>
      </c>
      <c r="C92" s="36" t="s">
        <v>31</v>
      </c>
      <c r="D92" s="2" t="s">
        <v>31</v>
      </c>
      <c r="E92" s="2" t="s">
        <v>31</v>
      </c>
      <c r="F92" s="2" t="s">
        <v>45</v>
      </c>
      <c r="G92" s="2" t="s">
        <v>51</v>
      </c>
      <c r="H92" s="2" t="s">
        <v>78</v>
      </c>
      <c r="I92" s="7">
        <v>40051183</v>
      </c>
      <c r="J92" s="3" t="s">
        <v>462</v>
      </c>
      <c r="K92" s="3"/>
      <c r="L92" s="2" t="s">
        <v>49</v>
      </c>
      <c r="M92" s="15" t="s">
        <v>74</v>
      </c>
      <c r="N92" s="10">
        <v>45168</v>
      </c>
      <c r="O92" s="10">
        <v>45265</v>
      </c>
      <c r="P92" s="37">
        <v>64</v>
      </c>
      <c r="Q92" s="10">
        <v>45168</v>
      </c>
      <c r="R92" s="9">
        <v>45183</v>
      </c>
      <c r="S92" s="43">
        <v>45265</v>
      </c>
      <c r="T92" s="2">
        <v>15</v>
      </c>
      <c r="U92" s="9">
        <v>45191</v>
      </c>
      <c r="V92" s="2">
        <v>97</v>
      </c>
      <c r="W92" s="38">
        <v>64</v>
      </c>
      <c r="X92" s="13">
        <v>-481</v>
      </c>
      <c r="Y92" s="2"/>
      <c r="Z92" s="2" t="s">
        <v>172</v>
      </c>
      <c r="AA92" s="12"/>
      <c r="AB92" s="65" t="s">
        <v>31</v>
      </c>
      <c r="AC92" s="57"/>
    </row>
    <row r="93" spans="1:29" ht="30.75" hidden="1" customHeight="1" x14ac:dyDescent="0.2">
      <c r="A93" s="2">
        <v>92</v>
      </c>
      <c r="B93" s="2">
        <v>29</v>
      </c>
      <c r="C93" s="36" t="s">
        <v>31</v>
      </c>
      <c r="D93" s="2" t="s">
        <v>31</v>
      </c>
      <c r="E93" s="2" t="s">
        <v>31</v>
      </c>
      <c r="F93" s="2" t="s">
        <v>45</v>
      </c>
      <c r="G93" s="2" t="s">
        <v>51</v>
      </c>
      <c r="H93" s="2" t="s">
        <v>78</v>
      </c>
      <c r="I93" s="7">
        <v>40054903</v>
      </c>
      <c r="J93" s="3" t="s">
        <v>463</v>
      </c>
      <c r="K93" s="3"/>
      <c r="L93" s="2" t="s">
        <v>49</v>
      </c>
      <c r="M93" s="15" t="s">
        <v>74</v>
      </c>
      <c r="N93" s="10">
        <v>45168</v>
      </c>
      <c r="O93" s="10">
        <v>45265</v>
      </c>
      <c r="P93" s="37">
        <v>64</v>
      </c>
      <c r="Q93" s="10">
        <v>45168</v>
      </c>
      <c r="R93" s="9">
        <v>45183</v>
      </c>
      <c r="S93" s="43">
        <v>45265</v>
      </c>
      <c r="T93" s="2">
        <v>15</v>
      </c>
      <c r="U93" s="9">
        <v>45191</v>
      </c>
      <c r="V93" s="2">
        <v>97</v>
      </c>
      <c r="W93" s="38">
        <v>64</v>
      </c>
      <c r="X93" s="13">
        <v>-481</v>
      </c>
      <c r="Y93" s="2"/>
      <c r="Z93" s="2" t="s">
        <v>172</v>
      </c>
      <c r="AA93" s="12"/>
      <c r="AB93" s="65" t="s">
        <v>31</v>
      </c>
      <c r="AC93" s="57"/>
    </row>
    <row r="94" spans="1:29" ht="28.5" hidden="1" x14ac:dyDescent="0.2">
      <c r="A94" s="2">
        <v>93</v>
      </c>
      <c r="B94" s="2">
        <v>29</v>
      </c>
      <c r="C94" s="36" t="s">
        <v>32</v>
      </c>
      <c r="D94" s="2" t="s">
        <v>32</v>
      </c>
      <c r="E94" s="2" t="s">
        <v>31</v>
      </c>
      <c r="F94" s="2" t="s">
        <v>47</v>
      </c>
      <c r="G94" s="2" t="s">
        <v>64</v>
      </c>
      <c r="H94" s="2" t="s">
        <v>92</v>
      </c>
      <c r="I94" s="7">
        <v>40042473</v>
      </c>
      <c r="J94" s="3" t="s">
        <v>471</v>
      </c>
      <c r="K94" s="3">
        <v>783519641</v>
      </c>
      <c r="L94" s="2" t="s">
        <v>49</v>
      </c>
      <c r="M94" s="17" t="s">
        <v>62</v>
      </c>
      <c r="N94" s="10"/>
      <c r="O94" s="10"/>
      <c r="P94" s="37" t="s">
        <v>686</v>
      </c>
      <c r="Q94" s="10">
        <v>45167</v>
      </c>
      <c r="R94" s="9">
        <v>45167</v>
      </c>
      <c r="S94" s="43">
        <v>45176</v>
      </c>
      <c r="T94" s="2">
        <v>10</v>
      </c>
      <c r="U94" s="9">
        <v>45181</v>
      </c>
      <c r="V94" s="2">
        <v>9</v>
      </c>
      <c r="W94" s="38">
        <v>7</v>
      </c>
      <c r="X94" s="13">
        <v>-491</v>
      </c>
      <c r="Y94" s="2" t="s">
        <v>311</v>
      </c>
      <c r="Z94" s="12" t="s">
        <v>157</v>
      </c>
      <c r="AA94" s="65">
        <v>5657</v>
      </c>
      <c r="AB94" s="85" t="s">
        <v>32</v>
      </c>
      <c r="AC94" s="57"/>
    </row>
    <row r="95" spans="1:29" ht="28.5" hidden="1" x14ac:dyDescent="0.2">
      <c r="A95" s="2">
        <v>94</v>
      </c>
      <c r="B95" s="2">
        <v>29</v>
      </c>
      <c r="C95" s="36" t="s">
        <v>31</v>
      </c>
      <c r="D95" s="2" t="s">
        <v>31</v>
      </c>
      <c r="E95" s="2" t="s">
        <v>31</v>
      </c>
      <c r="F95" s="2" t="s">
        <v>45</v>
      </c>
      <c r="G95" s="2" t="s">
        <v>60</v>
      </c>
      <c r="H95" s="2" t="s">
        <v>78</v>
      </c>
      <c r="I95" s="7">
        <v>40057364</v>
      </c>
      <c r="J95" s="3" t="s">
        <v>470</v>
      </c>
      <c r="K95" s="3"/>
      <c r="L95" s="2" t="s">
        <v>49</v>
      </c>
      <c r="M95" s="15" t="s">
        <v>74</v>
      </c>
      <c r="N95" s="10">
        <v>45238</v>
      </c>
      <c r="O95" s="10">
        <v>45261</v>
      </c>
      <c r="P95" s="37">
        <v>17</v>
      </c>
      <c r="Q95" s="10">
        <v>45238</v>
      </c>
      <c r="R95" s="9">
        <v>45253</v>
      </c>
      <c r="S95" s="43">
        <v>45265</v>
      </c>
      <c r="T95" s="2">
        <v>15</v>
      </c>
      <c r="U95" s="9">
        <v>45259</v>
      </c>
      <c r="V95" s="2">
        <v>27</v>
      </c>
      <c r="W95" s="38">
        <v>19</v>
      </c>
      <c r="X95" s="13">
        <v>-413</v>
      </c>
      <c r="Y95" s="2"/>
      <c r="Z95" s="12" t="s">
        <v>476</v>
      </c>
      <c r="AA95" s="65"/>
      <c r="AB95" s="85" t="s">
        <v>31</v>
      </c>
      <c r="AC95" s="57"/>
    </row>
    <row r="96" spans="1:29" ht="28.5" hidden="1" x14ac:dyDescent="0.2">
      <c r="A96" s="2">
        <v>95</v>
      </c>
      <c r="B96" s="2">
        <v>29</v>
      </c>
      <c r="C96" s="36" t="s">
        <v>32</v>
      </c>
      <c r="D96" s="2" t="s">
        <v>31</v>
      </c>
      <c r="E96" s="2" t="s">
        <v>32</v>
      </c>
      <c r="F96" s="2" t="s">
        <v>45</v>
      </c>
      <c r="G96" s="2" t="s">
        <v>45</v>
      </c>
      <c r="H96" s="2" t="s">
        <v>79</v>
      </c>
      <c r="I96" s="7">
        <v>40032936</v>
      </c>
      <c r="J96" s="49" t="s">
        <v>200</v>
      </c>
      <c r="K96" s="3"/>
      <c r="L96" s="2" t="s">
        <v>49</v>
      </c>
      <c r="M96" s="15" t="s">
        <v>74</v>
      </c>
      <c r="N96" s="10">
        <v>45182</v>
      </c>
      <c r="O96" s="10">
        <v>45215</v>
      </c>
      <c r="P96" s="37">
        <v>20</v>
      </c>
      <c r="Q96" s="10">
        <v>45182</v>
      </c>
      <c r="R96" s="9">
        <v>45197</v>
      </c>
      <c r="S96" s="43">
        <v>45215</v>
      </c>
      <c r="T96" s="2">
        <v>15</v>
      </c>
      <c r="U96" s="9">
        <v>45205</v>
      </c>
      <c r="V96" s="2">
        <v>33</v>
      </c>
      <c r="W96" s="38">
        <v>20</v>
      </c>
      <c r="X96" s="13">
        <v>-467</v>
      </c>
      <c r="Y96" s="3"/>
      <c r="Z96" s="3" t="s">
        <v>152</v>
      </c>
      <c r="AA96" s="65"/>
      <c r="AB96" s="85" t="s">
        <v>31</v>
      </c>
      <c r="AC96" s="57"/>
    </row>
    <row r="97" spans="1:29" ht="28.5" hidden="1" x14ac:dyDescent="0.2">
      <c r="A97" s="2">
        <v>96</v>
      </c>
      <c r="B97" s="2">
        <v>31</v>
      </c>
      <c r="C97" s="36" t="s">
        <v>31</v>
      </c>
      <c r="D97" s="2" t="s">
        <v>31</v>
      </c>
      <c r="E97" s="2" t="s">
        <v>32</v>
      </c>
      <c r="F97" s="2" t="s">
        <v>42</v>
      </c>
      <c r="G97" s="2" t="s">
        <v>65</v>
      </c>
      <c r="H97" s="2" t="s">
        <v>29</v>
      </c>
      <c r="I97" s="7">
        <v>40050518</v>
      </c>
      <c r="J97" s="3" t="s">
        <v>475</v>
      </c>
      <c r="K97" s="3"/>
      <c r="L97" s="2" t="s">
        <v>49</v>
      </c>
      <c r="M97" s="15" t="s">
        <v>74</v>
      </c>
      <c r="N97" s="10">
        <v>45196</v>
      </c>
      <c r="O97" s="10">
        <v>45217</v>
      </c>
      <c r="P97" s="37">
        <v>14</v>
      </c>
      <c r="Q97" s="10">
        <v>45274</v>
      </c>
      <c r="R97" s="9">
        <v>45289</v>
      </c>
      <c r="S97" s="43">
        <v>45286</v>
      </c>
      <c r="T97" s="2">
        <v>15</v>
      </c>
      <c r="U97" s="9">
        <v>45296</v>
      </c>
      <c r="V97" s="2">
        <v>12</v>
      </c>
      <c r="W97" s="38">
        <v>7</v>
      </c>
      <c r="X97" s="13">
        <v>-376</v>
      </c>
      <c r="Y97" s="3"/>
      <c r="Z97" s="12" t="s">
        <v>165</v>
      </c>
      <c r="AA97" s="65"/>
      <c r="AB97" s="85" t="s">
        <v>31</v>
      </c>
      <c r="AC97" s="57"/>
    </row>
    <row r="98" spans="1:29" ht="28.5" hidden="1" x14ac:dyDescent="0.2">
      <c r="A98" s="2">
        <v>97</v>
      </c>
      <c r="B98" s="2">
        <v>29</v>
      </c>
      <c r="C98" s="36" t="s">
        <v>31</v>
      </c>
      <c r="D98" s="2" t="s">
        <v>32</v>
      </c>
      <c r="E98" s="2" t="s">
        <v>31</v>
      </c>
      <c r="F98" s="2" t="s">
        <v>45</v>
      </c>
      <c r="G98" s="2" t="s">
        <v>51</v>
      </c>
      <c r="H98" s="2" t="s">
        <v>78</v>
      </c>
      <c r="I98" s="7">
        <v>40046863</v>
      </c>
      <c r="J98" s="16" t="s">
        <v>511</v>
      </c>
      <c r="K98" s="3">
        <v>2208718280</v>
      </c>
      <c r="L98" s="2" t="s">
        <v>49</v>
      </c>
      <c r="M98" s="17" t="s">
        <v>62</v>
      </c>
      <c r="N98" s="10"/>
      <c r="O98" s="10"/>
      <c r="P98" s="37" t="s">
        <v>686</v>
      </c>
      <c r="Q98" s="10">
        <v>45230</v>
      </c>
      <c r="R98" s="9">
        <v>45240</v>
      </c>
      <c r="S98" s="43">
        <v>45237</v>
      </c>
      <c r="T98" s="2">
        <v>10</v>
      </c>
      <c r="U98" s="9">
        <v>45245</v>
      </c>
      <c r="V98" s="2">
        <v>7</v>
      </c>
      <c r="W98" s="38">
        <v>4</v>
      </c>
      <c r="X98" s="13">
        <v>-427</v>
      </c>
      <c r="Y98" s="2" t="s">
        <v>313</v>
      </c>
      <c r="Z98" s="48" t="s">
        <v>172</v>
      </c>
      <c r="AA98" s="65">
        <v>397983</v>
      </c>
      <c r="AB98" s="65" t="s">
        <v>32</v>
      </c>
      <c r="AC98" s="57"/>
    </row>
    <row r="99" spans="1:29" ht="28.5" hidden="1" x14ac:dyDescent="0.2">
      <c r="A99" s="2">
        <v>98</v>
      </c>
      <c r="B99" s="2">
        <v>29</v>
      </c>
      <c r="C99" s="36" t="s">
        <v>31</v>
      </c>
      <c r="D99" s="2" t="s">
        <v>31</v>
      </c>
      <c r="E99" s="2" t="s">
        <v>31</v>
      </c>
      <c r="F99" s="2" t="s">
        <v>47</v>
      </c>
      <c r="G99" s="2" t="s">
        <v>69</v>
      </c>
      <c r="H99" s="2" t="s">
        <v>482</v>
      </c>
      <c r="I99" s="7">
        <v>40058035</v>
      </c>
      <c r="J99" s="3" t="s">
        <v>481</v>
      </c>
      <c r="K99" s="3"/>
      <c r="L99" s="2" t="s">
        <v>49</v>
      </c>
      <c r="M99" s="15" t="s">
        <v>74</v>
      </c>
      <c r="N99" s="10">
        <v>45205</v>
      </c>
      <c r="O99" s="10">
        <v>45230</v>
      </c>
      <c r="P99" s="37">
        <v>15</v>
      </c>
      <c r="Q99" s="10">
        <v>45265</v>
      </c>
      <c r="R99" s="9">
        <v>45280</v>
      </c>
      <c r="S99" s="43">
        <v>45278</v>
      </c>
      <c r="T99" s="2">
        <v>15</v>
      </c>
      <c r="U99" s="9">
        <v>45288</v>
      </c>
      <c r="V99" s="2">
        <v>13</v>
      </c>
      <c r="W99" s="38">
        <v>8</v>
      </c>
      <c r="X99" s="13">
        <v>-384</v>
      </c>
      <c r="Y99" s="3"/>
      <c r="Z99" s="48" t="s">
        <v>172</v>
      </c>
      <c r="AA99" s="65"/>
      <c r="AB99" s="85" t="s">
        <v>31</v>
      </c>
      <c r="AC99" s="2"/>
    </row>
    <row r="100" spans="1:29" ht="48" hidden="1" customHeight="1" x14ac:dyDescent="0.2">
      <c r="A100" s="2">
        <v>99</v>
      </c>
      <c r="B100" s="2">
        <v>29</v>
      </c>
      <c r="C100" s="36" t="s">
        <v>31</v>
      </c>
      <c r="D100" s="2" t="s">
        <v>31</v>
      </c>
      <c r="E100" s="2" t="s">
        <v>32</v>
      </c>
      <c r="F100" s="2" t="s">
        <v>47</v>
      </c>
      <c r="G100" s="2" t="s">
        <v>50</v>
      </c>
      <c r="H100" s="2" t="s">
        <v>9</v>
      </c>
      <c r="I100" s="7">
        <v>40041565</v>
      </c>
      <c r="J100" s="3" t="s">
        <v>300</v>
      </c>
      <c r="K100" s="3">
        <v>222510000</v>
      </c>
      <c r="L100" s="2" t="s">
        <v>49</v>
      </c>
      <c r="M100" s="15" t="s">
        <v>62</v>
      </c>
      <c r="N100" s="10">
        <v>45196</v>
      </c>
      <c r="O100" s="10">
        <v>45229</v>
      </c>
      <c r="P100" s="37">
        <v>21</v>
      </c>
      <c r="Q100" s="10">
        <v>45196</v>
      </c>
      <c r="R100" s="9">
        <v>45211</v>
      </c>
      <c r="S100" s="43">
        <v>45229</v>
      </c>
      <c r="T100" s="2">
        <v>15</v>
      </c>
      <c r="U100" s="9">
        <v>45218</v>
      </c>
      <c r="V100" s="2">
        <v>33</v>
      </c>
      <c r="W100" s="38">
        <v>21</v>
      </c>
      <c r="X100" s="13">
        <v>-454</v>
      </c>
      <c r="Y100" s="3" t="s">
        <v>506</v>
      </c>
      <c r="Z100" s="2" t="s">
        <v>157</v>
      </c>
      <c r="AA100" s="65">
        <v>11687</v>
      </c>
      <c r="AB100" s="65" t="s">
        <v>31</v>
      </c>
      <c r="AC100" s="2" t="s">
        <v>366</v>
      </c>
    </row>
    <row r="101" spans="1:29" ht="28.5" hidden="1" x14ac:dyDescent="0.2">
      <c r="A101" s="2">
        <v>100</v>
      </c>
      <c r="B101" s="2">
        <v>29</v>
      </c>
      <c r="C101" s="36" t="s">
        <v>31</v>
      </c>
      <c r="D101" s="2" t="s">
        <v>31</v>
      </c>
      <c r="E101" s="2" t="s">
        <v>31</v>
      </c>
      <c r="F101" s="2" t="s">
        <v>47</v>
      </c>
      <c r="G101" s="2" t="s">
        <v>69</v>
      </c>
      <c r="H101" s="2" t="s">
        <v>482</v>
      </c>
      <c r="I101" s="7">
        <v>40058065</v>
      </c>
      <c r="J101" s="3" t="s">
        <v>483</v>
      </c>
      <c r="K101" s="3"/>
      <c r="L101" s="2" t="s">
        <v>49</v>
      </c>
      <c r="M101" s="15" t="s">
        <v>74</v>
      </c>
      <c r="N101" s="10">
        <v>45205</v>
      </c>
      <c r="O101" s="10">
        <v>45230</v>
      </c>
      <c r="P101" s="37">
        <v>15</v>
      </c>
      <c r="Q101" s="10">
        <v>45265</v>
      </c>
      <c r="R101" s="9">
        <v>45280</v>
      </c>
      <c r="S101" s="10">
        <v>45278</v>
      </c>
      <c r="T101" s="2">
        <v>15</v>
      </c>
      <c r="U101" s="9">
        <v>45288</v>
      </c>
      <c r="V101" s="2">
        <v>13</v>
      </c>
      <c r="W101" s="38">
        <v>8</v>
      </c>
      <c r="X101" s="13">
        <v>-384</v>
      </c>
      <c r="Y101" s="3"/>
      <c r="Z101" s="48"/>
      <c r="AA101" s="65"/>
      <c r="AB101" s="85" t="s">
        <v>31</v>
      </c>
      <c r="AC101" s="2"/>
    </row>
    <row r="102" spans="1:29" ht="28.5" hidden="1" x14ac:dyDescent="0.2">
      <c r="A102" s="2">
        <v>101</v>
      </c>
      <c r="B102" s="2">
        <v>29</v>
      </c>
      <c r="C102" s="36" t="s">
        <v>31</v>
      </c>
      <c r="D102" s="2" t="s">
        <v>31</v>
      </c>
      <c r="E102" s="2" t="s">
        <v>31</v>
      </c>
      <c r="F102" s="2" t="s">
        <v>175</v>
      </c>
      <c r="G102" s="2" t="s">
        <v>175</v>
      </c>
      <c r="H102" s="2" t="s">
        <v>91</v>
      </c>
      <c r="I102" s="7">
        <v>40058220</v>
      </c>
      <c r="J102" s="3" t="s">
        <v>484</v>
      </c>
      <c r="K102" s="3"/>
      <c r="L102" s="2" t="s">
        <v>49</v>
      </c>
      <c r="M102" s="15" t="s">
        <v>74</v>
      </c>
      <c r="N102" s="10">
        <v>45209</v>
      </c>
      <c r="O102" s="10">
        <v>45232</v>
      </c>
      <c r="P102" s="37">
        <v>15</v>
      </c>
      <c r="Q102" s="10">
        <v>45209</v>
      </c>
      <c r="R102" s="9">
        <v>45224</v>
      </c>
      <c r="S102" s="43">
        <v>45232</v>
      </c>
      <c r="T102" s="2">
        <v>15</v>
      </c>
      <c r="U102" s="9">
        <v>45232</v>
      </c>
      <c r="V102" s="2">
        <v>23</v>
      </c>
      <c r="W102" s="38">
        <v>15</v>
      </c>
      <c r="X102" s="13">
        <v>-440</v>
      </c>
      <c r="Y102" s="3"/>
      <c r="Z102" s="48"/>
      <c r="AA102" s="65"/>
      <c r="AB102" s="85" t="s">
        <v>31</v>
      </c>
      <c r="AC102" s="2"/>
    </row>
    <row r="103" spans="1:29" ht="28.5" hidden="1" x14ac:dyDescent="0.2">
      <c r="A103" s="2">
        <v>102</v>
      </c>
      <c r="B103" s="2">
        <v>31</v>
      </c>
      <c r="C103" s="36" t="s">
        <v>31</v>
      </c>
      <c r="D103" s="2" t="s">
        <v>31</v>
      </c>
      <c r="E103" s="2" t="s">
        <v>31</v>
      </c>
      <c r="F103" s="2" t="s">
        <v>45</v>
      </c>
      <c r="G103" s="2" t="s">
        <v>55</v>
      </c>
      <c r="H103" s="2" t="s">
        <v>4</v>
      </c>
      <c r="I103" s="7">
        <v>40055334</v>
      </c>
      <c r="J103" s="3" t="s">
        <v>486</v>
      </c>
      <c r="K103" s="3"/>
      <c r="L103" s="2" t="s">
        <v>49</v>
      </c>
      <c r="M103" s="15" t="s">
        <v>74</v>
      </c>
      <c r="N103" s="10">
        <v>45212</v>
      </c>
      <c r="O103" s="10">
        <v>45237</v>
      </c>
      <c r="P103" s="37">
        <v>15</v>
      </c>
      <c r="Q103" s="10">
        <v>45212</v>
      </c>
      <c r="R103" s="9">
        <v>45227</v>
      </c>
      <c r="S103" s="43">
        <v>45237</v>
      </c>
      <c r="T103" s="2">
        <v>15</v>
      </c>
      <c r="U103" s="9">
        <v>45237</v>
      </c>
      <c r="V103" s="2">
        <v>25</v>
      </c>
      <c r="W103" s="38">
        <v>15</v>
      </c>
      <c r="X103" s="13">
        <v>-435</v>
      </c>
      <c r="Y103" s="3"/>
      <c r="Z103" s="48"/>
      <c r="AA103" s="65"/>
      <c r="AB103" s="85" t="s">
        <v>31</v>
      </c>
      <c r="AC103" s="57"/>
    </row>
    <row r="104" spans="1:29" ht="28.5" hidden="1" x14ac:dyDescent="0.2">
      <c r="A104" s="2">
        <v>103</v>
      </c>
      <c r="B104" s="2">
        <v>31</v>
      </c>
      <c r="C104" s="36" t="s">
        <v>32</v>
      </c>
      <c r="D104" s="2" t="s">
        <v>32</v>
      </c>
      <c r="E104" s="2" t="s">
        <v>32</v>
      </c>
      <c r="F104" s="2" t="s">
        <v>42</v>
      </c>
      <c r="G104" s="2" t="s">
        <v>42</v>
      </c>
      <c r="H104" s="2" t="s">
        <v>17</v>
      </c>
      <c r="I104" s="7">
        <v>40039788</v>
      </c>
      <c r="J104" s="3" t="s">
        <v>260</v>
      </c>
      <c r="K104" s="3">
        <v>569638000</v>
      </c>
      <c r="L104" s="2" t="s">
        <v>49</v>
      </c>
      <c r="M104" s="17" t="s">
        <v>74</v>
      </c>
      <c r="N104" s="10"/>
      <c r="O104" s="10"/>
      <c r="P104" s="37" t="s">
        <v>686</v>
      </c>
      <c r="Q104" s="10">
        <v>45217</v>
      </c>
      <c r="R104" s="9">
        <v>45227</v>
      </c>
      <c r="S104" s="43">
        <v>45230</v>
      </c>
      <c r="T104" s="2">
        <v>10</v>
      </c>
      <c r="U104" s="9">
        <v>45233</v>
      </c>
      <c r="V104" s="2">
        <v>13</v>
      </c>
      <c r="W104" s="38">
        <v>8</v>
      </c>
      <c r="X104" s="13">
        <v>-439</v>
      </c>
      <c r="Y104" s="2" t="s">
        <v>310</v>
      </c>
      <c r="Z104" s="12" t="s">
        <v>155</v>
      </c>
      <c r="AA104" s="65">
        <v>49870</v>
      </c>
      <c r="AB104" s="65" t="s">
        <v>32</v>
      </c>
      <c r="AC104" s="57"/>
    </row>
    <row r="105" spans="1:29" ht="28.5" hidden="1" x14ac:dyDescent="0.2">
      <c r="A105" s="2">
        <v>104</v>
      </c>
      <c r="B105" s="2">
        <v>29</v>
      </c>
      <c r="C105" s="36" t="s">
        <v>32</v>
      </c>
      <c r="D105" s="2" t="s">
        <v>31</v>
      </c>
      <c r="E105" s="2" t="s">
        <v>32</v>
      </c>
      <c r="F105" s="2" t="s">
        <v>47</v>
      </c>
      <c r="G105" s="2" t="s">
        <v>56</v>
      </c>
      <c r="H105" s="2" t="s">
        <v>13</v>
      </c>
      <c r="I105" s="7">
        <v>40043567</v>
      </c>
      <c r="J105" s="3" t="s">
        <v>504</v>
      </c>
      <c r="K105" s="3"/>
      <c r="L105" s="2" t="s">
        <v>49</v>
      </c>
      <c r="M105" s="15" t="s">
        <v>74</v>
      </c>
      <c r="N105" s="10">
        <v>45217</v>
      </c>
      <c r="O105" s="10">
        <v>45225</v>
      </c>
      <c r="P105" s="37">
        <v>6</v>
      </c>
      <c r="Q105" s="10">
        <v>45217</v>
      </c>
      <c r="R105" s="9">
        <v>45232</v>
      </c>
      <c r="S105" s="43">
        <v>45225</v>
      </c>
      <c r="T105" s="2">
        <v>15</v>
      </c>
      <c r="U105" s="9">
        <v>45240</v>
      </c>
      <c r="V105" s="2">
        <v>8</v>
      </c>
      <c r="W105" s="38">
        <v>6</v>
      </c>
      <c r="X105" s="13">
        <v>-432</v>
      </c>
      <c r="Y105" s="2"/>
      <c r="Z105" s="48" t="s">
        <v>157</v>
      </c>
      <c r="AA105" s="65"/>
      <c r="AB105" s="85" t="s">
        <v>31</v>
      </c>
      <c r="AC105" s="57"/>
    </row>
    <row r="106" spans="1:29" ht="28.5" hidden="1" x14ac:dyDescent="0.2">
      <c r="A106" s="2">
        <v>105</v>
      </c>
      <c r="B106" s="2">
        <v>31</v>
      </c>
      <c r="C106" s="36" t="s">
        <v>32</v>
      </c>
      <c r="D106" s="2" t="s">
        <v>32</v>
      </c>
      <c r="E106" s="2" t="s">
        <v>32</v>
      </c>
      <c r="F106" s="2" t="s">
        <v>45</v>
      </c>
      <c r="G106" s="2" t="s">
        <v>69</v>
      </c>
      <c r="H106" s="2" t="s">
        <v>84</v>
      </c>
      <c r="I106" s="7">
        <v>40027009</v>
      </c>
      <c r="J106" s="3" t="s">
        <v>183</v>
      </c>
      <c r="K106" s="3">
        <v>1495938000</v>
      </c>
      <c r="L106" s="2" t="s">
        <v>49</v>
      </c>
      <c r="M106" s="17" t="s">
        <v>62</v>
      </c>
      <c r="N106" s="10"/>
      <c r="O106" s="10"/>
      <c r="P106" s="37" t="s">
        <v>686</v>
      </c>
      <c r="Q106" s="10">
        <v>45243</v>
      </c>
      <c r="R106" s="9">
        <v>45253</v>
      </c>
      <c r="S106" s="43">
        <v>45267</v>
      </c>
      <c r="T106" s="2">
        <v>10</v>
      </c>
      <c r="U106" s="9">
        <v>45257</v>
      </c>
      <c r="V106" s="2">
        <v>24</v>
      </c>
      <c r="W106" s="38">
        <v>18</v>
      </c>
      <c r="X106" s="13">
        <v>-415</v>
      </c>
      <c r="Y106" s="2" t="s">
        <v>186</v>
      </c>
      <c r="Z106" s="48" t="s">
        <v>158</v>
      </c>
      <c r="AA106" s="65"/>
      <c r="AB106" s="85" t="s">
        <v>32</v>
      </c>
      <c r="AC106" s="57"/>
    </row>
    <row r="107" spans="1:29" ht="28.5" hidden="1" x14ac:dyDescent="0.2">
      <c r="A107" s="2">
        <v>106</v>
      </c>
      <c r="B107" s="2">
        <v>29</v>
      </c>
      <c r="C107" s="36" t="s">
        <v>31</v>
      </c>
      <c r="D107" s="2" t="s">
        <v>31</v>
      </c>
      <c r="E107" s="2" t="s">
        <v>31</v>
      </c>
      <c r="F107" s="2" t="s">
        <v>45</v>
      </c>
      <c r="G107" s="2" t="s">
        <v>69</v>
      </c>
      <c r="H107" s="2" t="s">
        <v>491</v>
      </c>
      <c r="I107" s="7" t="s">
        <v>492</v>
      </c>
      <c r="J107" s="3" t="s">
        <v>489</v>
      </c>
      <c r="K107" s="3"/>
      <c r="L107" s="2" t="s">
        <v>49</v>
      </c>
      <c r="M107" s="15" t="s">
        <v>74</v>
      </c>
      <c r="N107" s="10">
        <v>45212</v>
      </c>
      <c r="O107" s="10">
        <v>45236</v>
      </c>
      <c r="P107" s="37">
        <v>14</v>
      </c>
      <c r="Q107" s="10">
        <v>45212</v>
      </c>
      <c r="R107" s="9">
        <v>45227</v>
      </c>
      <c r="S107" s="43">
        <v>45236</v>
      </c>
      <c r="T107" s="2">
        <v>15</v>
      </c>
      <c r="U107" s="9">
        <v>45237</v>
      </c>
      <c r="V107" s="2">
        <v>24</v>
      </c>
      <c r="W107" s="38">
        <v>14</v>
      </c>
      <c r="X107" s="13">
        <v>-435</v>
      </c>
      <c r="Y107" s="2"/>
      <c r="Z107" s="48"/>
      <c r="AA107" s="65"/>
      <c r="AB107" s="85" t="s">
        <v>31</v>
      </c>
      <c r="AC107" s="57"/>
    </row>
    <row r="108" spans="1:29" ht="28.5" hidden="1" x14ac:dyDescent="0.2">
      <c r="A108" s="2">
        <v>107</v>
      </c>
      <c r="B108" s="2">
        <v>29</v>
      </c>
      <c r="C108" s="36" t="s">
        <v>31</v>
      </c>
      <c r="D108" s="2" t="s">
        <v>31</v>
      </c>
      <c r="E108" s="2" t="s">
        <v>31</v>
      </c>
      <c r="F108" s="2" t="s">
        <v>47</v>
      </c>
      <c r="G108" s="2" t="s">
        <v>69</v>
      </c>
      <c r="H108" s="2" t="s">
        <v>491</v>
      </c>
      <c r="I108" s="7" t="s">
        <v>492</v>
      </c>
      <c r="J108" s="3" t="s">
        <v>490</v>
      </c>
      <c r="K108" s="3"/>
      <c r="L108" s="2" t="s">
        <v>49</v>
      </c>
      <c r="M108" s="15" t="s">
        <v>74</v>
      </c>
      <c r="N108" s="10">
        <v>45212</v>
      </c>
      <c r="O108" s="10">
        <v>45236</v>
      </c>
      <c r="P108" s="37">
        <v>14</v>
      </c>
      <c r="Q108" s="10">
        <v>45212</v>
      </c>
      <c r="R108" s="9">
        <v>45227</v>
      </c>
      <c r="S108" s="43">
        <v>45236</v>
      </c>
      <c r="T108" s="2">
        <v>15</v>
      </c>
      <c r="U108" s="9">
        <v>45237</v>
      </c>
      <c r="V108" s="2">
        <v>24</v>
      </c>
      <c r="W108" s="38">
        <v>14</v>
      </c>
      <c r="X108" s="13">
        <v>-435</v>
      </c>
      <c r="Y108" s="2"/>
      <c r="Z108" s="48"/>
      <c r="AA108" s="65"/>
      <c r="AB108" s="85" t="s">
        <v>31</v>
      </c>
      <c r="AC108" s="57"/>
    </row>
    <row r="109" spans="1:29" ht="28.5" hidden="1" x14ac:dyDescent="0.2">
      <c r="A109" s="2">
        <v>108</v>
      </c>
      <c r="B109" s="2">
        <v>31</v>
      </c>
      <c r="C109" s="36" t="s">
        <v>32</v>
      </c>
      <c r="D109" s="2" t="s">
        <v>32</v>
      </c>
      <c r="E109" s="2" t="s">
        <v>32</v>
      </c>
      <c r="F109" s="2" t="s">
        <v>42</v>
      </c>
      <c r="G109" s="2" t="s">
        <v>42</v>
      </c>
      <c r="H109" s="2" t="s">
        <v>17</v>
      </c>
      <c r="I109" s="7">
        <v>40036922</v>
      </c>
      <c r="J109" s="3" t="s">
        <v>213</v>
      </c>
      <c r="K109" s="3"/>
      <c r="L109" s="2" t="s">
        <v>49</v>
      </c>
      <c r="M109" s="17" t="s">
        <v>62</v>
      </c>
      <c r="N109" s="10"/>
      <c r="O109" s="10"/>
      <c r="P109" s="37" t="s">
        <v>686</v>
      </c>
      <c r="Q109" s="10">
        <v>45244</v>
      </c>
      <c r="R109" s="9">
        <v>45254</v>
      </c>
      <c r="S109" s="43">
        <v>45261</v>
      </c>
      <c r="T109" s="2">
        <v>10</v>
      </c>
      <c r="U109" s="9">
        <v>45258</v>
      </c>
      <c r="V109" s="2">
        <v>17</v>
      </c>
      <c r="W109" s="38">
        <v>13</v>
      </c>
      <c r="X109" s="13">
        <v>-414</v>
      </c>
      <c r="Y109" s="2"/>
      <c r="Z109" s="48"/>
      <c r="AA109" s="65"/>
      <c r="AB109" s="85" t="s">
        <v>32</v>
      </c>
      <c r="AC109" s="57"/>
    </row>
    <row r="110" spans="1:29" ht="28.5" hidden="1" x14ac:dyDescent="0.2">
      <c r="A110" s="2">
        <v>109</v>
      </c>
      <c r="B110" s="2">
        <v>31</v>
      </c>
      <c r="C110" s="36" t="s">
        <v>31</v>
      </c>
      <c r="D110" s="2" t="s">
        <v>31</v>
      </c>
      <c r="E110" s="2" t="s">
        <v>32</v>
      </c>
      <c r="F110" s="2" t="s">
        <v>42</v>
      </c>
      <c r="G110" s="2" t="s">
        <v>65</v>
      </c>
      <c r="H110" s="2" t="s">
        <v>29</v>
      </c>
      <c r="I110" s="7">
        <v>40051437</v>
      </c>
      <c r="J110" s="3" t="s">
        <v>495</v>
      </c>
      <c r="K110" s="3"/>
      <c r="L110" s="2" t="s">
        <v>49</v>
      </c>
      <c r="M110" s="15" t="s">
        <v>74</v>
      </c>
      <c r="N110" s="10">
        <v>45218</v>
      </c>
      <c r="O110" s="10">
        <v>45250</v>
      </c>
      <c r="P110" s="37">
        <v>20</v>
      </c>
      <c r="Q110" s="10">
        <v>45274</v>
      </c>
      <c r="R110" s="9">
        <v>45289</v>
      </c>
      <c r="S110" s="43">
        <v>45286</v>
      </c>
      <c r="T110" s="2">
        <v>15</v>
      </c>
      <c r="U110" s="9">
        <v>45296</v>
      </c>
      <c r="V110" s="2">
        <v>12</v>
      </c>
      <c r="W110" s="38">
        <v>7</v>
      </c>
      <c r="X110" s="13">
        <v>-376</v>
      </c>
      <c r="Y110" s="2"/>
      <c r="Z110" s="48"/>
      <c r="AA110" s="65"/>
      <c r="AB110" s="85" t="s">
        <v>31</v>
      </c>
      <c r="AC110" s="57"/>
    </row>
    <row r="111" spans="1:29" ht="28.5" hidden="1" x14ac:dyDescent="0.2">
      <c r="A111" s="2">
        <v>110</v>
      </c>
      <c r="B111" s="2">
        <v>31</v>
      </c>
      <c r="C111" s="36" t="s">
        <v>31</v>
      </c>
      <c r="D111" s="2" t="s">
        <v>31</v>
      </c>
      <c r="E111" s="2" t="s">
        <v>31</v>
      </c>
      <c r="F111" s="2" t="s">
        <v>47</v>
      </c>
      <c r="G111" s="2" t="s">
        <v>395</v>
      </c>
      <c r="H111" s="2" t="s">
        <v>406</v>
      </c>
      <c r="I111" s="7">
        <v>40056255</v>
      </c>
      <c r="J111" s="3" t="s">
        <v>503</v>
      </c>
      <c r="K111" s="3"/>
      <c r="L111" s="2" t="s">
        <v>49</v>
      </c>
      <c r="M111" s="15" t="s">
        <v>74</v>
      </c>
      <c r="N111" s="10">
        <v>45233</v>
      </c>
      <c r="O111" s="10"/>
      <c r="P111" s="37" t="s">
        <v>686</v>
      </c>
      <c r="Q111" s="10">
        <v>45233</v>
      </c>
      <c r="R111" s="9">
        <v>45248</v>
      </c>
      <c r="S111" s="43"/>
      <c r="T111" s="2">
        <v>15</v>
      </c>
      <c r="U111" s="9">
        <v>45254</v>
      </c>
      <c r="V111" s="2">
        <v>-45233</v>
      </c>
      <c r="W111" s="38" t="s">
        <v>686</v>
      </c>
      <c r="X111" s="13">
        <v>-418</v>
      </c>
      <c r="Y111" s="2"/>
      <c r="Z111" s="48"/>
      <c r="AA111" s="65"/>
      <c r="AB111" s="85" t="s">
        <v>31</v>
      </c>
      <c r="AC111" s="57"/>
    </row>
    <row r="112" spans="1:29" ht="28.5" hidden="1" x14ac:dyDescent="0.2">
      <c r="A112" s="2">
        <v>111</v>
      </c>
      <c r="B112" s="2">
        <v>29</v>
      </c>
      <c r="C112" s="36" t="s">
        <v>31</v>
      </c>
      <c r="D112" s="2" t="s">
        <v>31</v>
      </c>
      <c r="E112" s="2" t="s">
        <v>31</v>
      </c>
      <c r="F112" s="2" t="s">
        <v>175</v>
      </c>
      <c r="G112" s="2" t="s">
        <v>175</v>
      </c>
      <c r="H112" s="2" t="s">
        <v>509</v>
      </c>
      <c r="I112" s="7">
        <v>40058592</v>
      </c>
      <c r="J112" s="3" t="s">
        <v>508</v>
      </c>
      <c r="K112" s="3"/>
      <c r="L112" s="2" t="s">
        <v>49</v>
      </c>
      <c r="M112" s="15" t="s">
        <v>74</v>
      </c>
      <c r="N112" s="10">
        <v>45225</v>
      </c>
      <c r="O112" s="10">
        <v>45250</v>
      </c>
      <c r="P112" s="37">
        <v>15</v>
      </c>
      <c r="Q112" s="10">
        <v>45225</v>
      </c>
      <c r="R112" s="9">
        <v>45240</v>
      </c>
      <c r="S112" s="43">
        <v>45250</v>
      </c>
      <c r="T112" s="2">
        <v>15</v>
      </c>
      <c r="U112" s="9">
        <v>45250</v>
      </c>
      <c r="V112" s="2">
        <v>25</v>
      </c>
      <c r="W112" s="38">
        <v>15</v>
      </c>
      <c r="X112" s="13">
        <v>-422</v>
      </c>
      <c r="Y112" s="2"/>
      <c r="Z112" s="48"/>
      <c r="AA112" s="65"/>
      <c r="AB112" s="85" t="s">
        <v>31</v>
      </c>
      <c r="AC112" s="57"/>
    </row>
    <row r="113" spans="1:29" ht="28.5" x14ac:dyDescent="0.2">
      <c r="A113" s="2">
        <v>112</v>
      </c>
      <c r="B113" s="2">
        <v>31</v>
      </c>
      <c r="C113" s="36" t="s">
        <v>32</v>
      </c>
      <c r="D113" s="2" t="s">
        <v>31</v>
      </c>
      <c r="E113" s="2" t="s">
        <v>32</v>
      </c>
      <c r="F113" s="2" t="s">
        <v>45</v>
      </c>
      <c r="G113" s="2" t="s">
        <v>70</v>
      </c>
      <c r="H113" s="2" t="s">
        <v>6</v>
      </c>
      <c r="I113" s="7">
        <v>40038210</v>
      </c>
      <c r="J113" s="3" t="s">
        <v>326</v>
      </c>
      <c r="K113" s="3"/>
      <c r="L113" s="2" t="s">
        <v>49</v>
      </c>
      <c r="M113" s="15" t="s">
        <v>74</v>
      </c>
      <c r="N113" s="10">
        <v>45237</v>
      </c>
      <c r="O113" s="10">
        <v>45265</v>
      </c>
      <c r="P113" s="37">
        <v>20</v>
      </c>
      <c r="Q113" s="10">
        <v>45237</v>
      </c>
      <c r="R113" s="9">
        <v>45252</v>
      </c>
      <c r="S113" s="43">
        <v>45265</v>
      </c>
      <c r="T113" s="2">
        <v>15</v>
      </c>
      <c r="U113" s="9">
        <v>45258</v>
      </c>
      <c r="V113" s="2">
        <v>28</v>
      </c>
      <c r="W113" s="38">
        <v>20</v>
      </c>
      <c r="X113" s="13">
        <v>-414</v>
      </c>
      <c r="Y113" s="2"/>
      <c r="Z113" s="48"/>
      <c r="AA113" s="65"/>
      <c r="AB113" s="85" t="s">
        <v>31</v>
      </c>
      <c r="AC113" s="57"/>
    </row>
    <row r="114" spans="1:29" ht="28.5" hidden="1" x14ac:dyDescent="0.2">
      <c r="A114" s="2">
        <v>113</v>
      </c>
      <c r="B114" s="2">
        <v>31</v>
      </c>
      <c r="C114" s="36" t="s">
        <v>31</v>
      </c>
      <c r="D114" s="2" t="s">
        <v>31</v>
      </c>
      <c r="E114" s="2" t="s">
        <v>31</v>
      </c>
      <c r="F114" s="2" t="s">
        <v>42</v>
      </c>
      <c r="G114" s="2" t="s">
        <v>42</v>
      </c>
      <c r="H114" s="2" t="s">
        <v>17</v>
      </c>
      <c r="I114" s="7">
        <v>40059081</v>
      </c>
      <c r="J114" s="3" t="s">
        <v>512</v>
      </c>
      <c r="K114" s="3"/>
      <c r="L114" s="2" t="s">
        <v>49</v>
      </c>
      <c r="M114" s="15" t="s">
        <v>74</v>
      </c>
      <c r="N114" s="10">
        <v>45252</v>
      </c>
      <c r="O114" s="10">
        <v>45286</v>
      </c>
      <c r="P114" s="37">
        <v>22</v>
      </c>
      <c r="Q114" s="10">
        <v>45252</v>
      </c>
      <c r="R114" s="9">
        <v>45267</v>
      </c>
      <c r="S114" s="43">
        <v>45286</v>
      </c>
      <c r="T114" s="2">
        <v>15</v>
      </c>
      <c r="U114" s="9">
        <v>45274</v>
      </c>
      <c r="V114" s="2">
        <v>34</v>
      </c>
      <c r="W114" s="38">
        <v>22</v>
      </c>
      <c r="X114" s="13">
        <v>-398</v>
      </c>
      <c r="Y114" s="2"/>
      <c r="Z114" s="48"/>
      <c r="AA114" s="65"/>
      <c r="AB114" s="85" t="s">
        <v>31</v>
      </c>
      <c r="AC114" s="57"/>
    </row>
    <row r="115" spans="1:29" ht="28.5" hidden="1" x14ac:dyDescent="0.2">
      <c r="A115" s="2">
        <v>114</v>
      </c>
      <c r="B115" s="2">
        <v>29</v>
      </c>
      <c r="C115" s="36" t="s">
        <v>31</v>
      </c>
      <c r="D115" s="2" t="s">
        <v>31</v>
      </c>
      <c r="E115" s="2" t="s">
        <v>31</v>
      </c>
      <c r="F115" s="2" t="s">
        <v>42</v>
      </c>
      <c r="G115" s="2" t="s">
        <v>68</v>
      </c>
      <c r="H115" s="2" t="s">
        <v>21</v>
      </c>
      <c r="I115" s="44">
        <v>40057739</v>
      </c>
      <c r="J115" s="49" t="s">
        <v>514</v>
      </c>
      <c r="K115" s="3"/>
      <c r="L115" s="2" t="s">
        <v>49</v>
      </c>
      <c r="M115" s="15" t="s">
        <v>74</v>
      </c>
      <c r="N115" s="10">
        <v>45261</v>
      </c>
      <c r="O115" s="10">
        <v>45286</v>
      </c>
      <c r="P115" s="37">
        <v>15</v>
      </c>
      <c r="Q115" s="10">
        <v>45261</v>
      </c>
      <c r="R115" s="9">
        <v>45276</v>
      </c>
      <c r="S115" s="43">
        <v>45286</v>
      </c>
      <c r="T115" s="2">
        <v>15</v>
      </c>
      <c r="U115" s="9">
        <v>45286</v>
      </c>
      <c r="V115" s="2">
        <v>25</v>
      </c>
      <c r="W115" s="38">
        <v>15</v>
      </c>
      <c r="X115" s="13">
        <v>-386</v>
      </c>
      <c r="Y115" s="2"/>
      <c r="Z115" s="48"/>
      <c r="AA115" s="65"/>
      <c r="AB115" s="85" t="s">
        <v>31</v>
      </c>
      <c r="AC115" s="57"/>
    </row>
    <row r="116" spans="1:29" ht="28.5" hidden="1" x14ac:dyDescent="0.2">
      <c r="A116" s="2">
        <v>115</v>
      </c>
      <c r="B116" s="2">
        <v>29</v>
      </c>
      <c r="C116" s="36" t="s">
        <v>31</v>
      </c>
      <c r="D116" s="2" t="s">
        <v>31</v>
      </c>
      <c r="E116" s="2" t="s">
        <v>31</v>
      </c>
      <c r="F116" s="2" t="s">
        <v>45</v>
      </c>
      <c r="G116" s="2" t="s">
        <v>69</v>
      </c>
      <c r="H116" s="2" t="s">
        <v>491</v>
      </c>
      <c r="I116" s="7" t="s">
        <v>492</v>
      </c>
      <c r="J116" s="3" t="s">
        <v>515</v>
      </c>
      <c r="K116" s="3"/>
      <c r="L116" s="2" t="s">
        <v>49</v>
      </c>
      <c r="M116" s="15" t="s">
        <v>74</v>
      </c>
      <c r="N116" s="10">
        <v>45261</v>
      </c>
      <c r="O116" s="10">
        <v>45278</v>
      </c>
      <c r="P116" s="37" t="s">
        <v>686</v>
      </c>
      <c r="Q116" s="10">
        <v>45261</v>
      </c>
      <c r="R116" s="9">
        <v>45276</v>
      </c>
      <c r="S116" s="43">
        <v>45278</v>
      </c>
      <c r="T116" s="2">
        <v>15</v>
      </c>
      <c r="U116" s="9">
        <v>45286</v>
      </c>
      <c r="V116" s="2">
        <v>-45261</v>
      </c>
      <c r="W116" s="38" t="s">
        <v>686</v>
      </c>
      <c r="X116" s="13">
        <v>-386</v>
      </c>
      <c r="Y116" s="2"/>
      <c r="Z116" s="48"/>
      <c r="AA116" s="65"/>
      <c r="AB116" s="85" t="s">
        <v>31</v>
      </c>
      <c r="AC116" s="57"/>
    </row>
    <row r="117" spans="1:29" ht="28.5" hidden="1" x14ac:dyDescent="0.2">
      <c r="A117" s="2">
        <v>116</v>
      </c>
      <c r="B117" s="2">
        <v>31</v>
      </c>
      <c r="C117" s="36" t="s">
        <v>32</v>
      </c>
      <c r="D117" s="2" t="s">
        <v>32</v>
      </c>
      <c r="E117" s="2" t="s">
        <v>31</v>
      </c>
      <c r="F117" s="2" t="s">
        <v>45</v>
      </c>
      <c r="G117" s="2" t="s">
        <v>66</v>
      </c>
      <c r="H117" s="2" t="s">
        <v>28</v>
      </c>
      <c r="I117" s="7">
        <v>40031458</v>
      </c>
      <c r="J117" s="3" t="s">
        <v>517</v>
      </c>
      <c r="K117" s="3">
        <v>691046000</v>
      </c>
      <c r="L117" s="2" t="s">
        <v>49</v>
      </c>
      <c r="M117" s="17" t="s">
        <v>86</v>
      </c>
      <c r="N117" s="10"/>
      <c r="O117" s="10"/>
      <c r="P117" s="37" t="s">
        <v>686</v>
      </c>
      <c r="Q117" s="10">
        <v>45282</v>
      </c>
      <c r="R117" s="9">
        <v>45292</v>
      </c>
      <c r="S117" s="43">
        <v>45278</v>
      </c>
      <c r="T117" s="2">
        <v>10</v>
      </c>
      <c r="U117" s="9">
        <v>45299</v>
      </c>
      <c r="V117" s="2">
        <v>-4</v>
      </c>
      <c r="W117" s="38" t="s">
        <v>686</v>
      </c>
      <c r="X117" s="13">
        <v>-373</v>
      </c>
      <c r="Y117" s="2" t="s">
        <v>205</v>
      </c>
      <c r="Z117" s="56" t="s">
        <v>161</v>
      </c>
      <c r="AA117" s="65">
        <v>2257</v>
      </c>
      <c r="AB117" s="85" t="s">
        <v>32</v>
      </c>
      <c r="AC117" s="57"/>
    </row>
    <row r="118" spans="1:29" ht="28.5" hidden="1" x14ac:dyDescent="0.2">
      <c r="A118" s="2">
        <v>117</v>
      </c>
      <c r="B118" s="2">
        <v>31</v>
      </c>
      <c r="C118" s="36" t="s">
        <v>32</v>
      </c>
      <c r="D118" s="2" t="s">
        <v>32</v>
      </c>
      <c r="E118" s="2" t="s">
        <v>32</v>
      </c>
      <c r="F118" s="2" t="s">
        <v>45</v>
      </c>
      <c r="G118" s="2" t="s">
        <v>46</v>
      </c>
      <c r="H118" s="2" t="s">
        <v>23</v>
      </c>
      <c r="I118" s="7">
        <v>40034637</v>
      </c>
      <c r="J118" s="3" t="s">
        <v>518</v>
      </c>
      <c r="K118" s="3">
        <v>443595000</v>
      </c>
      <c r="L118" s="2" t="s">
        <v>49</v>
      </c>
      <c r="M118" s="17" t="s">
        <v>86</v>
      </c>
      <c r="N118" s="10"/>
      <c r="O118" s="10"/>
      <c r="P118" s="37" t="s">
        <v>686</v>
      </c>
      <c r="Q118" s="10">
        <v>45288</v>
      </c>
      <c r="R118" s="9">
        <v>45298</v>
      </c>
      <c r="S118" s="43">
        <v>45278</v>
      </c>
      <c r="T118" s="2">
        <v>10</v>
      </c>
      <c r="U118" s="9">
        <v>45302</v>
      </c>
      <c r="V118" s="2">
        <v>-10</v>
      </c>
      <c r="W118" s="38" t="s">
        <v>686</v>
      </c>
      <c r="X118" s="13">
        <v>-370</v>
      </c>
      <c r="Y118" s="2" t="s">
        <v>303</v>
      </c>
      <c r="Z118" s="12" t="s">
        <v>154</v>
      </c>
      <c r="AA118" s="65">
        <v>365</v>
      </c>
      <c r="AB118" s="85" t="s">
        <v>32</v>
      </c>
      <c r="AC118" s="57"/>
    </row>
  </sheetData>
  <autoFilter ref="A1:AC118" xr:uid="{00000000-0009-0000-0000-000003000000}">
    <filterColumn colId="7">
      <filters>
        <filter val="MUNICIPALIDAD MAULLÍN"/>
      </filters>
    </filterColumn>
  </autoFilter>
  <conditionalFormatting sqref="B56 I56:L56 N56">
    <cfRule type="duplicateValues" dxfId="280" priority="781"/>
  </conditionalFormatting>
  <conditionalFormatting sqref="C1:C1048576">
    <cfRule type="containsText" dxfId="279" priority="469" operator="containsText" text="NO">
      <formula>NOT(ISERROR(SEARCH("NO",C1)))</formula>
    </cfRule>
    <cfRule type="containsText" dxfId="278" priority="470" operator="containsText" text="SI">
      <formula>NOT(ISERROR(SEARCH("SI",C1)))</formula>
    </cfRule>
  </conditionalFormatting>
  <conditionalFormatting sqref="C2:E118">
    <cfRule type="cellIs" dxfId="277" priority="1588" operator="equal">
      <formula>"SI"</formula>
    </cfRule>
    <cfRule type="cellIs" dxfId="276" priority="1589" operator="equal">
      <formula>"NO"</formula>
    </cfRule>
  </conditionalFormatting>
  <conditionalFormatting sqref="H56">
    <cfRule type="duplicateValues" dxfId="275" priority="782"/>
  </conditionalFormatting>
  <conditionalFormatting sqref="I1:I48 I50:I69">
    <cfRule type="duplicateValues" dxfId="274" priority="3589"/>
  </conditionalFormatting>
  <conditionalFormatting sqref="I1:I48 I50:I77">
    <cfRule type="duplicateValues" dxfId="273" priority="3591"/>
  </conditionalFormatting>
  <conditionalFormatting sqref="I1:I48">
    <cfRule type="duplicateValues" dxfId="272" priority="3593"/>
  </conditionalFormatting>
  <conditionalFormatting sqref="I3">
    <cfRule type="duplicateValues" dxfId="271" priority="1254"/>
    <cfRule type="duplicateValues" dxfId="270" priority="1255"/>
  </conditionalFormatting>
  <conditionalFormatting sqref="I6">
    <cfRule type="duplicateValues" dxfId="269" priority="1310"/>
    <cfRule type="duplicateValues" dxfId="268" priority="1311"/>
  </conditionalFormatting>
  <conditionalFormatting sqref="I7">
    <cfRule type="duplicateValues" dxfId="267" priority="1294"/>
    <cfRule type="duplicateValues" dxfId="266" priority="1295"/>
  </conditionalFormatting>
  <conditionalFormatting sqref="I13">
    <cfRule type="duplicateValues" dxfId="265" priority="1235"/>
    <cfRule type="duplicateValues" dxfId="264" priority="1236"/>
  </conditionalFormatting>
  <conditionalFormatting sqref="I15">
    <cfRule type="duplicateValues" dxfId="263" priority="1216"/>
    <cfRule type="duplicateValues" dxfId="262" priority="1217"/>
  </conditionalFormatting>
  <conditionalFormatting sqref="I17">
    <cfRule type="duplicateValues" dxfId="261" priority="1194"/>
    <cfRule type="duplicateValues" dxfId="260" priority="1195"/>
  </conditionalFormatting>
  <conditionalFormatting sqref="I18">
    <cfRule type="duplicateValues" dxfId="259" priority="1185"/>
    <cfRule type="duplicateValues" dxfId="258" priority="1186"/>
  </conditionalFormatting>
  <conditionalFormatting sqref="I19">
    <cfRule type="duplicateValues" dxfId="257" priority="309"/>
    <cfRule type="duplicateValues" dxfId="256" priority="1173"/>
    <cfRule type="duplicateValues" dxfId="255" priority="1174"/>
  </conditionalFormatting>
  <conditionalFormatting sqref="I20">
    <cfRule type="duplicateValues" dxfId="254" priority="319"/>
    <cfRule type="duplicateValues" dxfId="253" priority="1161"/>
    <cfRule type="duplicateValues" dxfId="252" priority="1162"/>
  </conditionalFormatting>
  <conditionalFormatting sqref="I36">
    <cfRule type="duplicateValues" dxfId="251" priority="216"/>
    <cfRule type="duplicateValues" dxfId="250" priority="217"/>
  </conditionalFormatting>
  <conditionalFormatting sqref="I37">
    <cfRule type="duplicateValues" dxfId="249" priority="993"/>
    <cfRule type="duplicateValues" dxfId="248" priority="994"/>
  </conditionalFormatting>
  <conditionalFormatting sqref="I38">
    <cfRule type="duplicateValues" dxfId="247" priority="981"/>
    <cfRule type="duplicateValues" dxfId="246" priority="982"/>
  </conditionalFormatting>
  <conditionalFormatting sqref="I41">
    <cfRule type="duplicateValues" dxfId="245" priority="306"/>
    <cfRule type="duplicateValues" dxfId="244" priority="307"/>
    <cfRule type="duplicateValues" dxfId="243" priority="308"/>
  </conditionalFormatting>
  <conditionalFormatting sqref="I47">
    <cfRule type="duplicateValues" dxfId="242" priority="881"/>
  </conditionalFormatting>
  <conditionalFormatting sqref="I48">
    <cfRule type="duplicateValues" dxfId="241" priority="866"/>
  </conditionalFormatting>
  <conditionalFormatting sqref="I50">
    <cfRule type="duplicateValues" dxfId="240" priority="850"/>
  </conditionalFormatting>
  <conditionalFormatting sqref="I51">
    <cfRule type="duplicateValues" dxfId="239" priority="839"/>
  </conditionalFormatting>
  <conditionalFormatting sqref="I52">
    <cfRule type="duplicateValues" dxfId="238" priority="824"/>
  </conditionalFormatting>
  <conditionalFormatting sqref="I54">
    <cfRule type="duplicateValues" dxfId="237" priority="503"/>
    <cfRule type="duplicateValues" dxfId="236" priority="504"/>
  </conditionalFormatting>
  <conditionalFormatting sqref="I55">
    <cfRule type="duplicateValues" dxfId="235" priority="793"/>
  </conditionalFormatting>
  <conditionalFormatting sqref="I56">
    <cfRule type="duplicateValues" dxfId="234" priority="779"/>
    <cfRule type="duplicateValues" dxfId="233" priority="780"/>
  </conditionalFormatting>
  <conditionalFormatting sqref="I62">
    <cfRule type="duplicateValues" dxfId="232" priority="323"/>
    <cfRule type="duplicateValues" dxfId="231" priority="324"/>
  </conditionalFormatting>
  <conditionalFormatting sqref="I64">
    <cfRule type="duplicateValues" dxfId="230" priority="675"/>
    <cfRule type="duplicateValues" dxfId="229" priority="676"/>
  </conditionalFormatting>
  <conditionalFormatting sqref="I65">
    <cfRule type="duplicateValues" dxfId="228" priority="664"/>
    <cfRule type="duplicateValues" dxfId="227" priority="665"/>
  </conditionalFormatting>
  <conditionalFormatting sqref="I66">
    <cfRule type="duplicateValues" dxfId="226" priority="655"/>
    <cfRule type="duplicateValues" dxfId="225" priority="656"/>
  </conditionalFormatting>
  <conditionalFormatting sqref="I67">
    <cfRule type="duplicateValues" dxfId="224" priority="643"/>
    <cfRule type="duplicateValues" dxfId="223" priority="644"/>
  </conditionalFormatting>
  <conditionalFormatting sqref="I68">
    <cfRule type="duplicateValues" dxfId="222" priority="634"/>
    <cfRule type="duplicateValues" dxfId="221" priority="635"/>
  </conditionalFormatting>
  <conditionalFormatting sqref="I69">
    <cfRule type="duplicateValues" dxfId="220" priority="213"/>
    <cfRule type="duplicateValues" dxfId="219" priority="214"/>
    <cfRule type="duplicateValues" dxfId="218" priority="215"/>
    <cfRule type="duplicateValues" dxfId="217" priority="619"/>
    <cfRule type="duplicateValues" dxfId="216" priority="620"/>
  </conditionalFormatting>
  <conditionalFormatting sqref="I70">
    <cfRule type="duplicateValues" dxfId="215" priority="591"/>
    <cfRule type="duplicateValues" dxfId="214" priority="595"/>
    <cfRule type="duplicateValues" dxfId="213" priority="596"/>
  </conditionalFormatting>
  <conditionalFormatting sqref="I71">
    <cfRule type="duplicateValues" dxfId="212" priority="207"/>
    <cfRule type="duplicateValues" dxfId="211" priority="208"/>
    <cfRule type="duplicateValues" dxfId="210" priority="209"/>
    <cfRule type="duplicateValues" dxfId="209" priority="210"/>
    <cfRule type="duplicateValues" dxfId="208" priority="211"/>
    <cfRule type="duplicateValues" dxfId="207" priority="212"/>
    <cfRule type="duplicateValues" dxfId="206" priority="581"/>
    <cfRule type="duplicateValues" dxfId="205" priority="582"/>
    <cfRule type="duplicateValues" dxfId="204" priority="583"/>
  </conditionalFormatting>
  <conditionalFormatting sqref="I72">
    <cfRule type="duplicateValues" dxfId="203" priority="563"/>
    <cfRule type="duplicateValues" dxfId="202" priority="564"/>
    <cfRule type="duplicateValues" dxfId="201" priority="565"/>
  </conditionalFormatting>
  <conditionalFormatting sqref="I73">
    <cfRule type="duplicateValues" dxfId="200" priority="557"/>
    <cfRule type="duplicateValues" dxfId="199" priority="558"/>
  </conditionalFormatting>
  <conditionalFormatting sqref="I74">
    <cfRule type="duplicateValues" dxfId="198" priority="198"/>
    <cfRule type="duplicateValues" dxfId="197" priority="199"/>
    <cfRule type="duplicateValues" dxfId="196" priority="200"/>
    <cfRule type="duplicateValues" dxfId="195" priority="201"/>
    <cfRule type="duplicateValues" dxfId="194" priority="202"/>
    <cfRule type="duplicateValues" dxfId="193" priority="203"/>
    <cfRule type="duplicateValues" dxfId="192" priority="204"/>
    <cfRule type="duplicateValues" dxfId="191" priority="205"/>
    <cfRule type="duplicateValues" dxfId="190" priority="206"/>
    <cfRule type="duplicateValues" dxfId="189" priority="548"/>
    <cfRule type="duplicateValues" dxfId="188" priority="549"/>
  </conditionalFormatting>
  <conditionalFormatting sqref="I75">
    <cfRule type="duplicateValues" dxfId="187" priority="320"/>
    <cfRule type="duplicateValues" dxfId="186" priority="321"/>
    <cfRule type="duplicateValues" dxfId="185" priority="322"/>
    <cfRule type="duplicateValues" dxfId="184" priority="536"/>
    <cfRule type="duplicateValues" dxfId="183" priority="537"/>
  </conditionalFormatting>
  <conditionalFormatting sqref="I76">
    <cfRule type="duplicateValues" dxfId="182" priority="524"/>
    <cfRule type="duplicateValues" dxfId="181" priority="525"/>
  </conditionalFormatting>
  <conditionalFormatting sqref="I77">
    <cfRule type="duplicateValues" dxfId="180" priority="512"/>
    <cfRule type="duplicateValues" dxfId="179" priority="513"/>
  </conditionalFormatting>
  <conditionalFormatting sqref="I78">
    <cfRule type="duplicateValues" dxfId="178" priority="186"/>
    <cfRule type="duplicateValues" dxfId="177" priority="187"/>
    <cfRule type="duplicateValues" dxfId="176" priority="188"/>
    <cfRule type="duplicateValues" dxfId="175" priority="189"/>
    <cfRule type="duplicateValues" dxfId="174" priority="190"/>
    <cfRule type="duplicateValues" dxfId="173" priority="191"/>
    <cfRule type="duplicateValues" dxfId="172" priority="192"/>
    <cfRule type="duplicateValues" dxfId="171" priority="193"/>
    <cfRule type="duplicateValues" dxfId="170" priority="194"/>
    <cfRule type="duplicateValues" dxfId="169" priority="195"/>
    <cfRule type="duplicateValues" dxfId="168" priority="196"/>
    <cfRule type="duplicateValues" dxfId="167" priority="197"/>
  </conditionalFormatting>
  <conditionalFormatting sqref="I79">
    <cfRule type="duplicateValues" dxfId="166" priority="325"/>
    <cfRule type="duplicateValues" dxfId="165" priority="326"/>
  </conditionalFormatting>
  <conditionalFormatting sqref="I80">
    <cfRule type="duplicateValues" dxfId="164" priority="3482"/>
    <cfRule type="duplicateValues" dxfId="163" priority="3483"/>
    <cfRule type="duplicateValues" dxfId="162" priority="3486"/>
  </conditionalFormatting>
  <conditionalFormatting sqref="I81">
    <cfRule type="duplicateValues" dxfId="161" priority="3490"/>
    <cfRule type="duplicateValues" dxfId="160" priority="3491"/>
    <cfRule type="duplicateValues" dxfId="159" priority="3492"/>
  </conditionalFormatting>
  <conditionalFormatting sqref="I82">
    <cfRule type="duplicateValues" dxfId="158" priority="55"/>
    <cfRule type="duplicateValues" dxfId="157" priority="56"/>
  </conditionalFormatting>
  <conditionalFormatting sqref="I91">
    <cfRule type="duplicateValues" dxfId="156" priority="53"/>
    <cfRule type="duplicateValues" dxfId="155" priority="54"/>
  </conditionalFormatting>
  <conditionalFormatting sqref="I96">
    <cfRule type="duplicateValues" dxfId="154" priority="313"/>
    <cfRule type="duplicateValues" dxfId="153" priority="314"/>
  </conditionalFormatting>
  <conditionalFormatting sqref="I97">
    <cfRule type="duplicateValues" dxfId="152" priority="297"/>
    <cfRule type="duplicateValues" dxfId="151" priority="298"/>
  </conditionalFormatting>
  <conditionalFormatting sqref="I99">
    <cfRule type="duplicateValues" dxfId="150" priority="265"/>
    <cfRule type="duplicateValues" dxfId="149" priority="266"/>
  </conditionalFormatting>
  <conditionalFormatting sqref="I101">
    <cfRule type="duplicateValues" dxfId="148" priority="243"/>
    <cfRule type="duplicateValues" dxfId="147" priority="244"/>
  </conditionalFormatting>
  <conditionalFormatting sqref="I102">
    <cfRule type="duplicateValues" dxfId="146" priority="224"/>
    <cfRule type="duplicateValues" dxfId="145" priority="225"/>
  </conditionalFormatting>
  <conditionalFormatting sqref="I103">
    <cfRule type="duplicateValues" dxfId="144" priority="180"/>
    <cfRule type="duplicateValues" dxfId="143" priority="181"/>
  </conditionalFormatting>
  <conditionalFormatting sqref="I104">
    <cfRule type="duplicateValues" dxfId="142" priority="163"/>
    <cfRule type="duplicateValues" dxfId="141" priority="164"/>
  </conditionalFormatting>
  <conditionalFormatting sqref="I105">
    <cfRule type="duplicateValues" dxfId="140" priority="157"/>
    <cfRule type="duplicateValues" dxfId="139" priority="158"/>
  </conditionalFormatting>
  <conditionalFormatting sqref="I107:I108">
    <cfRule type="duplicateValues" dxfId="138" priority="127"/>
    <cfRule type="duplicateValues" dxfId="137" priority="128"/>
  </conditionalFormatting>
  <conditionalFormatting sqref="I110">
    <cfRule type="duplicateValues" dxfId="136" priority="99"/>
    <cfRule type="duplicateValues" dxfId="135" priority="100"/>
  </conditionalFormatting>
  <conditionalFormatting sqref="I111">
    <cfRule type="duplicateValues" dxfId="134" priority="87"/>
    <cfRule type="duplicateValues" dxfId="133" priority="88"/>
  </conditionalFormatting>
  <conditionalFormatting sqref="I112">
    <cfRule type="duplicateValues" dxfId="132" priority="75"/>
    <cfRule type="duplicateValues" dxfId="131" priority="76"/>
  </conditionalFormatting>
  <conditionalFormatting sqref="I113:I114">
    <cfRule type="duplicateValues" dxfId="130" priority="63"/>
    <cfRule type="duplicateValues" dxfId="129" priority="64"/>
  </conditionalFormatting>
  <conditionalFormatting sqref="I115">
    <cfRule type="duplicateValues" dxfId="128" priority="45"/>
    <cfRule type="duplicateValues" dxfId="127" priority="46"/>
  </conditionalFormatting>
  <conditionalFormatting sqref="I116">
    <cfRule type="duplicateValues" dxfId="126" priority="33"/>
    <cfRule type="duplicateValues" dxfId="125" priority="34"/>
  </conditionalFormatting>
  <conditionalFormatting sqref="I117">
    <cfRule type="duplicateValues" dxfId="124" priority="16"/>
    <cfRule type="duplicateValues" dxfId="123" priority="17"/>
  </conditionalFormatting>
  <conditionalFormatting sqref="I118">
    <cfRule type="duplicateValues" dxfId="122" priority="7"/>
    <cfRule type="duplicateValues" dxfId="121" priority="8"/>
  </conditionalFormatting>
  <conditionalFormatting sqref="X2:X118">
    <cfRule type="cellIs" dxfId="120" priority="1" operator="greaterThan">
      <formula>5</formula>
    </cfRule>
    <cfRule type="cellIs" dxfId="119" priority="2" operator="between">
      <formula>0</formula>
      <formula>5</formula>
    </cfRule>
    <cfRule type="cellIs" dxfId="118" priority="3" operator="lessThan">
      <formula>0</formula>
    </cfRule>
  </conditionalFormatting>
  <conditionalFormatting sqref="Z117">
    <cfRule type="duplicateValues" dxfId="117" priority="27"/>
  </conditionalFormatting>
  <printOptions horizontalCentered="1"/>
  <pageMargins left="0.70866141732283472" right="0.70866141732283472" top="0.74803149606299213" bottom="0.74803149606299213" header="0.31496062992125984" footer="0.31496062992125984"/>
  <pageSetup scale="74" orientation="landscape" r:id="rId1"/>
  <colBreaks count="1" manualBreakCount="1">
    <brk id="13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B106"/>
  <sheetViews>
    <sheetView view="pageBreakPreview" zoomScaleSheetLayoutView="100" workbookViewId="0">
      <pane ySplit="1" topLeftCell="A2" activePane="bottomLeft" state="frozen"/>
      <selection pane="bottomLeft" activeCell="G2" sqref="G2"/>
    </sheetView>
  </sheetViews>
  <sheetFormatPr baseColWidth="10" defaultColWidth="11.42578125" defaultRowHeight="30.75" customHeight="1" x14ac:dyDescent="0.2"/>
  <cols>
    <col min="1" max="1" width="4.5703125" style="19" customWidth="1"/>
    <col min="2" max="2" width="5.28515625" style="19" customWidth="1"/>
    <col min="3" max="3" width="6.7109375" style="39" customWidth="1"/>
    <col min="4" max="5" width="6.7109375" style="19" customWidth="1"/>
    <col min="6" max="7" width="12.85546875" style="19" bestFit="1" customWidth="1"/>
    <col min="8" max="8" width="12.42578125" style="19" customWidth="1"/>
    <col min="9" max="9" width="10.5703125" style="19" bestFit="1" customWidth="1"/>
    <col min="10" max="10" width="41" style="19" customWidth="1"/>
    <col min="11" max="11" width="16" style="19" customWidth="1"/>
    <col min="12" max="12" width="9.140625" style="19" customWidth="1"/>
    <col min="13" max="13" width="14.85546875" style="19" bestFit="1" customWidth="1"/>
    <col min="14" max="14" width="9.140625" style="19" customWidth="1"/>
    <col min="15" max="15" width="19.28515625" style="19" customWidth="1"/>
    <col min="16" max="16" width="7.28515625" style="19" customWidth="1"/>
    <col min="17" max="17" width="13.85546875" style="19" bestFit="1" customWidth="1"/>
    <col min="18" max="18" width="8.28515625" style="19" customWidth="1"/>
    <col min="19" max="19" width="10.42578125" style="19" customWidth="1"/>
    <col min="20" max="20" width="7.85546875" style="19" customWidth="1"/>
    <col min="21" max="21" width="8.5703125" style="19" customWidth="1"/>
    <col min="22" max="22" width="6.28515625" style="19" customWidth="1"/>
    <col min="23" max="23" width="7.85546875" style="19" customWidth="1"/>
    <col min="24" max="24" width="8.85546875" style="19" customWidth="1"/>
    <col min="25" max="26" width="13.42578125" style="19" customWidth="1"/>
    <col min="27" max="16384" width="11.42578125" style="19"/>
  </cols>
  <sheetData>
    <row r="1" spans="1:28" s="1" customFormat="1" ht="45" customHeight="1" x14ac:dyDescent="0.2">
      <c r="A1" s="5" t="s">
        <v>82</v>
      </c>
      <c r="B1" s="5" t="s">
        <v>33</v>
      </c>
      <c r="C1" s="6" t="s">
        <v>254</v>
      </c>
      <c r="D1" s="6" t="s">
        <v>226</v>
      </c>
      <c r="E1" s="45" t="s">
        <v>194</v>
      </c>
      <c r="F1" s="5" t="s">
        <v>35</v>
      </c>
      <c r="G1" s="5" t="s">
        <v>36</v>
      </c>
      <c r="H1" s="5" t="s">
        <v>75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34</v>
      </c>
      <c r="N1" s="5" t="s">
        <v>93</v>
      </c>
      <c r="O1" s="5" t="s">
        <v>94</v>
      </c>
      <c r="P1" s="34" t="s">
        <v>99</v>
      </c>
      <c r="Q1" s="5" t="s">
        <v>83</v>
      </c>
      <c r="R1" s="5" t="s">
        <v>98</v>
      </c>
      <c r="S1" s="42" t="s">
        <v>41</v>
      </c>
      <c r="T1" s="35" t="s">
        <v>80</v>
      </c>
      <c r="U1" s="35" t="s">
        <v>95</v>
      </c>
      <c r="V1" s="5" t="s">
        <v>81</v>
      </c>
      <c r="W1" s="5" t="s">
        <v>97</v>
      </c>
      <c r="X1" s="14" t="s">
        <v>85</v>
      </c>
      <c r="Y1" s="5" t="s">
        <v>90</v>
      </c>
      <c r="Z1" s="5" t="s">
        <v>150</v>
      </c>
      <c r="AA1" s="11" t="s">
        <v>229</v>
      </c>
      <c r="AB1" s="11" t="s">
        <v>357</v>
      </c>
    </row>
    <row r="2" spans="1:28" ht="48" hidden="1" customHeight="1" x14ac:dyDescent="0.2">
      <c r="A2" s="2">
        <v>1</v>
      </c>
      <c r="B2" s="2">
        <v>29</v>
      </c>
      <c r="C2" s="36" t="s">
        <v>31</v>
      </c>
      <c r="D2" s="2" t="s">
        <v>31</v>
      </c>
      <c r="E2" s="2" t="s">
        <v>32</v>
      </c>
      <c r="F2" s="2" t="s">
        <v>45</v>
      </c>
      <c r="G2" s="2" t="s">
        <v>57</v>
      </c>
      <c r="H2" s="2" t="s">
        <v>19</v>
      </c>
      <c r="I2" s="7">
        <v>40020478</v>
      </c>
      <c r="J2" s="3" t="s">
        <v>174</v>
      </c>
      <c r="K2" s="3"/>
      <c r="L2" s="2" t="s">
        <v>49</v>
      </c>
      <c r="M2" s="15" t="s">
        <v>74</v>
      </c>
      <c r="N2" s="10">
        <v>44567</v>
      </c>
      <c r="O2" s="10">
        <v>44581</v>
      </c>
      <c r="P2" s="37">
        <v>10</v>
      </c>
      <c r="Q2" s="10">
        <v>44846</v>
      </c>
      <c r="R2" s="9">
        <v>44861</v>
      </c>
      <c r="S2" s="43">
        <v>44869</v>
      </c>
      <c r="T2" s="2">
        <v>15</v>
      </c>
      <c r="U2" s="9">
        <v>44869</v>
      </c>
      <c r="V2" s="2">
        <v>23</v>
      </c>
      <c r="W2" s="38">
        <v>15</v>
      </c>
      <c r="X2" s="13">
        <v>-803</v>
      </c>
      <c r="Y2" s="2"/>
      <c r="Z2" s="2" t="s">
        <v>157</v>
      </c>
      <c r="AA2" s="12"/>
      <c r="AB2" s="12" t="s">
        <v>31</v>
      </c>
    </row>
    <row r="3" spans="1:28" ht="48" hidden="1" customHeight="1" x14ac:dyDescent="0.2">
      <c r="A3" s="2">
        <v>2</v>
      </c>
      <c r="B3" s="2">
        <v>31</v>
      </c>
      <c r="C3" s="36" t="s">
        <v>32</v>
      </c>
      <c r="D3" s="2" t="s">
        <v>31</v>
      </c>
      <c r="E3" s="2" t="s">
        <v>31</v>
      </c>
      <c r="F3" s="2" t="s">
        <v>42</v>
      </c>
      <c r="G3" s="2" t="s">
        <v>42</v>
      </c>
      <c r="H3" s="2" t="s">
        <v>17</v>
      </c>
      <c r="I3" s="7">
        <v>40036922</v>
      </c>
      <c r="J3" s="3" t="s">
        <v>213</v>
      </c>
      <c r="K3" s="3">
        <v>278877000</v>
      </c>
      <c r="L3" s="2" t="s">
        <v>49</v>
      </c>
      <c r="M3" s="15" t="s">
        <v>62</v>
      </c>
      <c r="N3" s="10">
        <v>44564</v>
      </c>
      <c r="O3" s="10">
        <v>44585</v>
      </c>
      <c r="P3" s="37">
        <v>15</v>
      </c>
      <c r="Q3" s="10">
        <v>44628</v>
      </c>
      <c r="R3" s="9">
        <v>44643</v>
      </c>
      <c r="S3" s="43">
        <v>44649</v>
      </c>
      <c r="T3" s="2">
        <v>15</v>
      </c>
      <c r="U3" s="9">
        <v>44649</v>
      </c>
      <c r="V3" s="2">
        <v>21</v>
      </c>
      <c r="W3" s="38">
        <v>15</v>
      </c>
      <c r="X3" s="13">
        <v>-1023</v>
      </c>
      <c r="Y3" s="2" t="s">
        <v>230</v>
      </c>
      <c r="Z3" s="2" t="s">
        <v>155</v>
      </c>
      <c r="AA3" s="64">
        <v>7263</v>
      </c>
      <c r="AB3" s="64" t="s">
        <v>31</v>
      </c>
    </row>
    <row r="4" spans="1:28" ht="28.5" hidden="1" x14ac:dyDescent="0.2">
      <c r="A4" s="2">
        <v>3</v>
      </c>
      <c r="B4" s="2">
        <v>29</v>
      </c>
      <c r="C4" s="36" t="s">
        <v>32</v>
      </c>
      <c r="D4" s="2" t="s">
        <v>31</v>
      </c>
      <c r="E4" s="2" t="s">
        <v>31</v>
      </c>
      <c r="F4" s="2" t="s">
        <v>45</v>
      </c>
      <c r="G4" s="2" t="s">
        <v>57</v>
      </c>
      <c r="H4" s="2" t="s">
        <v>19</v>
      </c>
      <c r="I4" s="7">
        <v>40034762</v>
      </c>
      <c r="J4" s="49" t="s">
        <v>197</v>
      </c>
      <c r="L4" s="2" t="s">
        <v>49</v>
      </c>
      <c r="M4" s="15" t="s">
        <v>74</v>
      </c>
      <c r="N4" s="10">
        <v>44567</v>
      </c>
      <c r="O4" s="10">
        <v>44587</v>
      </c>
      <c r="P4" s="37">
        <v>14</v>
      </c>
      <c r="Q4" s="10">
        <v>44846</v>
      </c>
      <c r="R4" s="9">
        <v>44861</v>
      </c>
      <c r="S4" s="43">
        <v>44869</v>
      </c>
      <c r="T4" s="2">
        <v>15</v>
      </c>
      <c r="U4" s="9">
        <v>44869</v>
      </c>
      <c r="V4" s="2">
        <v>23</v>
      </c>
      <c r="W4" s="38">
        <v>15</v>
      </c>
      <c r="X4" s="13">
        <v>-803</v>
      </c>
      <c r="Y4" s="2"/>
      <c r="Z4" s="2" t="s">
        <v>152</v>
      </c>
      <c r="AA4" s="12"/>
      <c r="AB4" s="12" t="s">
        <v>31</v>
      </c>
    </row>
    <row r="5" spans="1:28" ht="28.5" hidden="1" x14ac:dyDescent="0.2">
      <c r="A5" s="2">
        <v>4</v>
      </c>
      <c r="B5" s="2">
        <v>31</v>
      </c>
      <c r="C5" s="36" t="s">
        <v>32</v>
      </c>
      <c r="D5" s="2" t="s">
        <v>31</v>
      </c>
      <c r="E5" s="2" t="s">
        <v>31</v>
      </c>
      <c r="F5" s="2" t="s">
        <v>42</v>
      </c>
      <c r="G5" s="2" t="s">
        <v>42</v>
      </c>
      <c r="H5" s="2" t="s">
        <v>30</v>
      </c>
      <c r="I5" s="7">
        <v>40036867</v>
      </c>
      <c r="J5" s="3" t="s">
        <v>211</v>
      </c>
      <c r="K5" s="3">
        <v>925593000</v>
      </c>
      <c r="L5" s="2" t="s">
        <v>49</v>
      </c>
      <c r="M5" s="15" t="s">
        <v>62</v>
      </c>
      <c r="N5" s="10">
        <v>44544</v>
      </c>
      <c r="O5" s="10">
        <v>44566</v>
      </c>
      <c r="P5" s="37">
        <v>16</v>
      </c>
      <c r="Q5" s="10">
        <v>44881</v>
      </c>
      <c r="R5" s="9">
        <v>44896</v>
      </c>
      <c r="S5" s="43">
        <v>44902</v>
      </c>
      <c r="T5" s="2">
        <v>15</v>
      </c>
      <c r="U5" s="9">
        <v>44902</v>
      </c>
      <c r="V5" s="2">
        <v>21</v>
      </c>
      <c r="W5" s="38">
        <v>15</v>
      </c>
      <c r="X5" s="13">
        <v>-770</v>
      </c>
      <c r="Y5" s="2" t="s">
        <v>325</v>
      </c>
      <c r="Z5" s="2" t="s">
        <v>216</v>
      </c>
      <c r="AA5" s="12">
        <v>805</v>
      </c>
      <c r="AB5" s="12" t="s">
        <v>31</v>
      </c>
    </row>
    <row r="6" spans="1:28" ht="28.5" hidden="1" x14ac:dyDescent="0.2">
      <c r="A6" s="2">
        <v>5</v>
      </c>
      <c r="B6" s="2">
        <v>29</v>
      </c>
      <c r="C6" s="36" t="s">
        <v>32</v>
      </c>
      <c r="D6" s="2" t="s">
        <v>31</v>
      </c>
      <c r="E6" s="2" t="s">
        <v>32</v>
      </c>
      <c r="F6" s="2" t="s">
        <v>47</v>
      </c>
      <c r="G6" s="2" t="s">
        <v>0</v>
      </c>
      <c r="H6" s="2" t="s">
        <v>18</v>
      </c>
      <c r="I6" s="7">
        <v>40013891</v>
      </c>
      <c r="J6" s="3" t="s">
        <v>148</v>
      </c>
      <c r="K6" s="3"/>
      <c r="L6" s="2" t="s">
        <v>49</v>
      </c>
      <c r="M6" s="15" t="s">
        <v>74</v>
      </c>
      <c r="N6" s="10">
        <v>44566</v>
      </c>
      <c r="O6" s="10">
        <v>44587</v>
      </c>
      <c r="P6" s="37">
        <v>15</v>
      </c>
      <c r="Q6" s="10">
        <v>44910</v>
      </c>
      <c r="R6" s="9">
        <v>44925</v>
      </c>
      <c r="S6" s="43">
        <v>44929</v>
      </c>
      <c r="T6" s="2">
        <v>15</v>
      </c>
      <c r="U6" s="9">
        <v>44931</v>
      </c>
      <c r="V6" s="2">
        <v>19</v>
      </c>
      <c r="W6" s="38">
        <v>13</v>
      </c>
      <c r="X6" s="13">
        <v>-741</v>
      </c>
      <c r="Y6" s="2"/>
      <c r="Z6" s="2" t="s">
        <v>153</v>
      </c>
      <c r="AA6" s="12"/>
      <c r="AB6" s="12" t="s">
        <v>31</v>
      </c>
    </row>
    <row r="7" spans="1:28" ht="28.5" hidden="1" x14ac:dyDescent="0.2">
      <c r="A7" s="2">
        <v>6</v>
      </c>
      <c r="B7" s="2">
        <v>29</v>
      </c>
      <c r="C7" s="36" t="s">
        <v>32</v>
      </c>
      <c r="D7" s="2" t="s">
        <v>31</v>
      </c>
      <c r="E7" s="2" t="s">
        <v>31</v>
      </c>
      <c r="F7" s="2" t="s">
        <v>42</v>
      </c>
      <c r="G7" s="2" t="s">
        <v>3</v>
      </c>
      <c r="H7" s="2" t="s">
        <v>16</v>
      </c>
      <c r="I7" s="7">
        <v>40037170</v>
      </c>
      <c r="J7" s="49" t="s">
        <v>215</v>
      </c>
      <c r="K7" s="3"/>
      <c r="L7" s="2" t="s">
        <v>49</v>
      </c>
      <c r="M7" s="15" t="s">
        <v>74</v>
      </c>
      <c r="N7" s="10">
        <v>44571</v>
      </c>
      <c r="O7" s="10">
        <v>44589</v>
      </c>
      <c r="P7" s="37">
        <v>14</v>
      </c>
      <c r="Q7" s="10">
        <v>44571</v>
      </c>
      <c r="R7" s="9">
        <v>44586</v>
      </c>
      <c r="S7" s="43">
        <v>44589</v>
      </c>
      <c r="T7" s="2">
        <v>15</v>
      </c>
      <c r="U7" s="9">
        <v>44592</v>
      </c>
      <c r="V7" s="2">
        <v>18</v>
      </c>
      <c r="W7" s="38">
        <v>14</v>
      </c>
      <c r="X7" s="13">
        <v>-1080</v>
      </c>
      <c r="Y7" s="2"/>
      <c r="Z7" s="2" t="s">
        <v>167</v>
      </c>
      <c r="AA7" s="12"/>
      <c r="AB7" s="12" t="s">
        <v>31</v>
      </c>
    </row>
    <row r="8" spans="1:28" ht="48" hidden="1" customHeight="1" x14ac:dyDescent="0.2">
      <c r="A8" s="2">
        <v>7</v>
      </c>
      <c r="B8" s="2">
        <v>29</v>
      </c>
      <c r="C8" s="36" t="s">
        <v>32</v>
      </c>
      <c r="D8" s="2" t="s">
        <v>31</v>
      </c>
      <c r="E8" s="2" t="s">
        <v>31</v>
      </c>
      <c r="F8" s="2" t="s">
        <v>42</v>
      </c>
      <c r="G8" s="2" t="s">
        <v>43</v>
      </c>
      <c r="H8" s="2" t="s">
        <v>26</v>
      </c>
      <c r="I8" s="7">
        <v>40030948</v>
      </c>
      <c r="J8" s="3" t="s">
        <v>189</v>
      </c>
      <c r="K8" s="3">
        <v>372910000</v>
      </c>
      <c r="L8" s="2" t="s">
        <v>49</v>
      </c>
      <c r="M8" s="15" t="s">
        <v>62</v>
      </c>
      <c r="N8" s="10">
        <v>44575</v>
      </c>
      <c r="O8" s="10">
        <v>44579</v>
      </c>
      <c r="P8" s="37">
        <v>2</v>
      </c>
      <c r="Q8" s="10">
        <v>44575</v>
      </c>
      <c r="R8" s="9">
        <v>44590</v>
      </c>
      <c r="S8" s="43">
        <v>44579</v>
      </c>
      <c r="T8" s="2">
        <v>15</v>
      </c>
      <c r="U8" s="9">
        <v>44596</v>
      </c>
      <c r="V8" s="2">
        <v>4</v>
      </c>
      <c r="W8" s="38">
        <v>2</v>
      </c>
      <c r="X8" s="13">
        <v>-1076</v>
      </c>
      <c r="Y8" s="2" t="s">
        <v>218</v>
      </c>
      <c r="Z8" s="2" t="s">
        <v>156</v>
      </c>
      <c r="AA8" s="12">
        <v>116</v>
      </c>
      <c r="AB8" s="12" t="s">
        <v>31</v>
      </c>
    </row>
    <row r="9" spans="1:28" ht="48" hidden="1" customHeight="1" x14ac:dyDescent="0.2">
      <c r="A9" s="2">
        <v>8</v>
      </c>
      <c r="B9" s="2">
        <v>31</v>
      </c>
      <c r="C9" s="36" t="s">
        <v>32</v>
      </c>
      <c r="D9" s="2" t="s">
        <v>31</v>
      </c>
      <c r="E9" s="2" t="s">
        <v>32</v>
      </c>
      <c r="F9" s="2" t="s">
        <v>47</v>
      </c>
      <c r="G9" s="2" t="s">
        <v>56</v>
      </c>
      <c r="H9" s="2" t="s">
        <v>13</v>
      </c>
      <c r="I9" s="7">
        <v>40033325</v>
      </c>
      <c r="J9" s="16" t="s">
        <v>217</v>
      </c>
      <c r="K9" s="3">
        <v>193000000</v>
      </c>
      <c r="L9" s="2" t="s">
        <v>49</v>
      </c>
      <c r="M9" s="15" t="s">
        <v>62</v>
      </c>
      <c r="N9" s="10">
        <v>44573</v>
      </c>
      <c r="O9" s="10">
        <v>44594</v>
      </c>
      <c r="P9" s="37">
        <v>15</v>
      </c>
      <c r="Q9" s="10">
        <v>44756</v>
      </c>
      <c r="R9" s="9">
        <v>44771</v>
      </c>
      <c r="S9" s="43">
        <v>44777</v>
      </c>
      <c r="T9" s="2">
        <v>15</v>
      </c>
      <c r="U9" s="9">
        <v>44777</v>
      </c>
      <c r="V9" s="2">
        <v>21</v>
      </c>
      <c r="W9" s="38">
        <v>15</v>
      </c>
      <c r="X9" s="13">
        <v>-895</v>
      </c>
      <c r="Y9" s="2" t="s">
        <v>265</v>
      </c>
      <c r="Z9" s="2" t="s">
        <v>154</v>
      </c>
      <c r="AA9" s="12">
        <v>291</v>
      </c>
      <c r="AB9" s="12" t="s">
        <v>31</v>
      </c>
    </row>
    <row r="10" spans="1:28" ht="48" hidden="1" customHeight="1" x14ac:dyDescent="0.2">
      <c r="A10" s="2">
        <v>9</v>
      </c>
      <c r="B10" s="2">
        <v>29</v>
      </c>
      <c r="C10" s="36" t="s">
        <v>31</v>
      </c>
      <c r="D10" s="2" t="s">
        <v>31</v>
      </c>
      <c r="E10" s="2" t="s">
        <v>31</v>
      </c>
      <c r="F10" s="2" t="s">
        <v>42</v>
      </c>
      <c r="G10" s="2" t="s">
        <v>71</v>
      </c>
      <c r="H10" s="2" t="s">
        <v>20</v>
      </c>
      <c r="I10" s="44">
        <v>40037766</v>
      </c>
      <c r="J10" s="49" t="s">
        <v>219</v>
      </c>
      <c r="K10" s="3">
        <v>154700000</v>
      </c>
      <c r="L10" s="2" t="s">
        <v>49</v>
      </c>
      <c r="M10" s="15" t="s">
        <v>62</v>
      </c>
      <c r="N10" s="10">
        <v>44595</v>
      </c>
      <c r="O10" s="10">
        <v>44603</v>
      </c>
      <c r="P10" s="37">
        <v>6</v>
      </c>
      <c r="Q10" s="10">
        <v>44657</v>
      </c>
      <c r="R10" s="9">
        <v>44672</v>
      </c>
      <c r="S10" s="43">
        <v>44671</v>
      </c>
      <c r="T10" s="2">
        <v>15</v>
      </c>
      <c r="U10" s="9">
        <v>44679</v>
      </c>
      <c r="V10" s="2">
        <v>14</v>
      </c>
      <c r="W10" s="38">
        <v>9</v>
      </c>
      <c r="X10" s="13">
        <v>-993</v>
      </c>
      <c r="Y10" s="2" t="s">
        <v>234</v>
      </c>
      <c r="Z10" s="2" t="s">
        <v>152</v>
      </c>
      <c r="AA10" s="65">
        <v>2772</v>
      </c>
      <c r="AB10" s="65" t="s">
        <v>31</v>
      </c>
    </row>
    <row r="11" spans="1:28" ht="28.5" hidden="1" x14ac:dyDescent="0.2">
      <c r="A11" s="2">
        <v>10</v>
      </c>
      <c r="B11" s="2">
        <v>31</v>
      </c>
      <c r="C11" s="36" t="s">
        <v>32</v>
      </c>
      <c r="D11" s="2" t="s">
        <v>31</v>
      </c>
      <c r="E11" s="2" t="s">
        <v>31</v>
      </c>
      <c r="F11" s="2" t="s">
        <v>45</v>
      </c>
      <c r="G11" s="2" t="s">
        <v>57</v>
      </c>
      <c r="H11" s="2" t="s">
        <v>19</v>
      </c>
      <c r="I11" s="7">
        <v>40035233</v>
      </c>
      <c r="J11" s="3" t="s">
        <v>220</v>
      </c>
      <c r="K11" s="3">
        <v>647364000</v>
      </c>
      <c r="L11" s="2" t="s">
        <v>49</v>
      </c>
      <c r="M11" s="15" t="s">
        <v>62</v>
      </c>
      <c r="N11" s="10">
        <v>44596</v>
      </c>
      <c r="O11" s="10">
        <v>44603</v>
      </c>
      <c r="P11" s="37">
        <v>5</v>
      </c>
      <c r="Q11" s="10">
        <v>44637</v>
      </c>
      <c r="R11" s="9">
        <v>44652</v>
      </c>
      <c r="S11" s="43">
        <v>44657</v>
      </c>
      <c r="T11" s="2">
        <v>15</v>
      </c>
      <c r="U11" s="9">
        <v>44658</v>
      </c>
      <c r="V11" s="2">
        <v>20</v>
      </c>
      <c r="W11" s="38">
        <v>14</v>
      </c>
      <c r="X11" s="13">
        <v>-1014</v>
      </c>
      <c r="Y11" s="2" t="s">
        <v>231</v>
      </c>
      <c r="Z11" s="2" t="s">
        <v>154</v>
      </c>
      <c r="AA11" s="12">
        <v>300</v>
      </c>
      <c r="AB11" s="12" t="s">
        <v>31</v>
      </c>
    </row>
    <row r="12" spans="1:28" ht="30.75" hidden="1" customHeight="1" x14ac:dyDescent="0.2">
      <c r="A12" s="2">
        <v>11</v>
      </c>
      <c r="B12" s="2">
        <v>29</v>
      </c>
      <c r="C12" s="36" t="s">
        <v>31</v>
      </c>
      <c r="D12" s="2" t="s">
        <v>32</v>
      </c>
      <c r="E12" s="2" t="s">
        <v>32</v>
      </c>
      <c r="F12" s="2" t="s">
        <v>42</v>
      </c>
      <c r="G12" s="2" t="s">
        <v>43</v>
      </c>
      <c r="H12" s="2" t="s">
        <v>26</v>
      </c>
      <c r="I12" s="7">
        <v>40005408</v>
      </c>
      <c r="J12" s="3" t="s">
        <v>196</v>
      </c>
      <c r="K12" s="3">
        <v>516682000</v>
      </c>
      <c r="L12" s="2" t="s">
        <v>49</v>
      </c>
      <c r="M12" s="17" t="s">
        <v>62</v>
      </c>
      <c r="N12" s="10"/>
      <c r="O12" s="9"/>
      <c r="P12" s="37" t="s">
        <v>686</v>
      </c>
      <c r="Q12" s="10">
        <v>44622</v>
      </c>
      <c r="R12" s="9">
        <v>44632</v>
      </c>
      <c r="S12" s="43">
        <v>44631</v>
      </c>
      <c r="T12" s="2">
        <v>10</v>
      </c>
      <c r="U12" s="9">
        <v>44636</v>
      </c>
      <c r="V12" s="2">
        <v>9</v>
      </c>
      <c r="W12" s="38">
        <v>7</v>
      </c>
      <c r="X12" s="13">
        <v>-1036</v>
      </c>
      <c r="Y12" s="2" t="s">
        <v>173</v>
      </c>
      <c r="Z12" s="2" t="s">
        <v>153</v>
      </c>
      <c r="AA12" s="64">
        <v>12219</v>
      </c>
      <c r="AB12" s="64" t="s">
        <v>32</v>
      </c>
    </row>
    <row r="13" spans="1:28" ht="30.75" hidden="1" customHeight="1" x14ac:dyDescent="0.2">
      <c r="A13" s="2">
        <v>12</v>
      </c>
      <c r="B13" s="2">
        <v>29</v>
      </c>
      <c r="C13" s="36" t="s">
        <v>31</v>
      </c>
      <c r="D13" s="2" t="s">
        <v>31</v>
      </c>
      <c r="E13" s="2" t="s">
        <v>31</v>
      </c>
      <c r="F13" s="2" t="s">
        <v>48</v>
      </c>
      <c r="G13" s="2" t="s">
        <v>67</v>
      </c>
      <c r="H13" s="2" t="s">
        <v>78</v>
      </c>
      <c r="I13" s="7">
        <v>40035802</v>
      </c>
      <c r="J13" s="3" t="s">
        <v>224</v>
      </c>
      <c r="K13" s="3">
        <v>178116000</v>
      </c>
      <c r="L13" s="2" t="s">
        <v>49</v>
      </c>
      <c r="M13" s="15" t="s">
        <v>62</v>
      </c>
      <c r="N13" s="10">
        <v>44616</v>
      </c>
      <c r="O13" s="10">
        <v>44637</v>
      </c>
      <c r="P13" s="37">
        <v>15</v>
      </c>
      <c r="Q13" s="10">
        <v>44616</v>
      </c>
      <c r="R13" s="9">
        <v>44631</v>
      </c>
      <c r="S13" s="43">
        <v>44637</v>
      </c>
      <c r="T13" s="2">
        <v>15</v>
      </c>
      <c r="U13" s="9">
        <v>44637</v>
      </c>
      <c r="V13" s="2">
        <v>21</v>
      </c>
      <c r="W13" s="38">
        <v>15</v>
      </c>
      <c r="X13" s="13">
        <v>-1035</v>
      </c>
      <c r="Y13" s="2" t="s">
        <v>228</v>
      </c>
      <c r="Z13" s="12" t="s">
        <v>164</v>
      </c>
      <c r="AA13" s="64">
        <v>8944</v>
      </c>
      <c r="AB13" s="64" t="s">
        <v>31</v>
      </c>
    </row>
    <row r="14" spans="1:28" ht="30.75" hidden="1" customHeight="1" x14ac:dyDescent="0.2">
      <c r="A14" s="2">
        <v>13</v>
      </c>
      <c r="B14" s="2">
        <v>29</v>
      </c>
      <c r="C14" s="36" t="s">
        <v>31</v>
      </c>
      <c r="D14" s="2" t="s">
        <v>31</v>
      </c>
      <c r="E14" s="2" t="s">
        <v>31</v>
      </c>
      <c r="F14" s="2" t="s">
        <v>45</v>
      </c>
      <c r="G14" s="2" t="s">
        <v>46</v>
      </c>
      <c r="H14" s="2" t="s">
        <v>23</v>
      </c>
      <c r="I14" s="7">
        <v>40037461</v>
      </c>
      <c r="J14" s="3" t="s">
        <v>221</v>
      </c>
      <c r="K14" s="3">
        <v>172111000</v>
      </c>
      <c r="L14" s="2" t="s">
        <v>49</v>
      </c>
      <c r="M14" s="15" t="s">
        <v>62</v>
      </c>
      <c r="N14" s="10">
        <v>44621</v>
      </c>
      <c r="O14" s="10">
        <v>44641</v>
      </c>
      <c r="P14" s="37">
        <v>14</v>
      </c>
      <c r="Q14" s="10">
        <v>44768</v>
      </c>
      <c r="R14" s="9">
        <v>44783</v>
      </c>
      <c r="S14" s="43">
        <v>44790</v>
      </c>
      <c r="T14" s="2">
        <v>15</v>
      </c>
      <c r="U14" s="9">
        <v>44790</v>
      </c>
      <c r="V14" s="2">
        <v>22</v>
      </c>
      <c r="W14" s="38">
        <v>15</v>
      </c>
      <c r="X14" s="13">
        <v>-882</v>
      </c>
      <c r="Y14" s="2" t="s">
        <v>268</v>
      </c>
      <c r="Z14" s="2" t="s">
        <v>223</v>
      </c>
      <c r="AA14" s="12">
        <v>352</v>
      </c>
      <c r="AB14" s="12" t="s">
        <v>31</v>
      </c>
    </row>
    <row r="15" spans="1:28" ht="30.75" hidden="1" customHeight="1" x14ac:dyDescent="0.2">
      <c r="A15" s="2">
        <v>14</v>
      </c>
      <c r="B15" s="2">
        <v>29</v>
      </c>
      <c r="C15" s="36" t="s">
        <v>32</v>
      </c>
      <c r="D15" s="2" t="s">
        <v>31</v>
      </c>
      <c r="E15" s="2" t="s">
        <v>31</v>
      </c>
      <c r="F15" s="2" t="s">
        <v>45</v>
      </c>
      <c r="G15" s="2" t="s">
        <v>46</v>
      </c>
      <c r="H15" s="2" t="s">
        <v>23</v>
      </c>
      <c r="I15" s="7">
        <v>40031422</v>
      </c>
      <c r="J15" s="49" t="s">
        <v>222</v>
      </c>
      <c r="K15" s="3"/>
      <c r="L15" s="2" t="s">
        <v>49</v>
      </c>
      <c r="M15" s="15" t="s">
        <v>74</v>
      </c>
      <c r="N15" s="10">
        <v>44621</v>
      </c>
      <c r="O15" s="10">
        <v>44642</v>
      </c>
      <c r="P15" s="37">
        <v>15</v>
      </c>
      <c r="Q15" s="10">
        <v>44621</v>
      </c>
      <c r="R15" s="9">
        <v>44636</v>
      </c>
      <c r="S15" s="43">
        <v>44642</v>
      </c>
      <c r="T15" s="2">
        <v>15</v>
      </c>
      <c r="U15" s="9">
        <v>44642</v>
      </c>
      <c r="V15" s="2">
        <v>21</v>
      </c>
      <c r="W15" s="38">
        <v>15</v>
      </c>
      <c r="X15" s="13">
        <v>-1030</v>
      </c>
      <c r="Y15" s="2"/>
      <c r="Z15" s="2" t="s">
        <v>152</v>
      </c>
      <c r="AA15" s="12"/>
      <c r="AB15" s="12" t="s">
        <v>31</v>
      </c>
    </row>
    <row r="16" spans="1:28" ht="28.5" hidden="1" x14ac:dyDescent="0.2">
      <c r="A16" s="2">
        <v>15</v>
      </c>
      <c r="B16" s="2">
        <v>29</v>
      </c>
      <c r="C16" s="36" t="s">
        <v>31</v>
      </c>
      <c r="D16" s="2" t="s">
        <v>32</v>
      </c>
      <c r="E16" s="2" t="s">
        <v>31</v>
      </c>
      <c r="F16" s="2" t="s">
        <v>48</v>
      </c>
      <c r="G16" s="2" t="s">
        <v>67</v>
      </c>
      <c r="H16" s="2" t="s">
        <v>22</v>
      </c>
      <c r="I16" s="7">
        <v>30361477</v>
      </c>
      <c r="J16" s="3" t="s">
        <v>225</v>
      </c>
      <c r="K16" s="3">
        <v>522262000</v>
      </c>
      <c r="L16" s="2" t="s">
        <v>49</v>
      </c>
      <c r="M16" s="17" t="s">
        <v>62</v>
      </c>
      <c r="N16" s="10"/>
      <c r="O16" s="10"/>
      <c r="P16" s="37" t="s">
        <v>686</v>
      </c>
      <c r="Q16" s="10">
        <v>44798</v>
      </c>
      <c r="R16" s="9">
        <v>44808</v>
      </c>
      <c r="S16" s="43">
        <v>44798</v>
      </c>
      <c r="T16" s="2">
        <v>10</v>
      </c>
      <c r="U16" s="9">
        <v>44812</v>
      </c>
      <c r="V16" s="2">
        <v>0</v>
      </c>
      <c r="W16" s="38">
        <v>0</v>
      </c>
      <c r="X16" s="13">
        <v>-860</v>
      </c>
      <c r="Y16" s="2" t="s">
        <v>192</v>
      </c>
      <c r="Z16" s="2" t="s">
        <v>157</v>
      </c>
      <c r="AA16" s="64">
        <v>5949</v>
      </c>
      <c r="AB16" s="64" t="s">
        <v>32</v>
      </c>
    </row>
    <row r="17" spans="1:28" s="80" customFormat="1" ht="28.5" hidden="1" x14ac:dyDescent="0.2">
      <c r="A17" s="74">
        <v>16</v>
      </c>
      <c r="B17" s="74">
        <v>29</v>
      </c>
      <c r="C17" s="75" t="s">
        <v>32</v>
      </c>
      <c r="D17" s="74" t="s">
        <v>31</v>
      </c>
      <c r="E17" s="74" t="s">
        <v>31</v>
      </c>
      <c r="F17" s="74" t="s">
        <v>47</v>
      </c>
      <c r="G17" s="74" t="s">
        <v>0</v>
      </c>
      <c r="H17" s="74" t="s">
        <v>18</v>
      </c>
      <c r="I17" s="76">
        <v>40035522</v>
      </c>
      <c r="J17" s="41" t="s">
        <v>207</v>
      </c>
      <c r="K17" s="41">
        <v>215631000</v>
      </c>
      <c r="L17" s="74" t="s">
        <v>49</v>
      </c>
      <c r="M17" s="63" t="s">
        <v>62</v>
      </c>
      <c r="N17" s="62">
        <v>44606</v>
      </c>
      <c r="O17" s="62">
        <v>44634</v>
      </c>
      <c r="P17" s="63">
        <v>20</v>
      </c>
      <c r="Q17" s="62">
        <v>44606</v>
      </c>
      <c r="R17" s="77">
        <v>44621</v>
      </c>
      <c r="S17" s="62">
        <v>44634</v>
      </c>
      <c r="T17" s="74">
        <v>15</v>
      </c>
      <c r="U17" s="77">
        <v>44627</v>
      </c>
      <c r="V17" s="74">
        <v>28</v>
      </c>
      <c r="W17" s="63">
        <v>20</v>
      </c>
      <c r="X17" s="78">
        <v>-1045</v>
      </c>
      <c r="Y17" s="74" t="s">
        <v>227</v>
      </c>
      <c r="Z17" s="74" t="s">
        <v>157</v>
      </c>
      <c r="AA17" s="79">
        <v>9138</v>
      </c>
      <c r="AB17" s="79" t="s">
        <v>31</v>
      </c>
    </row>
    <row r="18" spans="1:28" ht="28.5" hidden="1" x14ac:dyDescent="0.2">
      <c r="A18" s="2">
        <v>17</v>
      </c>
      <c r="B18" s="2">
        <v>29</v>
      </c>
      <c r="C18" s="36" t="s">
        <v>32</v>
      </c>
      <c r="D18" s="2" t="s">
        <v>31</v>
      </c>
      <c r="E18" s="2" t="s">
        <v>31</v>
      </c>
      <c r="F18" s="2" t="s">
        <v>175</v>
      </c>
      <c r="G18" s="2" t="s">
        <v>175</v>
      </c>
      <c r="H18" s="2" t="s">
        <v>272</v>
      </c>
      <c r="I18" s="7">
        <v>40038820</v>
      </c>
      <c r="J18" s="3" t="s">
        <v>275</v>
      </c>
      <c r="K18" s="3">
        <v>533060000</v>
      </c>
      <c r="L18" s="2" t="s">
        <v>49</v>
      </c>
      <c r="M18" s="15" t="s">
        <v>62</v>
      </c>
      <c r="N18" s="10">
        <v>44635</v>
      </c>
      <c r="O18" s="10">
        <v>44655</v>
      </c>
      <c r="P18" s="37">
        <v>14</v>
      </c>
      <c r="Q18" s="10">
        <v>44802</v>
      </c>
      <c r="R18" s="9">
        <v>44817</v>
      </c>
      <c r="S18" s="43">
        <v>44810</v>
      </c>
      <c r="T18" s="2">
        <v>15</v>
      </c>
      <c r="U18" s="9">
        <v>44825</v>
      </c>
      <c r="V18" s="2">
        <v>8</v>
      </c>
      <c r="W18" s="38">
        <v>6</v>
      </c>
      <c r="X18" s="13">
        <v>-847</v>
      </c>
      <c r="Y18" s="2" t="s">
        <v>276</v>
      </c>
      <c r="Z18" s="2" t="s">
        <v>177</v>
      </c>
      <c r="AA18" s="12">
        <v>425</v>
      </c>
      <c r="AB18" s="12" t="s">
        <v>31</v>
      </c>
    </row>
    <row r="19" spans="1:28" ht="28.5" hidden="1" x14ac:dyDescent="0.2">
      <c r="A19" s="2">
        <v>18</v>
      </c>
      <c r="B19" s="2">
        <v>29</v>
      </c>
      <c r="C19" s="36" t="s">
        <v>31</v>
      </c>
      <c r="D19" s="2" t="s">
        <v>31</v>
      </c>
      <c r="E19" s="2" t="s">
        <v>32</v>
      </c>
      <c r="F19" s="2" t="s">
        <v>48</v>
      </c>
      <c r="G19" s="2" t="s">
        <v>48</v>
      </c>
      <c r="H19" s="2" t="s">
        <v>5</v>
      </c>
      <c r="I19" s="44">
        <v>40020354</v>
      </c>
      <c r="J19" s="49" t="s">
        <v>277</v>
      </c>
      <c r="K19" s="3">
        <v>196495000</v>
      </c>
      <c r="L19" s="2" t="s">
        <v>49</v>
      </c>
      <c r="M19" s="17" t="s">
        <v>62</v>
      </c>
      <c r="N19" s="10">
        <v>44644</v>
      </c>
      <c r="O19" s="10">
        <v>44659</v>
      </c>
      <c r="P19" s="37">
        <v>11</v>
      </c>
      <c r="Q19" s="10">
        <v>44882</v>
      </c>
      <c r="R19" s="9">
        <v>44892</v>
      </c>
      <c r="S19" s="43">
        <v>44888</v>
      </c>
      <c r="T19" s="2">
        <v>10</v>
      </c>
      <c r="U19" s="9">
        <v>44896</v>
      </c>
      <c r="V19" s="2">
        <v>6</v>
      </c>
      <c r="W19" s="38">
        <v>4</v>
      </c>
      <c r="X19" s="13">
        <v>-776</v>
      </c>
      <c r="Y19" s="2" t="s">
        <v>232</v>
      </c>
      <c r="Z19" s="2" t="s">
        <v>152</v>
      </c>
      <c r="AA19" s="12">
        <v>1711</v>
      </c>
      <c r="AB19" s="12" t="s">
        <v>32</v>
      </c>
    </row>
    <row r="20" spans="1:28" ht="28.5" hidden="1" x14ac:dyDescent="0.2">
      <c r="A20" s="2">
        <v>19</v>
      </c>
      <c r="B20" s="2">
        <v>31</v>
      </c>
      <c r="C20" s="36" t="s">
        <v>32</v>
      </c>
      <c r="D20" s="2" t="s">
        <v>31</v>
      </c>
      <c r="E20" s="2" t="s">
        <v>32</v>
      </c>
      <c r="F20" s="2" t="s">
        <v>42</v>
      </c>
      <c r="G20" s="2" t="s">
        <v>3</v>
      </c>
      <c r="H20" s="2" t="s">
        <v>16</v>
      </c>
      <c r="I20" s="7">
        <v>40018788</v>
      </c>
      <c r="J20" s="3" t="s">
        <v>233</v>
      </c>
      <c r="K20" s="3"/>
      <c r="L20" s="2" t="s">
        <v>49</v>
      </c>
      <c r="M20" s="15" t="s">
        <v>74</v>
      </c>
      <c r="N20" s="10">
        <v>44663</v>
      </c>
      <c r="O20" s="10">
        <v>44683</v>
      </c>
      <c r="P20" s="37">
        <v>13</v>
      </c>
      <c r="Q20" s="10">
        <v>44881</v>
      </c>
      <c r="R20" s="9">
        <v>44896</v>
      </c>
      <c r="S20" s="43">
        <v>44902</v>
      </c>
      <c r="T20" s="2">
        <v>15</v>
      </c>
      <c r="U20" s="9">
        <v>44902</v>
      </c>
      <c r="V20" s="2">
        <v>21</v>
      </c>
      <c r="W20" s="38">
        <v>15</v>
      </c>
      <c r="X20" s="13">
        <v>-770</v>
      </c>
      <c r="Y20" s="2"/>
      <c r="Z20" s="2" t="s">
        <v>154</v>
      </c>
      <c r="AA20" s="65"/>
      <c r="AB20" s="65" t="s">
        <v>31</v>
      </c>
    </row>
    <row r="21" spans="1:28" ht="28.5" hidden="1" x14ac:dyDescent="0.2">
      <c r="A21" s="2">
        <v>20</v>
      </c>
      <c r="B21" s="2">
        <v>29</v>
      </c>
      <c r="C21" s="36" t="s">
        <v>32</v>
      </c>
      <c r="D21" s="2" t="s">
        <v>31</v>
      </c>
      <c r="E21" s="2" t="s">
        <v>31</v>
      </c>
      <c r="F21" s="2" t="s">
        <v>175</v>
      </c>
      <c r="G21" s="2" t="s">
        <v>175</v>
      </c>
      <c r="H21" s="2" t="s">
        <v>102</v>
      </c>
      <c r="I21" s="7">
        <v>40037837</v>
      </c>
      <c r="J21" s="3" t="s">
        <v>235</v>
      </c>
      <c r="K21" s="3">
        <v>202250000</v>
      </c>
      <c r="L21" s="2" t="s">
        <v>49</v>
      </c>
      <c r="M21" s="15" t="s">
        <v>62</v>
      </c>
      <c r="N21" s="10">
        <v>44673</v>
      </c>
      <c r="O21" s="10">
        <v>44693</v>
      </c>
      <c r="P21" s="37">
        <v>14</v>
      </c>
      <c r="Q21" s="10">
        <v>44816</v>
      </c>
      <c r="R21" s="9">
        <v>44831</v>
      </c>
      <c r="S21" s="43">
        <v>44839</v>
      </c>
      <c r="T21" s="2">
        <v>15</v>
      </c>
      <c r="U21" s="9">
        <v>44839</v>
      </c>
      <c r="V21" s="2">
        <v>23</v>
      </c>
      <c r="W21" s="38">
        <v>15</v>
      </c>
      <c r="X21" s="13">
        <v>-833</v>
      </c>
      <c r="Y21" s="2" t="s">
        <v>293</v>
      </c>
      <c r="Z21" s="2" t="s">
        <v>163</v>
      </c>
      <c r="AA21" s="65">
        <v>891440</v>
      </c>
      <c r="AB21" s="65" t="s">
        <v>31</v>
      </c>
    </row>
    <row r="22" spans="1:28" ht="48" hidden="1" customHeight="1" x14ac:dyDescent="0.2">
      <c r="A22" s="2">
        <v>21</v>
      </c>
      <c r="B22" s="2">
        <v>29</v>
      </c>
      <c r="C22" s="36" t="s">
        <v>32</v>
      </c>
      <c r="D22" s="2" t="s">
        <v>32</v>
      </c>
      <c r="E22" s="2" t="s">
        <v>32</v>
      </c>
      <c r="F22" s="2" t="s">
        <v>175</v>
      </c>
      <c r="G22" s="2" t="s">
        <v>175</v>
      </c>
      <c r="H22" s="2" t="s">
        <v>102</v>
      </c>
      <c r="I22" s="7">
        <v>40020318</v>
      </c>
      <c r="J22" s="3" t="s">
        <v>236</v>
      </c>
      <c r="K22" s="3">
        <v>675958000</v>
      </c>
      <c r="L22" s="2" t="s">
        <v>49</v>
      </c>
      <c r="M22" s="17" t="s">
        <v>62</v>
      </c>
      <c r="N22" s="10"/>
      <c r="O22" s="10"/>
      <c r="P22" s="37" t="s">
        <v>686</v>
      </c>
      <c r="Q22" s="10">
        <v>44722</v>
      </c>
      <c r="R22" s="9">
        <v>44732</v>
      </c>
      <c r="S22" s="43">
        <v>44746</v>
      </c>
      <c r="T22" s="2">
        <v>10</v>
      </c>
      <c r="U22" s="9">
        <v>44740</v>
      </c>
      <c r="V22" s="2">
        <v>24</v>
      </c>
      <c r="W22" s="38">
        <v>14</v>
      </c>
      <c r="X22" s="13">
        <v>-932</v>
      </c>
      <c r="Y22" s="2" t="s">
        <v>178</v>
      </c>
      <c r="Z22" s="2" t="s">
        <v>166</v>
      </c>
      <c r="AA22" s="65">
        <v>891440</v>
      </c>
      <c r="AB22" s="65" t="s">
        <v>32</v>
      </c>
    </row>
    <row r="23" spans="1:28" ht="28.5" hidden="1" x14ac:dyDescent="0.2">
      <c r="A23" s="2">
        <v>22</v>
      </c>
      <c r="B23" s="2">
        <v>29</v>
      </c>
      <c r="C23" s="36" t="s">
        <v>32</v>
      </c>
      <c r="D23" s="2" t="s">
        <v>31</v>
      </c>
      <c r="E23" s="2" t="s">
        <v>31</v>
      </c>
      <c r="F23" s="2" t="s">
        <v>45</v>
      </c>
      <c r="G23" s="2" t="s">
        <v>61</v>
      </c>
      <c r="H23" s="2" t="s">
        <v>15</v>
      </c>
      <c r="I23" s="68">
        <v>40039211</v>
      </c>
      <c r="J23" s="69" t="s">
        <v>237</v>
      </c>
      <c r="K23" s="3">
        <v>101150000</v>
      </c>
      <c r="L23" s="2" t="s">
        <v>49</v>
      </c>
      <c r="M23" s="15" t="s">
        <v>62</v>
      </c>
      <c r="N23" s="10">
        <v>44673</v>
      </c>
      <c r="O23" s="10">
        <v>44693</v>
      </c>
      <c r="P23" s="37">
        <v>14</v>
      </c>
      <c r="Q23" s="10">
        <v>44839</v>
      </c>
      <c r="R23" s="9">
        <v>44854</v>
      </c>
      <c r="S23" s="43">
        <v>44847</v>
      </c>
      <c r="T23" s="2">
        <v>15</v>
      </c>
      <c r="U23" s="9">
        <v>44861</v>
      </c>
      <c r="V23" s="2">
        <v>8</v>
      </c>
      <c r="W23" s="38">
        <v>5</v>
      </c>
      <c r="X23" s="13">
        <v>-811</v>
      </c>
      <c r="Y23" s="2" t="s">
        <v>299</v>
      </c>
      <c r="Z23" s="2" t="s">
        <v>223</v>
      </c>
      <c r="AA23" s="65"/>
      <c r="AB23" s="65" t="s">
        <v>31</v>
      </c>
    </row>
    <row r="24" spans="1:28" ht="28.5" hidden="1" x14ac:dyDescent="0.2">
      <c r="A24" s="2">
        <v>23</v>
      </c>
      <c r="B24" s="2">
        <v>29</v>
      </c>
      <c r="C24" s="36" t="s">
        <v>31</v>
      </c>
      <c r="D24" s="2" t="s">
        <v>31</v>
      </c>
      <c r="E24" s="2" t="s">
        <v>31</v>
      </c>
      <c r="F24" s="2" t="s">
        <v>45</v>
      </c>
      <c r="G24" s="2" t="s">
        <v>88</v>
      </c>
      <c r="H24" s="2" t="s">
        <v>77</v>
      </c>
      <c r="I24" s="7">
        <v>40039456</v>
      </c>
      <c r="J24" s="3" t="s">
        <v>238</v>
      </c>
      <c r="K24" s="3"/>
      <c r="L24" s="2" t="s">
        <v>49</v>
      </c>
      <c r="M24" s="15" t="s">
        <v>74</v>
      </c>
      <c r="N24" s="10">
        <v>44676</v>
      </c>
      <c r="O24" s="10">
        <v>44694</v>
      </c>
      <c r="P24" s="37">
        <v>14</v>
      </c>
      <c r="Q24" s="10">
        <v>44676</v>
      </c>
      <c r="R24" s="9">
        <v>44691</v>
      </c>
      <c r="S24" s="43">
        <v>44694</v>
      </c>
      <c r="T24" s="2">
        <v>15</v>
      </c>
      <c r="U24" s="9">
        <v>44697</v>
      </c>
      <c r="V24" s="2">
        <v>18</v>
      </c>
      <c r="W24" s="38">
        <v>14</v>
      </c>
      <c r="X24" s="13">
        <v>-975</v>
      </c>
      <c r="Y24" s="2"/>
      <c r="Z24" s="2" t="s">
        <v>151</v>
      </c>
      <c r="AA24" s="65"/>
      <c r="AB24" s="65" t="s">
        <v>31</v>
      </c>
    </row>
    <row r="25" spans="1:28" ht="28.5" hidden="1" x14ac:dyDescent="0.2">
      <c r="A25" s="2">
        <v>24</v>
      </c>
      <c r="B25" s="2">
        <v>29</v>
      </c>
      <c r="C25" s="36" t="s">
        <v>32</v>
      </c>
      <c r="D25" s="2" t="s">
        <v>31</v>
      </c>
      <c r="E25" s="2" t="s">
        <v>31</v>
      </c>
      <c r="F25" s="2" t="s">
        <v>47</v>
      </c>
      <c r="G25" s="2" t="s">
        <v>50</v>
      </c>
      <c r="H25" s="2" t="s">
        <v>9</v>
      </c>
      <c r="I25" s="44">
        <v>40037793</v>
      </c>
      <c r="J25" s="49" t="s">
        <v>239</v>
      </c>
      <c r="K25" s="3">
        <v>718380784</v>
      </c>
      <c r="L25" s="2" t="s">
        <v>49</v>
      </c>
      <c r="M25" s="15" t="s">
        <v>62</v>
      </c>
      <c r="N25" s="10">
        <v>44686</v>
      </c>
      <c r="O25" s="10">
        <v>44693</v>
      </c>
      <c r="P25" s="37">
        <v>5</v>
      </c>
      <c r="Q25" s="10">
        <v>44746</v>
      </c>
      <c r="R25" s="9">
        <v>44761</v>
      </c>
      <c r="S25" s="43">
        <v>44760</v>
      </c>
      <c r="T25" s="2">
        <v>15</v>
      </c>
      <c r="U25" s="9">
        <v>44767</v>
      </c>
      <c r="V25" s="2">
        <v>14</v>
      </c>
      <c r="W25" s="38">
        <v>10</v>
      </c>
      <c r="X25" s="13">
        <v>-905</v>
      </c>
      <c r="Y25" s="2" t="s">
        <v>256</v>
      </c>
      <c r="Z25" s="2" t="s">
        <v>152</v>
      </c>
      <c r="AA25" s="65">
        <v>15113</v>
      </c>
      <c r="AB25" s="65" t="s">
        <v>31</v>
      </c>
    </row>
    <row r="26" spans="1:28" ht="28.5" hidden="1" x14ac:dyDescent="0.2">
      <c r="A26" s="2">
        <v>25</v>
      </c>
      <c r="B26" s="2">
        <v>29</v>
      </c>
      <c r="C26" s="36" t="s">
        <v>32</v>
      </c>
      <c r="D26" s="2" t="s">
        <v>31</v>
      </c>
      <c r="E26" s="2" t="s">
        <v>31</v>
      </c>
      <c r="F26" s="2" t="s">
        <v>42</v>
      </c>
      <c r="G26" s="2" t="s">
        <v>43</v>
      </c>
      <c r="H26" s="2" t="s">
        <v>26</v>
      </c>
      <c r="I26" s="7">
        <v>40041298</v>
      </c>
      <c r="J26" s="3" t="s">
        <v>240</v>
      </c>
      <c r="K26" s="3"/>
      <c r="L26" s="2" t="s">
        <v>49</v>
      </c>
      <c r="M26" s="15" t="s">
        <v>74</v>
      </c>
      <c r="N26" s="10">
        <v>44690</v>
      </c>
      <c r="O26" s="10">
        <v>44711</v>
      </c>
      <c r="P26" s="37">
        <v>15</v>
      </c>
      <c r="Q26" s="10">
        <v>44690</v>
      </c>
      <c r="R26" s="9">
        <v>44705</v>
      </c>
      <c r="S26" s="43">
        <v>44711</v>
      </c>
      <c r="T26" s="2">
        <v>15</v>
      </c>
      <c r="U26" s="9">
        <v>44711</v>
      </c>
      <c r="V26" s="2">
        <v>21</v>
      </c>
      <c r="W26" s="38">
        <v>15</v>
      </c>
      <c r="X26" s="13">
        <v>-961</v>
      </c>
      <c r="Y26" s="2"/>
      <c r="Z26" s="2" t="s">
        <v>157</v>
      </c>
      <c r="AA26" s="65"/>
      <c r="AB26" s="65" t="s">
        <v>31</v>
      </c>
    </row>
    <row r="27" spans="1:28" ht="28.5" hidden="1" x14ac:dyDescent="0.2">
      <c r="A27" s="2">
        <v>26</v>
      </c>
      <c r="B27" s="2">
        <v>29</v>
      </c>
      <c r="C27" s="36" t="s">
        <v>32</v>
      </c>
      <c r="D27" s="2" t="s">
        <v>31</v>
      </c>
      <c r="E27" s="2" t="s">
        <v>31</v>
      </c>
      <c r="F27" s="2" t="s">
        <v>45</v>
      </c>
      <c r="G27" s="2" t="s">
        <v>88</v>
      </c>
      <c r="H27" s="2" t="s">
        <v>77</v>
      </c>
      <c r="I27" s="33">
        <v>40039887</v>
      </c>
      <c r="J27" s="3" t="s">
        <v>241</v>
      </c>
      <c r="K27" s="3"/>
      <c r="L27" s="2" t="s">
        <v>49</v>
      </c>
      <c r="M27" s="15" t="s">
        <v>74</v>
      </c>
      <c r="N27" s="10">
        <v>44693</v>
      </c>
      <c r="O27" s="10">
        <v>44713</v>
      </c>
      <c r="P27" s="37">
        <v>14</v>
      </c>
      <c r="Q27" s="10">
        <v>44846</v>
      </c>
      <c r="R27" s="9">
        <v>44861</v>
      </c>
      <c r="S27" s="43">
        <v>44713</v>
      </c>
      <c r="T27" s="2">
        <v>15</v>
      </c>
      <c r="U27" s="9">
        <v>44869</v>
      </c>
      <c r="V27" s="2">
        <v>-133</v>
      </c>
      <c r="W27" s="38" t="s">
        <v>686</v>
      </c>
      <c r="X27" s="13">
        <v>-803</v>
      </c>
      <c r="Y27" s="2"/>
      <c r="Z27" s="2" t="s">
        <v>169</v>
      </c>
      <c r="AA27" s="65"/>
      <c r="AB27" s="65" t="s">
        <v>31</v>
      </c>
    </row>
    <row r="28" spans="1:28" ht="28.5" hidden="1" x14ac:dyDescent="0.2">
      <c r="A28" s="2">
        <v>27</v>
      </c>
      <c r="B28" s="2">
        <v>29</v>
      </c>
      <c r="C28" s="36" t="s">
        <v>31</v>
      </c>
      <c r="D28" s="2" t="s">
        <v>31</v>
      </c>
      <c r="E28" s="2" t="s">
        <v>31</v>
      </c>
      <c r="F28" s="2" t="s">
        <v>45</v>
      </c>
      <c r="G28" s="2" t="s">
        <v>51</v>
      </c>
      <c r="H28" s="2" t="s">
        <v>11</v>
      </c>
      <c r="I28" s="44">
        <v>40039966</v>
      </c>
      <c r="J28" s="49" t="s">
        <v>242</v>
      </c>
      <c r="K28" s="3"/>
      <c r="L28" s="2" t="s">
        <v>49</v>
      </c>
      <c r="M28" s="15" t="s">
        <v>74</v>
      </c>
      <c r="N28" s="10">
        <v>44672</v>
      </c>
      <c r="O28" s="10">
        <v>44693</v>
      </c>
      <c r="P28" s="37">
        <v>15</v>
      </c>
      <c r="Q28" s="10">
        <v>44851</v>
      </c>
      <c r="R28" s="9">
        <v>44866</v>
      </c>
      <c r="S28" s="43">
        <v>44874</v>
      </c>
      <c r="T28" s="2">
        <v>15</v>
      </c>
      <c r="U28" s="9">
        <v>44874</v>
      </c>
      <c r="V28" s="2">
        <v>23</v>
      </c>
      <c r="W28" s="38">
        <v>15</v>
      </c>
      <c r="X28" s="13">
        <v>-798</v>
      </c>
      <c r="Y28" s="2"/>
      <c r="Z28" s="2" t="s">
        <v>167</v>
      </c>
      <c r="AA28" s="12"/>
      <c r="AB28" s="12" t="s">
        <v>31</v>
      </c>
    </row>
    <row r="29" spans="1:28" ht="28.5" hidden="1" x14ac:dyDescent="0.2">
      <c r="A29" s="2">
        <v>28</v>
      </c>
      <c r="B29" s="2">
        <v>31</v>
      </c>
      <c r="C29" s="36" t="s">
        <v>32</v>
      </c>
      <c r="D29" s="2" t="s">
        <v>31</v>
      </c>
      <c r="E29" s="2" t="s">
        <v>32</v>
      </c>
      <c r="F29" s="2" t="s">
        <v>45</v>
      </c>
      <c r="G29" s="2" t="s">
        <v>88</v>
      </c>
      <c r="H29" s="2" t="s">
        <v>77</v>
      </c>
      <c r="I29" s="7">
        <v>40003812</v>
      </c>
      <c r="J29" s="3" t="s">
        <v>149</v>
      </c>
      <c r="K29" s="3">
        <v>408593000</v>
      </c>
      <c r="L29" s="2" t="s">
        <v>49</v>
      </c>
      <c r="M29" s="15" t="s">
        <v>62</v>
      </c>
      <c r="N29" s="10">
        <v>44698</v>
      </c>
      <c r="O29" s="10">
        <v>44719</v>
      </c>
      <c r="P29" s="37">
        <v>15</v>
      </c>
      <c r="Q29" s="10">
        <v>44848</v>
      </c>
      <c r="R29" s="9">
        <v>44863</v>
      </c>
      <c r="S29" s="43">
        <v>44860</v>
      </c>
      <c r="T29" s="2">
        <v>15</v>
      </c>
      <c r="U29" s="9">
        <v>44873</v>
      </c>
      <c r="V29" s="2">
        <v>12</v>
      </c>
      <c r="W29" s="38">
        <v>8</v>
      </c>
      <c r="X29" s="13">
        <v>-799</v>
      </c>
      <c r="Y29" s="2" t="s">
        <v>307</v>
      </c>
      <c r="Z29" s="2" t="s">
        <v>314</v>
      </c>
      <c r="AA29" s="65">
        <v>381</v>
      </c>
      <c r="AB29" s="65" t="s">
        <v>31</v>
      </c>
    </row>
    <row r="30" spans="1:28" ht="28.5" hidden="1" x14ac:dyDescent="0.2">
      <c r="A30" s="2">
        <v>29</v>
      </c>
      <c r="B30" s="2">
        <v>29</v>
      </c>
      <c r="C30" s="36" t="s">
        <v>32</v>
      </c>
      <c r="D30" s="2" t="s">
        <v>31</v>
      </c>
      <c r="E30" s="2" t="s">
        <v>31</v>
      </c>
      <c r="F30" s="2" t="s">
        <v>45</v>
      </c>
      <c r="G30" s="2" t="s">
        <v>60</v>
      </c>
      <c r="H30" s="2" t="s">
        <v>7</v>
      </c>
      <c r="I30" s="7">
        <v>40027989</v>
      </c>
      <c r="J30" s="3" t="s">
        <v>243</v>
      </c>
      <c r="K30" s="3">
        <v>328748613</v>
      </c>
      <c r="L30" s="2" t="s">
        <v>49</v>
      </c>
      <c r="M30" s="15" t="s">
        <v>62</v>
      </c>
      <c r="N30" s="10">
        <v>44698</v>
      </c>
      <c r="O30" s="10">
        <v>44715</v>
      </c>
      <c r="P30" s="37">
        <v>13</v>
      </c>
      <c r="Q30" s="10">
        <v>44867</v>
      </c>
      <c r="R30" s="9">
        <v>44882</v>
      </c>
      <c r="S30" s="43">
        <v>44881</v>
      </c>
      <c r="T30" s="2">
        <v>15</v>
      </c>
      <c r="U30" s="9">
        <v>44888</v>
      </c>
      <c r="V30" s="2">
        <v>14</v>
      </c>
      <c r="W30" s="38">
        <v>10</v>
      </c>
      <c r="X30" s="13">
        <v>-784</v>
      </c>
      <c r="Y30" s="2" t="s">
        <v>317</v>
      </c>
      <c r="Z30" s="2" t="s">
        <v>157</v>
      </c>
      <c r="AA30" s="65">
        <v>1207</v>
      </c>
      <c r="AB30" s="65" t="s">
        <v>31</v>
      </c>
    </row>
    <row r="31" spans="1:28" ht="28.5" hidden="1" x14ac:dyDescent="0.2">
      <c r="A31" s="2">
        <v>30</v>
      </c>
      <c r="B31" s="2">
        <v>31</v>
      </c>
      <c r="C31" s="36" t="s">
        <v>31</v>
      </c>
      <c r="D31" s="2" t="s">
        <v>31</v>
      </c>
      <c r="E31" s="2" t="s">
        <v>31</v>
      </c>
      <c r="F31" s="2" t="s">
        <v>42</v>
      </c>
      <c r="G31" s="2" t="s">
        <v>42</v>
      </c>
      <c r="H31" s="2" t="s">
        <v>17</v>
      </c>
      <c r="I31" s="7">
        <v>40031383</v>
      </c>
      <c r="J31" s="3" t="s">
        <v>244</v>
      </c>
      <c r="K31" s="3"/>
      <c r="L31" s="2" t="s">
        <v>49</v>
      </c>
      <c r="M31" s="15" t="s">
        <v>74</v>
      </c>
      <c r="N31" s="10">
        <v>44706</v>
      </c>
      <c r="O31" s="10">
        <v>44727</v>
      </c>
      <c r="P31" s="37">
        <v>15</v>
      </c>
      <c r="Q31" s="10">
        <v>44861</v>
      </c>
      <c r="R31" s="9">
        <v>44876</v>
      </c>
      <c r="S31" s="43">
        <v>44886</v>
      </c>
      <c r="T31" s="2">
        <v>15</v>
      </c>
      <c r="U31" s="9">
        <v>44886</v>
      </c>
      <c r="V31" s="2">
        <v>25</v>
      </c>
      <c r="W31" s="38">
        <v>15</v>
      </c>
      <c r="X31" s="13">
        <v>-786</v>
      </c>
      <c r="Y31" s="2"/>
      <c r="Z31" s="2" t="s">
        <v>314</v>
      </c>
      <c r="AA31" s="65"/>
      <c r="AB31" s="65" t="s">
        <v>31</v>
      </c>
    </row>
    <row r="32" spans="1:28" ht="28.5" hidden="1" x14ac:dyDescent="0.2">
      <c r="A32" s="2">
        <v>31</v>
      </c>
      <c r="B32" s="2">
        <v>29</v>
      </c>
      <c r="C32" s="36" t="s">
        <v>31</v>
      </c>
      <c r="D32" s="2" t="s">
        <v>32</v>
      </c>
      <c r="E32" s="2" t="s">
        <v>31</v>
      </c>
      <c r="F32" s="2" t="s">
        <v>175</v>
      </c>
      <c r="G32" s="2" t="s">
        <v>175</v>
      </c>
      <c r="H32" s="2" t="s">
        <v>102</v>
      </c>
      <c r="I32" s="7">
        <v>40019750</v>
      </c>
      <c r="J32" s="3" t="s">
        <v>245</v>
      </c>
      <c r="K32" s="3">
        <v>440875000</v>
      </c>
      <c r="L32" s="2" t="s">
        <v>49</v>
      </c>
      <c r="M32" s="17" t="s">
        <v>62</v>
      </c>
      <c r="N32" s="10"/>
      <c r="O32" s="10"/>
      <c r="P32" s="37" t="s">
        <v>686</v>
      </c>
      <c r="Q32" s="10">
        <v>44729</v>
      </c>
      <c r="R32" s="9">
        <v>44739</v>
      </c>
      <c r="S32" s="43">
        <v>44734</v>
      </c>
      <c r="T32" s="2">
        <v>10</v>
      </c>
      <c r="U32" s="9">
        <v>44747</v>
      </c>
      <c r="V32" s="2">
        <v>5</v>
      </c>
      <c r="W32" s="38">
        <v>2</v>
      </c>
      <c r="X32" s="13">
        <v>-925</v>
      </c>
      <c r="Y32" s="2" t="s">
        <v>178</v>
      </c>
      <c r="Z32" s="2" t="s">
        <v>163</v>
      </c>
      <c r="AA32" s="65"/>
      <c r="AB32" s="65" t="s">
        <v>32</v>
      </c>
    </row>
    <row r="33" spans="1:28" ht="28.5" hidden="1" x14ac:dyDescent="0.2">
      <c r="A33" s="2">
        <v>32</v>
      </c>
      <c r="B33" s="2">
        <v>31</v>
      </c>
      <c r="C33" s="36" t="s">
        <v>32</v>
      </c>
      <c r="D33" s="2" t="s">
        <v>31</v>
      </c>
      <c r="E33" s="2" t="s">
        <v>31</v>
      </c>
      <c r="F33" s="2" t="s">
        <v>42</v>
      </c>
      <c r="G33" s="2" t="s">
        <v>43</v>
      </c>
      <c r="H33" s="2" t="s">
        <v>26</v>
      </c>
      <c r="I33" s="7">
        <v>40039693</v>
      </c>
      <c r="J33" s="3" t="s">
        <v>246</v>
      </c>
      <c r="K33" s="3">
        <v>413790000</v>
      </c>
      <c r="L33" s="2" t="s">
        <v>49</v>
      </c>
      <c r="M33" s="15" t="s">
        <v>62</v>
      </c>
      <c r="N33" s="10">
        <v>44721</v>
      </c>
      <c r="O33" s="10">
        <v>44746</v>
      </c>
      <c r="P33" s="37">
        <v>15</v>
      </c>
      <c r="Q33" s="10">
        <v>44768</v>
      </c>
      <c r="R33" s="9">
        <v>44783</v>
      </c>
      <c r="S33" s="43">
        <v>44790</v>
      </c>
      <c r="T33" s="2">
        <v>15</v>
      </c>
      <c r="U33" s="9">
        <v>44790</v>
      </c>
      <c r="V33" s="2">
        <v>22</v>
      </c>
      <c r="W33" s="38">
        <v>15</v>
      </c>
      <c r="X33" s="13">
        <v>-882</v>
      </c>
      <c r="Y33" s="2" t="s">
        <v>267</v>
      </c>
      <c r="Z33" s="2" t="s">
        <v>154</v>
      </c>
      <c r="AA33" s="65">
        <v>317</v>
      </c>
      <c r="AB33" s="65" t="s">
        <v>31</v>
      </c>
    </row>
    <row r="34" spans="1:28" ht="28.5" hidden="1" x14ac:dyDescent="0.2">
      <c r="A34" s="2">
        <v>33</v>
      </c>
      <c r="B34" s="2">
        <v>31</v>
      </c>
      <c r="C34" s="36" t="s">
        <v>32</v>
      </c>
      <c r="D34" s="2" t="s">
        <v>32</v>
      </c>
      <c r="E34" s="2" t="s">
        <v>32</v>
      </c>
      <c r="F34" s="2" t="s">
        <v>45</v>
      </c>
      <c r="G34" s="2" t="s">
        <v>69</v>
      </c>
      <c r="H34" s="2" t="s">
        <v>84</v>
      </c>
      <c r="I34" s="7">
        <v>40027009</v>
      </c>
      <c r="J34" s="3" t="s">
        <v>247</v>
      </c>
      <c r="K34" s="3">
        <v>1109052000</v>
      </c>
      <c r="L34" s="2" t="s">
        <v>49</v>
      </c>
      <c r="M34" s="17" t="s">
        <v>62</v>
      </c>
      <c r="N34" s="10"/>
      <c r="O34" s="10"/>
      <c r="P34" s="37" t="s">
        <v>686</v>
      </c>
      <c r="Q34" s="10">
        <v>44908</v>
      </c>
      <c r="R34" s="9">
        <v>44918</v>
      </c>
      <c r="S34" s="43">
        <v>44909</v>
      </c>
      <c r="T34" s="2">
        <v>10</v>
      </c>
      <c r="U34" s="9">
        <v>44922</v>
      </c>
      <c r="V34" s="2">
        <v>1</v>
      </c>
      <c r="W34" s="38">
        <v>1</v>
      </c>
      <c r="X34" s="13">
        <v>-750</v>
      </c>
      <c r="Y34" s="2"/>
      <c r="Z34" s="2" t="s">
        <v>158</v>
      </c>
      <c r="AA34" s="65"/>
      <c r="AB34" s="65" t="s">
        <v>32</v>
      </c>
    </row>
    <row r="35" spans="1:28" ht="28.5" hidden="1" x14ac:dyDescent="0.2">
      <c r="A35" s="2">
        <v>34</v>
      </c>
      <c r="B35" s="2">
        <v>29</v>
      </c>
      <c r="C35" s="36" t="s">
        <v>32</v>
      </c>
      <c r="D35" s="2" t="s">
        <v>31</v>
      </c>
      <c r="E35" s="2" t="s">
        <v>31</v>
      </c>
      <c r="F35" s="2" t="s">
        <v>47</v>
      </c>
      <c r="G35" s="2" t="s">
        <v>76</v>
      </c>
      <c r="H35" s="2" t="s">
        <v>12</v>
      </c>
      <c r="I35" s="72">
        <v>40015505</v>
      </c>
      <c r="J35" s="73" t="s">
        <v>248</v>
      </c>
      <c r="K35" s="3"/>
      <c r="L35" s="2" t="s">
        <v>49</v>
      </c>
      <c r="M35" s="15" t="s">
        <v>74</v>
      </c>
      <c r="N35" s="10">
        <v>44740</v>
      </c>
      <c r="O35" s="10">
        <v>44760</v>
      </c>
      <c r="P35" s="37">
        <v>14</v>
      </c>
      <c r="Q35" s="10">
        <v>44904</v>
      </c>
      <c r="R35" s="9">
        <v>44919</v>
      </c>
      <c r="S35" s="43">
        <v>44916</v>
      </c>
      <c r="T35" s="2">
        <v>15</v>
      </c>
      <c r="U35" s="9">
        <v>44925</v>
      </c>
      <c r="V35" s="2">
        <v>12</v>
      </c>
      <c r="W35" s="38">
        <v>8</v>
      </c>
      <c r="X35" s="13">
        <v>-747</v>
      </c>
      <c r="Y35" s="2"/>
      <c r="Z35" s="2" t="s">
        <v>162</v>
      </c>
      <c r="AA35" s="65"/>
      <c r="AB35" s="65" t="s">
        <v>31</v>
      </c>
    </row>
    <row r="36" spans="1:28" ht="28.5" hidden="1" x14ac:dyDescent="0.2">
      <c r="A36" s="2">
        <v>35</v>
      </c>
      <c r="B36" s="2">
        <v>29</v>
      </c>
      <c r="C36" s="36" t="s">
        <v>32</v>
      </c>
      <c r="D36" s="2" t="s">
        <v>31</v>
      </c>
      <c r="E36" s="2" t="s">
        <v>31</v>
      </c>
      <c r="F36" s="2" t="s">
        <v>175</v>
      </c>
      <c r="G36" s="2" t="s">
        <v>175</v>
      </c>
      <c r="H36" s="2" t="s">
        <v>250</v>
      </c>
      <c r="I36" s="7">
        <v>40043000</v>
      </c>
      <c r="J36" s="3" t="s">
        <v>249</v>
      </c>
      <c r="K36" s="3"/>
      <c r="L36" s="2" t="s">
        <v>49</v>
      </c>
      <c r="M36" s="15" t="s">
        <v>74</v>
      </c>
      <c r="N36" s="10">
        <v>44715</v>
      </c>
      <c r="O36" s="10">
        <v>44736</v>
      </c>
      <c r="P36" s="37">
        <v>14</v>
      </c>
      <c r="Q36" s="10">
        <v>44795</v>
      </c>
      <c r="R36" s="9">
        <v>44810</v>
      </c>
      <c r="S36" s="43">
        <v>44832</v>
      </c>
      <c r="T36" s="2">
        <v>15</v>
      </c>
      <c r="U36" s="9">
        <v>44816</v>
      </c>
      <c r="V36" s="2">
        <v>37</v>
      </c>
      <c r="W36" s="38">
        <v>25</v>
      </c>
      <c r="X36" s="13">
        <v>-856</v>
      </c>
      <c r="Y36" s="2"/>
      <c r="Z36" s="2" t="s">
        <v>156</v>
      </c>
      <c r="AA36" s="65"/>
      <c r="AB36" s="65" t="s">
        <v>31</v>
      </c>
    </row>
    <row r="37" spans="1:28" ht="28.5" hidden="1" x14ac:dyDescent="0.2">
      <c r="A37" s="2">
        <v>36</v>
      </c>
      <c r="B37" s="2">
        <v>29</v>
      </c>
      <c r="C37" s="36" t="s">
        <v>32</v>
      </c>
      <c r="D37" s="2" t="s">
        <v>31</v>
      </c>
      <c r="E37" s="2" t="s">
        <v>31</v>
      </c>
      <c r="F37" s="2" t="s">
        <v>45</v>
      </c>
      <c r="G37" s="2" t="s">
        <v>51</v>
      </c>
      <c r="H37" s="2" t="s">
        <v>250</v>
      </c>
      <c r="I37" s="7">
        <v>40042999</v>
      </c>
      <c r="J37" s="3" t="s">
        <v>273</v>
      </c>
      <c r="K37" s="3"/>
      <c r="L37" s="2" t="s">
        <v>49</v>
      </c>
      <c r="M37" s="15" t="s">
        <v>74</v>
      </c>
      <c r="N37" s="10">
        <v>44715</v>
      </c>
      <c r="O37" s="10">
        <v>44736</v>
      </c>
      <c r="P37" s="37">
        <v>14</v>
      </c>
      <c r="Q37" s="10">
        <v>44825</v>
      </c>
      <c r="R37" s="9">
        <v>44840</v>
      </c>
      <c r="S37" s="43">
        <v>44832</v>
      </c>
      <c r="T37" s="2">
        <v>15</v>
      </c>
      <c r="U37" s="9">
        <v>44847</v>
      </c>
      <c r="V37" s="2">
        <v>7</v>
      </c>
      <c r="W37" s="38">
        <v>5</v>
      </c>
      <c r="X37" s="13">
        <v>-825</v>
      </c>
      <c r="Y37" s="2"/>
      <c r="Z37" s="2" t="s">
        <v>156</v>
      </c>
      <c r="AA37" s="65"/>
      <c r="AB37" s="65" t="s">
        <v>31</v>
      </c>
    </row>
    <row r="38" spans="1:28" ht="28.5" hidden="1" x14ac:dyDescent="0.2">
      <c r="A38" s="2">
        <v>37</v>
      </c>
      <c r="B38" s="2">
        <v>29</v>
      </c>
      <c r="C38" s="36" t="s">
        <v>31</v>
      </c>
      <c r="D38" s="2" t="s">
        <v>31</v>
      </c>
      <c r="E38" s="2" t="s">
        <v>31</v>
      </c>
      <c r="F38" s="2" t="s">
        <v>42</v>
      </c>
      <c r="G38" s="2" t="s">
        <v>68</v>
      </c>
      <c r="H38" s="61" t="s">
        <v>21</v>
      </c>
      <c r="I38" s="44">
        <v>40042333</v>
      </c>
      <c r="J38" s="49" t="s">
        <v>251</v>
      </c>
      <c r="K38" s="3">
        <v>36146250</v>
      </c>
      <c r="L38" s="2" t="s">
        <v>49</v>
      </c>
      <c r="M38" s="15" t="s">
        <v>62</v>
      </c>
      <c r="N38" s="10">
        <v>44725</v>
      </c>
      <c r="O38" s="10">
        <v>44748</v>
      </c>
      <c r="P38" s="37">
        <v>15</v>
      </c>
      <c r="Q38" s="10">
        <v>44838</v>
      </c>
      <c r="R38" s="9">
        <v>44853</v>
      </c>
      <c r="S38" s="43">
        <v>44858</v>
      </c>
      <c r="T38" s="2">
        <v>15</v>
      </c>
      <c r="U38" s="9">
        <v>44860</v>
      </c>
      <c r="V38" s="2">
        <v>20</v>
      </c>
      <c r="W38" s="38">
        <v>13</v>
      </c>
      <c r="X38" s="13">
        <v>-812</v>
      </c>
      <c r="Y38" s="2" t="s">
        <v>306</v>
      </c>
      <c r="Z38" s="2" t="s">
        <v>167</v>
      </c>
      <c r="AA38" s="65">
        <v>4851</v>
      </c>
      <c r="AB38" s="65" t="s">
        <v>31</v>
      </c>
    </row>
    <row r="39" spans="1:28" ht="48" hidden="1" customHeight="1" x14ac:dyDescent="0.2">
      <c r="A39" s="2">
        <v>38</v>
      </c>
      <c r="B39" s="2">
        <v>31</v>
      </c>
      <c r="C39" s="36" t="s">
        <v>32</v>
      </c>
      <c r="D39" s="2" t="s">
        <v>32</v>
      </c>
      <c r="E39" s="2" t="s">
        <v>32</v>
      </c>
      <c r="F39" s="2" t="s">
        <v>47</v>
      </c>
      <c r="G39" s="2" t="s">
        <v>56</v>
      </c>
      <c r="H39" s="2" t="s">
        <v>13</v>
      </c>
      <c r="I39" s="7">
        <v>40014315</v>
      </c>
      <c r="J39" s="3" t="s">
        <v>252</v>
      </c>
      <c r="K39" s="3">
        <v>831140000</v>
      </c>
      <c r="L39" s="2" t="s">
        <v>49</v>
      </c>
      <c r="M39" s="17" t="s">
        <v>62</v>
      </c>
      <c r="N39" s="10"/>
      <c r="O39" s="10"/>
      <c r="P39" s="37" t="s">
        <v>686</v>
      </c>
      <c r="Q39" s="10">
        <v>44806</v>
      </c>
      <c r="R39" s="9">
        <v>44816</v>
      </c>
      <c r="S39" s="43">
        <v>44819</v>
      </c>
      <c r="T39" s="2">
        <v>10</v>
      </c>
      <c r="U39" s="9">
        <v>44824</v>
      </c>
      <c r="V39" s="2">
        <v>13</v>
      </c>
      <c r="W39" s="38">
        <v>9</v>
      </c>
      <c r="X39" s="13">
        <v>-848</v>
      </c>
      <c r="Y39" s="2" t="s">
        <v>182</v>
      </c>
      <c r="Z39" s="2" t="s">
        <v>154</v>
      </c>
      <c r="AA39" s="65"/>
      <c r="AB39" s="65" t="s">
        <v>32</v>
      </c>
    </row>
    <row r="40" spans="1:28" ht="28.5" hidden="1" x14ac:dyDescent="0.2">
      <c r="A40" s="2">
        <v>39</v>
      </c>
      <c r="B40" s="2">
        <v>29</v>
      </c>
      <c r="C40" s="36" t="s">
        <v>31</v>
      </c>
      <c r="D40" s="2" t="s">
        <v>31</v>
      </c>
      <c r="E40" s="2" t="s">
        <v>32</v>
      </c>
      <c r="F40" s="2" t="s">
        <v>45</v>
      </c>
      <c r="G40" s="2" t="s">
        <v>69</v>
      </c>
      <c r="H40" s="2" t="s">
        <v>91</v>
      </c>
      <c r="I40" s="7">
        <v>40008014</v>
      </c>
      <c r="J40" s="3" t="s">
        <v>101</v>
      </c>
      <c r="K40" s="3">
        <v>142765000</v>
      </c>
      <c r="L40" s="2" t="s">
        <v>49</v>
      </c>
      <c r="M40" s="15" t="s">
        <v>62</v>
      </c>
      <c r="N40" s="10">
        <v>44735</v>
      </c>
      <c r="O40" s="10">
        <v>44756</v>
      </c>
      <c r="P40" s="37">
        <v>14</v>
      </c>
      <c r="Q40" s="10">
        <v>44818</v>
      </c>
      <c r="R40" s="9">
        <v>44833</v>
      </c>
      <c r="S40" s="43">
        <v>44841</v>
      </c>
      <c r="T40" s="2">
        <v>15</v>
      </c>
      <c r="U40" s="9">
        <v>44841</v>
      </c>
      <c r="V40" s="2">
        <v>23</v>
      </c>
      <c r="W40" s="38">
        <v>15</v>
      </c>
      <c r="X40" s="13">
        <v>-831</v>
      </c>
      <c r="Y40" s="2" t="s">
        <v>296</v>
      </c>
      <c r="Z40" s="2" t="s">
        <v>166</v>
      </c>
      <c r="AA40" s="65">
        <v>124142</v>
      </c>
      <c r="AB40" s="65" t="s">
        <v>31</v>
      </c>
    </row>
    <row r="41" spans="1:28" ht="28.5" hidden="1" x14ac:dyDescent="0.2">
      <c r="A41" s="2">
        <v>40</v>
      </c>
      <c r="B41" s="2">
        <v>31</v>
      </c>
      <c r="C41" s="36" t="s">
        <v>32</v>
      </c>
      <c r="D41" s="2" t="s">
        <v>31</v>
      </c>
      <c r="E41" s="2" t="s">
        <v>31</v>
      </c>
      <c r="F41" s="2" t="s">
        <v>47</v>
      </c>
      <c r="G41" s="2" t="s">
        <v>253</v>
      </c>
      <c r="H41" s="2" t="s">
        <v>8</v>
      </c>
      <c r="I41" s="7">
        <v>40040024</v>
      </c>
      <c r="J41" s="3" t="s">
        <v>286</v>
      </c>
      <c r="K41" s="3">
        <v>545896000</v>
      </c>
      <c r="L41" s="2" t="s">
        <v>49</v>
      </c>
      <c r="M41" s="15" t="s">
        <v>62</v>
      </c>
      <c r="N41" s="10">
        <v>44746</v>
      </c>
      <c r="O41" s="10">
        <v>44764</v>
      </c>
      <c r="P41" s="37">
        <v>14</v>
      </c>
      <c r="Q41" s="10">
        <v>44798</v>
      </c>
      <c r="R41" s="9">
        <v>44813</v>
      </c>
      <c r="S41" s="43">
        <v>44819</v>
      </c>
      <c r="T41" s="2">
        <v>15</v>
      </c>
      <c r="U41" s="9">
        <v>44819</v>
      </c>
      <c r="V41" s="2">
        <v>21</v>
      </c>
      <c r="W41" s="38">
        <v>15</v>
      </c>
      <c r="X41" s="13">
        <v>-853</v>
      </c>
      <c r="Y41" s="2" t="s">
        <v>287</v>
      </c>
      <c r="Z41" s="2" t="s">
        <v>154</v>
      </c>
      <c r="AA41" s="65">
        <v>940</v>
      </c>
      <c r="AB41" s="65" t="s">
        <v>31</v>
      </c>
    </row>
    <row r="42" spans="1:28" ht="28.5" hidden="1" x14ac:dyDescent="0.2">
      <c r="A42" s="2">
        <v>41</v>
      </c>
      <c r="B42" s="2">
        <v>29</v>
      </c>
      <c r="C42" s="36" t="s">
        <v>32</v>
      </c>
      <c r="D42" s="2" t="s">
        <v>31</v>
      </c>
      <c r="E42" s="2" t="s">
        <v>31</v>
      </c>
      <c r="F42" s="2" t="s">
        <v>47</v>
      </c>
      <c r="G42" s="2" t="s">
        <v>50</v>
      </c>
      <c r="H42" s="2" t="s">
        <v>9</v>
      </c>
      <c r="I42" s="33">
        <v>40035555</v>
      </c>
      <c r="J42" s="67" t="s">
        <v>208</v>
      </c>
      <c r="K42" s="3">
        <v>361722417</v>
      </c>
      <c r="L42" s="2" t="s">
        <v>49</v>
      </c>
      <c r="M42" s="15" t="s">
        <v>62</v>
      </c>
      <c r="N42" s="62">
        <v>44827</v>
      </c>
      <c r="O42" s="62">
        <v>44848</v>
      </c>
      <c r="P42" s="63">
        <v>14</v>
      </c>
      <c r="Q42" s="10">
        <v>44860</v>
      </c>
      <c r="R42" s="9">
        <v>44875</v>
      </c>
      <c r="S42" s="43">
        <v>44862</v>
      </c>
      <c r="T42" s="2">
        <v>15</v>
      </c>
      <c r="U42" s="9">
        <v>44883</v>
      </c>
      <c r="V42" s="2">
        <v>2</v>
      </c>
      <c r="W42" s="38">
        <v>2</v>
      </c>
      <c r="X42" s="13">
        <v>-789</v>
      </c>
      <c r="Y42" s="2" t="s">
        <v>312</v>
      </c>
      <c r="Z42" s="12" t="s">
        <v>169</v>
      </c>
      <c r="AA42" s="65">
        <v>37819</v>
      </c>
      <c r="AB42" s="65" t="s">
        <v>31</v>
      </c>
    </row>
    <row r="43" spans="1:28" ht="28.5" hidden="1" x14ac:dyDescent="0.2">
      <c r="A43" s="2">
        <v>42</v>
      </c>
      <c r="B43" s="2">
        <v>22</v>
      </c>
      <c r="C43" s="36" t="s">
        <v>32</v>
      </c>
      <c r="D43" s="2" t="s">
        <v>31</v>
      </c>
      <c r="E43" s="2" t="s">
        <v>32</v>
      </c>
      <c r="F43" s="2" t="s">
        <v>42</v>
      </c>
      <c r="G43" s="2" t="s">
        <v>69</v>
      </c>
      <c r="H43" s="2" t="s">
        <v>191</v>
      </c>
      <c r="I43" s="7">
        <v>40032797</v>
      </c>
      <c r="J43" s="3" t="s">
        <v>255</v>
      </c>
      <c r="K43" s="3">
        <v>234834000</v>
      </c>
      <c r="L43" s="2" t="s">
        <v>49</v>
      </c>
      <c r="M43" s="17" t="s">
        <v>62</v>
      </c>
      <c r="N43" s="10"/>
      <c r="O43" s="10"/>
      <c r="P43" s="37" t="s">
        <v>686</v>
      </c>
      <c r="Q43" s="10">
        <v>44816</v>
      </c>
      <c r="R43" s="9">
        <v>44826</v>
      </c>
      <c r="S43" s="43">
        <v>44819</v>
      </c>
      <c r="T43" s="2">
        <v>10</v>
      </c>
      <c r="U43" s="9">
        <v>44832</v>
      </c>
      <c r="V43" s="2">
        <v>3</v>
      </c>
      <c r="W43" s="38">
        <v>3</v>
      </c>
      <c r="X43" s="13">
        <v>-840</v>
      </c>
      <c r="Y43" s="2" t="s">
        <v>182</v>
      </c>
      <c r="Z43" s="12" t="s">
        <v>168</v>
      </c>
      <c r="AA43" s="65">
        <v>250000</v>
      </c>
      <c r="AB43" s="65" t="s">
        <v>32</v>
      </c>
    </row>
    <row r="44" spans="1:28" ht="28.5" hidden="1" x14ac:dyDescent="0.2">
      <c r="A44" s="2">
        <v>43</v>
      </c>
      <c r="B44" s="2">
        <v>31</v>
      </c>
      <c r="C44" s="36" t="s">
        <v>32</v>
      </c>
      <c r="D44" s="2" t="s">
        <v>31</v>
      </c>
      <c r="E44" s="2" t="s">
        <v>31</v>
      </c>
      <c r="F44" s="2" t="s">
        <v>45</v>
      </c>
      <c r="G44" s="2" t="s">
        <v>61</v>
      </c>
      <c r="H44" s="2" t="s">
        <v>15</v>
      </c>
      <c r="I44" s="7">
        <v>40042379</v>
      </c>
      <c r="J44" s="3" t="s">
        <v>257</v>
      </c>
      <c r="K44" s="3">
        <v>411700000</v>
      </c>
      <c r="L44" s="2" t="s">
        <v>49</v>
      </c>
      <c r="M44" s="15" t="s">
        <v>62</v>
      </c>
      <c r="N44" s="10">
        <v>44763</v>
      </c>
      <c r="O44" s="10">
        <v>44783</v>
      </c>
      <c r="P44" s="37">
        <v>14</v>
      </c>
      <c r="Q44" s="10">
        <v>44839</v>
      </c>
      <c r="R44" s="9">
        <v>44854</v>
      </c>
      <c r="S44" s="43">
        <v>44858</v>
      </c>
      <c r="T44" s="2">
        <v>15</v>
      </c>
      <c r="U44" s="9">
        <v>44861</v>
      </c>
      <c r="V44" s="2">
        <v>19</v>
      </c>
      <c r="W44" s="38">
        <v>12</v>
      </c>
      <c r="X44" s="13">
        <v>-811</v>
      </c>
      <c r="Y44" s="2" t="s">
        <v>305</v>
      </c>
      <c r="Z44" s="12" t="s">
        <v>161</v>
      </c>
      <c r="AA44" s="65">
        <v>3997</v>
      </c>
      <c r="AB44" s="65" t="s">
        <v>31</v>
      </c>
    </row>
    <row r="45" spans="1:28" ht="28.5" hidden="1" x14ac:dyDescent="0.2">
      <c r="A45" s="2">
        <v>44</v>
      </c>
      <c r="B45" s="2">
        <v>31</v>
      </c>
      <c r="C45" s="36" t="s">
        <v>32</v>
      </c>
      <c r="D45" s="2" t="s">
        <v>31</v>
      </c>
      <c r="E45" s="2" t="s">
        <v>31</v>
      </c>
      <c r="F45" s="2" t="s">
        <v>47</v>
      </c>
      <c r="G45" s="2" t="s">
        <v>0</v>
      </c>
      <c r="H45" s="2" t="s">
        <v>18</v>
      </c>
      <c r="I45" s="7">
        <v>40040080</v>
      </c>
      <c r="J45" s="3" t="s">
        <v>258</v>
      </c>
      <c r="K45" s="3">
        <v>786710000</v>
      </c>
      <c r="L45" s="2" t="s">
        <v>49</v>
      </c>
      <c r="M45" s="15" t="s">
        <v>62</v>
      </c>
      <c r="N45" s="10">
        <v>44768</v>
      </c>
      <c r="O45" s="10">
        <v>44790</v>
      </c>
      <c r="P45" s="37">
        <v>15</v>
      </c>
      <c r="Q45" s="10">
        <v>44848</v>
      </c>
      <c r="R45" s="9">
        <v>44863</v>
      </c>
      <c r="S45" s="43">
        <v>44854</v>
      </c>
      <c r="T45" s="2">
        <v>15</v>
      </c>
      <c r="U45" s="9">
        <v>44873</v>
      </c>
      <c r="V45" s="2">
        <v>6</v>
      </c>
      <c r="W45" s="38">
        <v>4</v>
      </c>
      <c r="X45" s="13">
        <v>-799</v>
      </c>
      <c r="Y45" s="2" t="s">
        <v>304</v>
      </c>
      <c r="Z45" s="2" t="s">
        <v>154</v>
      </c>
      <c r="AA45" s="65">
        <v>1408</v>
      </c>
      <c r="AB45" s="65" t="s">
        <v>31</v>
      </c>
    </row>
    <row r="46" spans="1:28" ht="28.5" hidden="1" x14ac:dyDescent="0.2">
      <c r="A46" s="2">
        <v>45</v>
      </c>
      <c r="B46" s="2">
        <v>29</v>
      </c>
      <c r="C46" s="36" t="s">
        <v>31</v>
      </c>
      <c r="D46" s="2" t="s">
        <v>32</v>
      </c>
      <c r="E46" s="2" t="s">
        <v>32</v>
      </c>
      <c r="F46" s="2" t="s">
        <v>42</v>
      </c>
      <c r="G46" s="2" t="s">
        <v>71</v>
      </c>
      <c r="H46" s="2" t="s">
        <v>20</v>
      </c>
      <c r="I46" s="7">
        <v>40009037</v>
      </c>
      <c r="J46" s="3" t="s">
        <v>259</v>
      </c>
      <c r="K46" s="3">
        <v>682206318</v>
      </c>
      <c r="L46" s="2" t="s">
        <v>49</v>
      </c>
      <c r="M46" s="17" t="s">
        <v>62</v>
      </c>
      <c r="N46" s="10"/>
      <c r="O46" s="10"/>
      <c r="P46" s="37" t="s">
        <v>686</v>
      </c>
      <c r="Q46" s="10">
        <v>44789</v>
      </c>
      <c r="R46" s="9">
        <v>44799</v>
      </c>
      <c r="S46" s="43">
        <v>44795</v>
      </c>
      <c r="T46" s="2">
        <v>10</v>
      </c>
      <c r="U46" s="9">
        <v>44803</v>
      </c>
      <c r="V46" s="2">
        <v>6</v>
      </c>
      <c r="W46" s="38">
        <v>4</v>
      </c>
      <c r="X46" s="13">
        <v>-869</v>
      </c>
      <c r="Y46" s="2" t="s">
        <v>198</v>
      </c>
      <c r="Z46" s="12" t="s">
        <v>157</v>
      </c>
      <c r="AA46" s="65">
        <v>5870</v>
      </c>
      <c r="AB46" s="65" t="s">
        <v>32</v>
      </c>
    </row>
    <row r="47" spans="1:28" ht="28.5" hidden="1" x14ac:dyDescent="0.2">
      <c r="A47" s="2">
        <v>46</v>
      </c>
      <c r="B47" s="2">
        <v>31</v>
      </c>
      <c r="C47" s="36" t="s">
        <v>32</v>
      </c>
      <c r="D47" s="2" t="s">
        <v>31</v>
      </c>
      <c r="E47" s="2" t="s">
        <v>31</v>
      </c>
      <c r="F47" s="2" t="s">
        <v>42</v>
      </c>
      <c r="G47" s="2" t="s">
        <v>42</v>
      </c>
      <c r="H47" s="2" t="s">
        <v>17</v>
      </c>
      <c r="I47" s="68">
        <v>40039788</v>
      </c>
      <c r="J47" s="16" t="s">
        <v>260</v>
      </c>
      <c r="K47" s="3">
        <v>569638000</v>
      </c>
      <c r="L47" s="2" t="s">
        <v>49</v>
      </c>
      <c r="M47" s="15" t="s">
        <v>62</v>
      </c>
      <c r="N47" s="10">
        <v>44777</v>
      </c>
      <c r="O47" s="10">
        <v>44799</v>
      </c>
      <c r="P47" s="37">
        <v>15</v>
      </c>
      <c r="Q47" s="10">
        <v>44861</v>
      </c>
      <c r="R47" s="9">
        <v>44876</v>
      </c>
      <c r="S47" s="43">
        <v>44862</v>
      </c>
      <c r="T47" s="2">
        <v>15</v>
      </c>
      <c r="U47" s="9">
        <v>44886</v>
      </c>
      <c r="V47" s="2">
        <v>1</v>
      </c>
      <c r="W47" s="38">
        <v>1</v>
      </c>
      <c r="X47" s="13">
        <v>-786</v>
      </c>
      <c r="Y47" s="2" t="s">
        <v>310</v>
      </c>
      <c r="Z47" s="12" t="s">
        <v>155</v>
      </c>
      <c r="AA47" s="65">
        <v>49870</v>
      </c>
      <c r="AB47" s="65" t="s">
        <v>31</v>
      </c>
    </row>
    <row r="48" spans="1:28" ht="28.5" hidden="1" x14ac:dyDescent="0.2">
      <c r="A48" s="2">
        <v>47</v>
      </c>
      <c r="B48" s="2">
        <v>31</v>
      </c>
      <c r="C48" s="36" t="s">
        <v>31</v>
      </c>
      <c r="D48" s="2" t="s">
        <v>31</v>
      </c>
      <c r="E48" s="2" t="s">
        <v>31</v>
      </c>
      <c r="F48" s="2" t="s">
        <v>47</v>
      </c>
      <c r="G48" s="2" t="s">
        <v>0</v>
      </c>
      <c r="H48" s="2" t="s">
        <v>18</v>
      </c>
      <c r="I48" s="7">
        <v>40010316</v>
      </c>
      <c r="J48" s="3" t="s">
        <v>261</v>
      </c>
      <c r="K48" s="3"/>
      <c r="L48" s="2" t="s">
        <v>49</v>
      </c>
      <c r="M48" s="15" t="s">
        <v>74</v>
      </c>
      <c r="N48" s="10">
        <v>44776</v>
      </c>
      <c r="O48" s="10">
        <v>44798</v>
      </c>
      <c r="P48" s="37">
        <v>15</v>
      </c>
      <c r="Q48" s="10">
        <v>44847</v>
      </c>
      <c r="R48" s="9">
        <v>44862</v>
      </c>
      <c r="S48" s="43">
        <v>44872</v>
      </c>
      <c r="T48" s="2">
        <v>15</v>
      </c>
      <c r="U48" s="9">
        <v>44872</v>
      </c>
      <c r="V48" s="2">
        <v>25</v>
      </c>
      <c r="W48" s="38">
        <v>15</v>
      </c>
      <c r="X48" s="13">
        <v>-800</v>
      </c>
      <c r="Y48" s="2"/>
      <c r="Z48" s="48" t="s">
        <v>314</v>
      </c>
      <c r="AA48" s="65"/>
      <c r="AB48" s="65" t="s">
        <v>31</v>
      </c>
    </row>
    <row r="49" spans="1:28" ht="28.5" x14ac:dyDescent="0.2">
      <c r="A49" s="2">
        <v>48</v>
      </c>
      <c r="B49" s="2">
        <v>29</v>
      </c>
      <c r="C49" s="36" t="s">
        <v>32</v>
      </c>
      <c r="D49" s="2" t="s">
        <v>31</v>
      </c>
      <c r="E49" s="2" t="s">
        <v>31</v>
      </c>
      <c r="F49" s="2" t="s">
        <v>47</v>
      </c>
      <c r="G49" s="2" t="s">
        <v>89</v>
      </c>
      <c r="H49" s="2" t="s">
        <v>24</v>
      </c>
      <c r="I49" s="68">
        <v>40043012</v>
      </c>
      <c r="J49" s="16" t="s">
        <v>262</v>
      </c>
      <c r="K49" s="3">
        <v>285525234</v>
      </c>
      <c r="L49" s="2" t="s">
        <v>49</v>
      </c>
      <c r="M49" s="15" t="s">
        <v>62</v>
      </c>
      <c r="N49" s="10">
        <v>44774</v>
      </c>
      <c r="O49" s="10">
        <v>44795</v>
      </c>
      <c r="P49" s="37">
        <v>14</v>
      </c>
      <c r="Q49" s="10">
        <v>44861</v>
      </c>
      <c r="R49" s="9">
        <v>44876</v>
      </c>
      <c r="S49" s="43">
        <v>44862</v>
      </c>
      <c r="T49" s="2">
        <v>15</v>
      </c>
      <c r="U49" s="9">
        <v>44886</v>
      </c>
      <c r="V49" s="2">
        <v>1</v>
      </c>
      <c r="W49" s="38">
        <v>1</v>
      </c>
      <c r="X49" s="13">
        <v>-786</v>
      </c>
      <c r="Y49" s="2" t="s">
        <v>309</v>
      </c>
      <c r="Z49" s="2" t="s">
        <v>162</v>
      </c>
      <c r="AA49" s="65">
        <v>263</v>
      </c>
      <c r="AB49" s="65" t="s">
        <v>31</v>
      </c>
    </row>
    <row r="50" spans="1:28" ht="28.5" hidden="1" x14ac:dyDescent="0.2">
      <c r="A50" s="2">
        <v>49</v>
      </c>
      <c r="B50" s="2">
        <v>29</v>
      </c>
      <c r="C50" s="36" t="s">
        <v>32</v>
      </c>
      <c r="D50" s="2" t="s">
        <v>31</v>
      </c>
      <c r="E50" s="2" t="s">
        <v>31</v>
      </c>
      <c r="F50" s="2" t="s">
        <v>47</v>
      </c>
      <c r="G50" s="2" t="s">
        <v>56</v>
      </c>
      <c r="H50" s="2" t="s">
        <v>13</v>
      </c>
      <c r="I50" s="7">
        <v>40043567</v>
      </c>
      <c r="J50" s="3" t="s">
        <v>263</v>
      </c>
      <c r="K50" s="3"/>
      <c r="L50" s="2" t="s">
        <v>49</v>
      </c>
      <c r="M50" s="15" t="s">
        <v>74</v>
      </c>
      <c r="N50" s="10">
        <v>44777</v>
      </c>
      <c r="O50" s="10">
        <v>44798</v>
      </c>
      <c r="P50" s="37">
        <v>14</v>
      </c>
      <c r="Q50" s="10">
        <v>44777</v>
      </c>
      <c r="R50" s="9">
        <v>44792</v>
      </c>
      <c r="S50" s="43">
        <v>44798</v>
      </c>
      <c r="T50" s="2">
        <v>15</v>
      </c>
      <c r="U50" s="9">
        <v>44799</v>
      </c>
      <c r="V50" s="2">
        <v>21</v>
      </c>
      <c r="W50" s="38">
        <v>14</v>
      </c>
      <c r="X50" s="13">
        <v>-873</v>
      </c>
      <c r="Y50" s="2"/>
      <c r="Z50" s="12" t="s">
        <v>157</v>
      </c>
      <c r="AA50" s="65"/>
      <c r="AB50" s="65" t="s">
        <v>31</v>
      </c>
    </row>
    <row r="51" spans="1:28" ht="28.5" hidden="1" x14ac:dyDescent="0.2">
      <c r="A51" s="2">
        <v>50</v>
      </c>
      <c r="B51" s="2">
        <v>29</v>
      </c>
      <c r="C51" s="36" t="s">
        <v>31</v>
      </c>
      <c r="D51" s="2" t="s">
        <v>31</v>
      </c>
      <c r="E51" s="2" t="s">
        <v>31</v>
      </c>
      <c r="F51" s="2" t="s">
        <v>47</v>
      </c>
      <c r="G51" s="2" t="s">
        <v>0</v>
      </c>
      <c r="H51" s="2" t="s">
        <v>18</v>
      </c>
      <c r="I51" s="7">
        <v>40044681</v>
      </c>
      <c r="J51" s="3" t="s">
        <v>264</v>
      </c>
      <c r="K51" s="3"/>
      <c r="L51" s="2" t="s">
        <v>49</v>
      </c>
      <c r="M51" s="15" t="s">
        <v>74</v>
      </c>
      <c r="N51" s="10">
        <v>44781</v>
      </c>
      <c r="O51" s="10">
        <v>44802</v>
      </c>
      <c r="P51" s="37">
        <v>14</v>
      </c>
      <c r="Q51" s="10">
        <v>44883</v>
      </c>
      <c r="R51" s="9">
        <v>44898</v>
      </c>
      <c r="S51" s="43">
        <v>44907</v>
      </c>
      <c r="T51" s="2">
        <v>15</v>
      </c>
      <c r="U51" s="9">
        <v>44907</v>
      </c>
      <c r="V51" s="2">
        <v>24</v>
      </c>
      <c r="W51" s="38">
        <v>15</v>
      </c>
      <c r="X51" s="13">
        <v>-765</v>
      </c>
      <c r="Y51" s="2"/>
      <c r="Z51" s="48" t="s">
        <v>159</v>
      </c>
      <c r="AA51" s="65"/>
      <c r="AB51" s="65" t="s">
        <v>31</v>
      </c>
    </row>
    <row r="52" spans="1:28" ht="28.5" hidden="1" x14ac:dyDescent="0.2">
      <c r="A52" s="2">
        <v>51</v>
      </c>
      <c r="B52" s="2">
        <v>29</v>
      </c>
      <c r="C52" s="36" t="s">
        <v>32</v>
      </c>
      <c r="D52" s="2" t="s">
        <v>31</v>
      </c>
      <c r="E52" s="2" t="s">
        <v>31</v>
      </c>
      <c r="F52" s="2" t="s">
        <v>47</v>
      </c>
      <c r="G52" s="2" t="s">
        <v>64</v>
      </c>
      <c r="H52" s="2" t="s">
        <v>92</v>
      </c>
      <c r="I52" s="33">
        <v>40042473</v>
      </c>
      <c r="J52" s="16" t="s">
        <v>266</v>
      </c>
      <c r="K52" s="3">
        <v>783519641</v>
      </c>
      <c r="L52" s="2" t="s">
        <v>49</v>
      </c>
      <c r="M52" s="15" t="s">
        <v>62</v>
      </c>
      <c r="N52" s="10">
        <v>44790</v>
      </c>
      <c r="O52" s="10">
        <v>44809</v>
      </c>
      <c r="P52" s="37">
        <v>13</v>
      </c>
      <c r="Q52" s="10">
        <v>44854</v>
      </c>
      <c r="R52" s="9">
        <v>44869</v>
      </c>
      <c r="S52" s="43">
        <v>44862</v>
      </c>
      <c r="T52" s="2">
        <v>15</v>
      </c>
      <c r="U52" s="9">
        <v>44879</v>
      </c>
      <c r="V52" s="2">
        <v>8</v>
      </c>
      <c r="W52" s="38">
        <v>6</v>
      </c>
      <c r="X52" s="13">
        <v>-793</v>
      </c>
      <c r="Y52" s="2" t="s">
        <v>311</v>
      </c>
      <c r="Z52" s="12" t="s">
        <v>157</v>
      </c>
      <c r="AA52" s="65">
        <v>5657</v>
      </c>
      <c r="AB52" s="65" t="s">
        <v>31</v>
      </c>
    </row>
    <row r="53" spans="1:28" ht="28.5" hidden="1" x14ac:dyDescent="0.2">
      <c r="A53" s="2">
        <v>52</v>
      </c>
      <c r="B53" s="2">
        <v>22</v>
      </c>
      <c r="C53" s="36" t="s">
        <v>32</v>
      </c>
      <c r="D53" s="2" t="s">
        <v>31</v>
      </c>
      <c r="E53" s="2" t="s">
        <v>31</v>
      </c>
      <c r="F53" s="2" t="s">
        <v>175</v>
      </c>
      <c r="G53" s="2" t="s">
        <v>175</v>
      </c>
      <c r="H53" s="2" t="s">
        <v>269</v>
      </c>
      <c r="I53" s="7">
        <v>40037074</v>
      </c>
      <c r="J53" s="3" t="s">
        <v>282</v>
      </c>
      <c r="K53" s="3">
        <v>235000000</v>
      </c>
      <c r="L53" s="2" t="s">
        <v>49</v>
      </c>
      <c r="M53" s="15" t="s">
        <v>62</v>
      </c>
      <c r="N53" s="10">
        <v>44792</v>
      </c>
      <c r="O53" s="10">
        <v>44798</v>
      </c>
      <c r="P53" s="37">
        <v>4</v>
      </c>
      <c r="Q53" s="10">
        <v>44813</v>
      </c>
      <c r="R53" s="9">
        <v>44828</v>
      </c>
      <c r="S53" s="43">
        <v>44816</v>
      </c>
      <c r="T53" s="2">
        <v>15</v>
      </c>
      <c r="U53" s="9">
        <v>44838</v>
      </c>
      <c r="V53" s="2">
        <v>3</v>
      </c>
      <c r="W53" s="38">
        <v>1</v>
      </c>
      <c r="X53" s="13">
        <v>-834</v>
      </c>
      <c r="Y53" s="2" t="s">
        <v>283</v>
      </c>
      <c r="Z53" s="12" t="s">
        <v>168</v>
      </c>
      <c r="AA53" s="65"/>
      <c r="AB53" s="65" t="s">
        <v>31</v>
      </c>
    </row>
    <row r="54" spans="1:28" ht="28.5" hidden="1" x14ac:dyDescent="0.2">
      <c r="A54" s="2">
        <v>53</v>
      </c>
      <c r="B54" s="2">
        <v>31</v>
      </c>
      <c r="C54" s="36" t="s">
        <v>32</v>
      </c>
      <c r="D54" s="2" t="s">
        <v>31</v>
      </c>
      <c r="E54" s="2" t="s">
        <v>31</v>
      </c>
      <c r="F54" s="2" t="s">
        <v>45</v>
      </c>
      <c r="G54" s="2" t="s">
        <v>46</v>
      </c>
      <c r="H54" s="2" t="s">
        <v>23</v>
      </c>
      <c r="I54" s="7">
        <v>40034637</v>
      </c>
      <c r="J54" s="3" t="s">
        <v>284</v>
      </c>
      <c r="K54" s="3">
        <v>443595000</v>
      </c>
      <c r="L54" s="2" t="s">
        <v>49</v>
      </c>
      <c r="M54" s="15" t="s">
        <v>62</v>
      </c>
      <c r="N54" s="10">
        <v>44798</v>
      </c>
      <c r="O54" s="10">
        <v>44818</v>
      </c>
      <c r="P54" s="37">
        <v>14</v>
      </c>
      <c r="Q54" s="10">
        <v>44832</v>
      </c>
      <c r="R54" s="9">
        <v>44847</v>
      </c>
      <c r="S54" s="43">
        <v>44852</v>
      </c>
      <c r="T54" s="2">
        <v>15</v>
      </c>
      <c r="U54" s="9">
        <v>44854</v>
      </c>
      <c r="V54" s="2">
        <v>20</v>
      </c>
      <c r="W54" s="38">
        <v>13</v>
      </c>
      <c r="X54" s="13">
        <v>-818</v>
      </c>
      <c r="Y54" s="2" t="s">
        <v>303</v>
      </c>
      <c r="Z54" s="12" t="s">
        <v>154</v>
      </c>
      <c r="AA54" s="65">
        <v>365</v>
      </c>
      <c r="AB54" s="65" t="s">
        <v>31</v>
      </c>
    </row>
    <row r="55" spans="1:28" ht="48" hidden="1" customHeight="1" x14ac:dyDescent="0.2">
      <c r="A55" s="2">
        <v>54</v>
      </c>
      <c r="B55" s="2">
        <v>29</v>
      </c>
      <c r="C55" s="36" t="s">
        <v>32</v>
      </c>
      <c r="D55" s="2" t="s">
        <v>32</v>
      </c>
      <c r="E55" s="2" t="s">
        <v>32</v>
      </c>
      <c r="F55" s="2" t="s">
        <v>175</v>
      </c>
      <c r="G55" s="2" t="s">
        <v>175</v>
      </c>
      <c r="H55" s="2" t="s">
        <v>91</v>
      </c>
      <c r="I55" s="7">
        <v>40019624</v>
      </c>
      <c r="J55" s="3" t="s">
        <v>170</v>
      </c>
      <c r="K55" s="3">
        <v>284795560</v>
      </c>
      <c r="L55" s="2" t="s">
        <v>49</v>
      </c>
      <c r="M55" s="15" t="s">
        <v>62</v>
      </c>
      <c r="N55" s="10">
        <v>44795</v>
      </c>
      <c r="O55" s="10">
        <v>44813</v>
      </c>
      <c r="P55" s="37">
        <v>14</v>
      </c>
      <c r="Q55" s="10">
        <v>44830</v>
      </c>
      <c r="R55" s="9">
        <v>44845</v>
      </c>
      <c r="S55" s="43">
        <v>44851</v>
      </c>
      <c r="T55" s="2">
        <v>15</v>
      </c>
      <c r="U55" s="9">
        <v>44852</v>
      </c>
      <c r="V55" s="2">
        <v>21</v>
      </c>
      <c r="W55" s="38">
        <v>14</v>
      </c>
      <c r="X55" s="13">
        <v>-820</v>
      </c>
      <c r="Y55" s="2" t="s">
        <v>302</v>
      </c>
      <c r="Z55" s="2" t="s">
        <v>166</v>
      </c>
      <c r="AA55" s="65">
        <v>479132</v>
      </c>
      <c r="AB55" s="65" t="s">
        <v>31</v>
      </c>
    </row>
    <row r="56" spans="1:28" s="60" customFormat="1" ht="28.5" hidden="1" x14ac:dyDescent="0.2">
      <c r="A56" s="2">
        <v>55</v>
      </c>
      <c r="B56" s="3">
        <v>29</v>
      </c>
      <c r="C56" s="36" t="s">
        <v>32</v>
      </c>
      <c r="D56" s="2" t="s">
        <v>31</v>
      </c>
      <c r="E56" s="2" t="s">
        <v>31</v>
      </c>
      <c r="F56" s="3" t="s">
        <v>42</v>
      </c>
      <c r="G56" s="3" t="s">
        <v>65</v>
      </c>
      <c r="H56" s="3" t="s">
        <v>29</v>
      </c>
      <c r="I56" s="7">
        <v>40041628</v>
      </c>
      <c r="J56" s="3" t="s">
        <v>270</v>
      </c>
      <c r="K56" s="3"/>
      <c r="L56" s="2" t="s">
        <v>49</v>
      </c>
      <c r="M56" s="15" t="s">
        <v>74</v>
      </c>
      <c r="N56" s="10">
        <v>44799</v>
      </c>
      <c r="O56" s="10">
        <v>44819</v>
      </c>
      <c r="P56" s="37">
        <v>14</v>
      </c>
      <c r="Q56" s="10">
        <v>44799</v>
      </c>
      <c r="R56" s="9">
        <v>44814</v>
      </c>
      <c r="S56" s="43">
        <v>44819</v>
      </c>
      <c r="T56" s="2">
        <v>15</v>
      </c>
      <c r="U56" s="9">
        <v>44824</v>
      </c>
      <c r="V56" s="2">
        <v>20</v>
      </c>
      <c r="W56" s="38">
        <v>14</v>
      </c>
      <c r="X56" s="13">
        <v>-848</v>
      </c>
      <c r="Y56" s="3"/>
      <c r="Z56" s="12" t="s">
        <v>164</v>
      </c>
      <c r="AA56" s="65"/>
      <c r="AB56" s="65" t="s">
        <v>31</v>
      </c>
    </row>
    <row r="57" spans="1:28" s="60" customFormat="1" ht="28.5" hidden="1" x14ac:dyDescent="0.2">
      <c r="A57" s="2">
        <v>56</v>
      </c>
      <c r="B57" s="3">
        <v>29</v>
      </c>
      <c r="C57" s="36" t="s">
        <v>31</v>
      </c>
      <c r="D57" s="2" t="s">
        <v>31</v>
      </c>
      <c r="E57" s="2" t="s">
        <v>31</v>
      </c>
      <c r="F57" s="3" t="s">
        <v>48</v>
      </c>
      <c r="G57" s="3" t="s">
        <v>2</v>
      </c>
      <c r="H57" s="3" t="s">
        <v>27</v>
      </c>
      <c r="I57" s="7">
        <v>40041686</v>
      </c>
      <c r="J57" s="3" t="s">
        <v>271</v>
      </c>
      <c r="K57" s="3"/>
      <c r="L57" s="2" t="s">
        <v>49</v>
      </c>
      <c r="M57" s="15" t="s">
        <v>74</v>
      </c>
      <c r="N57" s="10">
        <v>44799</v>
      </c>
      <c r="O57" s="10">
        <v>44819</v>
      </c>
      <c r="P57" s="37">
        <v>14</v>
      </c>
      <c r="Q57" s="10">
        <v>44889</v>
      </c>
      <c r="R57" s="9">
        <v>44904</v>
      </c>
      <c r="S57" s="43">
        <v>44909</v>
      </c>
      <c r="T57" s="2">
        <v>15</v>
      </c>
      <c r="U57" s="9">
        <v>44911</v>
      </c>
      <c r="V57" s="2">
        <v>20</v>
      </c>
      <c r="W57" s="38">
        <v>13</v>
      </c>
      <c r="X57" s="13">
        <v>-761</v>
      </c>
      <c r="Y57" s="3"/>
      <c r="Z57" s="2" t="s">
        <v>157</v>
      </c>
      <c r="AA57" s="65"/>
      <c r="AB57" s="65" t="s">
        <v>31</v>
      </c>
    </row>
    <row r="58" spans="1:28" s="60" customFormat="1" ht="28.5" hidden="1" x14ac:dyDescent="0.2">
      <c r="A58" s="2">
        <v>57</v>
      </c>
      <c r="B58" s="3">
        <v>31</v>
      </c>
      <c r="C58" s="36" t="s">
        <v>31</v>
      </c>
      <c r="D58" s="2" t="s">
        <v>31</v>
      </c>
      <c r="E58" s="2" t="s">
        <v>31</v>
      </c>
      <c r="F58" s="3" t="s">
        <v>42</v>
      </c>
      <c r="G58" s="3" t="s">
        <v>43</v>
      </c>
      <c r="H58" s="3" t="s">
        <v>26</v>
      </c>
      <c r="I58" s="7">
        <v>40039687</v>
      </c>
      <c r="J58" s="3" t="s">
        <v>274</v>
      </c>
      <c r="K58" s="3">
        <v>418452000</v>
      </c>
      <c r="L58" s="2" t="s">
        <v>49</v>
      </c>
      <c r="M58" s="15" t="s">
        <v>62</v>
      </c>
      <c r="N58" s="10">
        <v>44806</v>
      </c>
      <c r="O58" s="10">
        <v>44831</v>
      </c>
      <c r="P58" s="37">
        <v>15</v>
      </c>
      <c r="Q58" s="10">
        <v>44806</v>
      </c>
      <c r="R58" s="9">
        <v>44821</v>
      </c>
      <c r="S58" s="43">
        <v>44831</v>
      </c>
      <c r="T58" s="2">
        <v>15</v>
      </c>
      <c r="U58" s="9">
        <v>44831</v>
      </c>
      <c r="V58" s="2">
        <v>25</v>
      </c>
      <c r="W58" s="38">
        <v>15</v>
      </c>
      <c r="X58" s="13">
        <v>-841</v>
      </c>
      <c r="Y58" s="3" t="s">
        <v>290</v>
      </c>
      <c r="Z58" s="3" t="s">
        <v>161</v>
      </c>
      <c r="AA58" s="65">
        <v>2412</v>
      </c>
      <c r="AB58" s="65" t="s">
        <v>31</v>
      </c>
    </row>
    <row r="59" spans="1:28" ht="28.5" x14ac:dyDescent="0.2">
      <c r="A59" s="2">
        <v>58</v>
      </c>
      <c r="B59" s="2">
        <v>29</v>
      </c>
      <c r="C59" s="36" t="s">
        <v>31</v>
      </c>
      <c r="D59" s="2" t="s">
        <v>32</v>
      </c>
      <c r="E59" s="2" t="s">
        <v>32</v>
      </c>
      <c r="F59" s="2" t="s">
        <v>47</v>
      </c>
      <c r="G59" s="2" t="s">
        <v>89</v>
      </c>
      <c r="H59" s="2" t="s">
        <v>24</v>
      </c>
      <c r="I59" s="7">
        <v>40019389</v>
      </c>
      <c r="J59" s="3" t="s">
        <v>278</v>
      </c>
      <c r="K59" s="3">
        <v>290000000</v>
      </c>
      <c r="L59" s="2" t="s">
        <v>49</v>
      </c>
      <c r="M59" s="17" t="s">
        <v>62</v>
      </c>
      <c r="N59" s="10"/>
      <c r="O59" s="10"/>
      <c r="P59" s="37" t="s">
        <v>686</v>
      </c>
      <c r="Q59" s="10">
        <v>44811</v>
      </c>
      <c r="R59" s="9">
        <v>44821</v>
      </c>
      <c r="S59" s="43">
        <v>44817</v>
      </c>
      <c r="T59" s="2">
        <v>10</v>
      </c>
      <c r="U59" s="9">
        <v>44827</v>
      </c>
      <c r="V59" s="2">
        <v>6</v>
      </c>
      <c r="W59" s="38">
        <v>4</v>
      </c>
      <c r="X59" s="13">
        <v>-845</v>
      </c>
      <c r="Y59" s="2"/>
      <c r="Z59" s="12" t="s">
        <v>162</v>
      </c>
      <c r="AA59" s="65">
        <v>1451</v>
      </c>
      <c r="AB59" s="65" t="s">
        <v>32</v>
      </c>
    </row>
    <row r="60" spans="1:28" s="60" customFormat="1" ht="28.5" hidden="1" x14ac:dyDescent="0.2">
      <c r="A60" s="2">
        <v>59</v>
      </c>
      <c r="B60" s="3">
        <v>29</v>
      </c>
      <c r="C60" s="36" t="s">
        <v>32</v>
      </c>
      <c r="D60" s="2" t="s">
        <v>31</v>
      </c>
      <c r="E60" s="2" t="s">
        <v>31</v>
      </c>
      <c r="F60" s="3" t="s">
        <v>48</v>
      </c>
      <c r="G60" s="3" t="s">
        <v>67</v>
      </c>
      <c r="H60" s="2" t="s">
        <v>22</v>
      </c>
      <c r="I60" s="44">
        <v>40039987</v>
      </c>
      <c r="J60" s="49" t="s">
        <v>279</v>
      </c>
      <c r="K60" s="3"/>
      <c r="L60" s="2" t="s">
        <v>49</v>
      </c>
      <c r="M60" s="15" t="s">
        <v>74</v>
      </c>
      <c r="N60" s="10">
        <v>44812</v>
      </c>
      <c r="O60" s="10">
        <v>44834</v>
      </c>
      <c r="P60" s="37">
        <v>14</v>
      </c>
      <c r="Q60" s="10">
        <v>44812</v>
      </c>
      <c r="R60" s="9">
        <v>44827</v>
      </c>
      <c r="S60" s="43">
        <v>44834</v>
      </c>
      <c r="T60" s="2">
        <v>15</v>
      </c>
      <c r="U60" s="9">
        <v>44837</v>
      </c>
      <c r="V60" s="2">
        <v>22</v>
      </c>
      <c r="W60" s="38">
        <v>14</v>
      </c>
      <c r="X60" s="13">
        <v>-835</v>
      </c>
      <c r="Y60" s="3"/>
      <c r="Z60" s="3" t="s">
        <v>152</v>
      </c>
      <c r="AA60" s="65"/>
      <c r="AB60" s="65" t="s">
        <v>31</v>
      </c>
    </row>
    <row r="61" spans="1:28" s="52" customFormat="1" ht="28.5" hidden="1" x14ac:dyDescent="0.2">
      <c r="A61" s="2">
        <v>60</v>
      </c>
      <c r="B61" s="48">
        <v>29</v>
      </c>
      <c r="C61" s="36" t="s">
        <v>32</v>
      </c>
      <c r="D61" s="2" t="s">
        <v>31</v>
      </c>
      <c r="E61" s="2" t="s">
        <v>31</v>
      </c>
      <c r="F61" s="48" t="s">
        <v>47</v>
      </c>
      <c r="G61" s="48" t="s">
        <v>0</v>
      </c>
      <c r="H61" s="48" t="s">
        <v>18</v>
      </c>
      <c r="I61" s="48">
        <v>40026933</v>
      </c>
      <c r="J61" s="48" t="s">
        <v>280</v>
      </c>
      <c r="K61" s="66">
        <v>950198237</v>
      </c>
      <c r="L61" s="48" t="s">
        <v>49</v>
      </c>
      <c r="M61" s="17" t="s">
        <v>62</v>
      </c>
      <c r="N61" s="10"/>
      <c r="O61" s="10"/>
      <c r="P61" s="37" t="s">
        <v>686</v>
      </c>
      <c r="Q61" s="10">
        <v>44831</v>
      </c>
      <c r="R61" s="9">
        <v>44841</v>
      </c>
      <c r="S61" s="43">
        <v>44846</v>
      </c>
      <c r="T61" s="2">
        <v>10</v>
      </c>
      <c r="U61" s="9">
        <v>44846</v>
      </c>
      <c r="V61" s="2">
        <v>15</v>
      </c>
      <c r="W61" s="38">
        <v>10</v>
      </c>
      <c r="X61" s="13">
        <v>-826</v>
      </c>
      <c r="Y61" s="3"/>
      <c r="Z61" s="3" t="s">
        <v>152</v>
      </c>
      <c r="AA61" s="65"/>
      <c r="AB61" s="65" t="s">
        <v>32</v>
      </c>
    </row>
    <row r="62" spans="1:28" ht="28.5" hidden="1" x14ac:dyDescent="0.2">
      <c r="A62" s="2">
        <v>61</v>
      </c>
      <c r="B62" s="2">
        <v>31</v>
      </c>
      <c r="C62" s="36" t="s">
        <v>32</v>
      </c>
      <c r="D62" s="2" t="s">
        <v>31</v>
      </c>
      <c r="E62" s="2" t="s">
        <v>32</v>
      </c>
      <c r="F62" s="2" t="s">
        <v>45</v>
      </c>
      <c r="G62" s="2" t="s">
        <v>51</v>
      </c>
      <c r="H62" s="2" t="s">
        <v>84</v>
      </c>
      <c r="I62" s="68">
        <v>40033297</v>
      </c>
      <c r="J62" s="16" t="s">
        <v>281</v>
      </c>
      <c r="K62" s="3">
        <v>2411569000</v>
      </c>
      <c r="L62" s="2" t="s">
        <v>49</v>
      </c>
      <c r="M62" s="17" t="s">
        <v>62</v>
      </c>
      <c r="N62" s="10"/>
      <c r="O62" s="10"/>
      <c r="P62" s="37" t="s">
        <v>686</v>
      </c>
      <c r="Q62" s="10">
        <v>44880</v>
      </c>
      <c r="R62" s="9">
        <v>44890</v>
      </c>
      <c r="S62" s="43">
        <v>44895</v>
      </c>
      <c r="T62" s="2">
        <v>10</v>
      </c>
      <c r="U62" s="9">
        <v>44894</v>
      </c>
      <c r="V62" s="2">
        <v>15</v>
      </c>
      <c r="W62" s="38">
        <v>11</v>
      </c>
      <c r="X62" s="13">
        <v>-778</v>
      </c>
      <c r="Y62" s="2" t="s">
        <v>193</v>
      </c>
      <c r="Z62" s="12" t="s">
        <v>160</v>
      </c>
      <c r="AA62" s="65"/>
      <c r="AB62" s="65" t="s">
        <v>32</v>
      </c>
    </row>
    <row r="63" spans="1:28" s="60" customFormat="1" ht="28.5" hidden="1" x14ac:dyDescent="0.2">
      <c r="A63" s="2">
        <v>62</v>
      </c>
      <c r="B63" s="3">
        <v>29</v>
      </c>
      <c r="C63" s="36" t="s">
        <v>31</v>
      </c>
      <c r="D63" s="2" t="s">
        <v>31</v>
      </c>
      <c r="E63" s="2" t="s">
        <v>31</v>
      </c>
      <c r="F63" s="3" t="s">
        <v>45</v>
      </c>
      <c r="G63" s="2" t="s">
        <v>51</v>
      </c>
      <c r="H63" s="2" t="s">
        <v>78</v>
      </c>
      <c r="I63" s="7">
        <v>40045800</v>
      </c>
      <c r="J63" s="3" t="s">
        <v>285</v>
      </c>
      <c r="K63" s="3"/>
      <c r="L63" s="2" t="s">
        <v>49</v>
      </c>
      <c r="M63" s="15" t="s">
        <v>74</v>
      </c>
      <c r="N63" s="10">
        <v>44818</v>
      </c>
      <c r="O63" s="10">
        <v>44840</v>
      </c>
      <c r="P63" s="37">
        <v>14</v>
      </c>
      <c r="Q63" s="10">
        <v>44818</v>
      </c>
      <c r="R63" s="9">
        <v>44833</v>
      </c>
      <c r="S63" s="43">
        <v>44840</v>
      </c>
      <c r="T63" s="2">
        <v>15</v>
      </c>
      <c r="U63" s="9">
        <v>44841</v>
      </c>
      <c r="V63" s="2">
        <v>22</v>
      </c>
      <c r="W63" s="38">
        <v>14</v>
      </c>
      <c r="X63" s="13">
        <v>-831</v>
      </c>
      <c r="Y63" s="3"/>
      <c r="Z63" s="12" t="s">
        <v>164</v>
      </c>
      <c r="AA63" s="65"/>
      <c r="AB63" s="65" t="s">
        <v>31</v>
      </c>
    </row>
    <row r="64" spans="1:28" ht="48" hidden="1" customHeight="1" x14ac:dyDescent="0.2">
      <c r="A64" s="2">
        <v>63</v>
      </c>
      <c r="B64" s="2">
        <v>31</v>
      </c>
      <c r="C64" s="36" t="s">
        <v>31</v>
      </c>
      <c r="D64" s="2" t="s">
        <v>32</v>
      </c>
      <c r="E64" s="2" t="s">
        <v>32</v>
      </c>
      <c r="F64" s="2" t="s">
        <v>45</v>
      </c>
      <c r="G64" s="2" t="s">
        <v>51</v>
      </c>
      <c r="H64" s="2" t="s">
        <v>11</v>
      </c>
      <c r="I64" s="7">
        <v>40014444</v>
      </c>
      <c r="J64" s="3" t="s">
        <v>288</v>
      </c>
      <c r="K64" s="3">
        <v>445562000</v>
      </c>
      <c r="L64" s="2" t="s">
        <v>49</v>
      </c>
      <c r="M64" s="17" t="s">
        <v>74</v>
      </c>
      <c r="N64" s="10"/>
      <c r="O64" s="10"/>
      <c r="P64" s="37" t="s">
        <v>686</v>
      </c>
      <c r="Q64" s="10">
        <v>44831</v>
      </c>
      <c r="R64" s="9">
        <v>44841</v>
      </c>
      <c r="S64" s="43">
        <v>44846</v>
      </c>
      <c r="T64" s="2">
        <v>10</v>
      </c>
      <c r="U64" s="9">
        <v>44846</v>
      </c>
      <c r="V64" s="2">
        <v>15</v>
      </c>
      <c r="W64" s="38">
        <v>10</v>
      </c>
      <c r="X64" s="13">
        <v>-826</v>
      </c>
      <c r="Y64" s="2" t="s">
        <v>187</v>
      </c>
      <c r="Z64" s="2" t="s">
        <v>155</v>
      </c>
      <c r="AA64" s="65"/>
      <c r="AB64" s="65" t="s">
        <v>32</v>
      </c>
    </row>
    <row r="65" spans="1:28" ht="48" hidden="1" customHeight="1" x14ac:dyDescent="0.2">
      <c r="A65" s="2">
        <v>64</v>
      </c>
      <c r="B65" s="2">
        <v>29</v>
      </c>
      <c r="C65" s="36" t="s">
        <v>31</v>
      </c>
      <c r="D65" s="2" t="s">
        <v>31</v>
      </c>
      <c r="E65" s="2" t="s">
        <v>31</v>
      </c>
      <c r="F65" s="2" t="s">
        <v>47</v>
      </c>
      <c r="G65" s="2" t="s">
        <v>50</v>
      </c>
      <c r="H65" s="2" t="s">
        <v>9</v>
      </c>
      <c r="I65" s="7">
        <v>40041565</v>
      </c>
      <c r="J65" s="3" t="s">
        <v>300</v>
      </c>
      <c r="K65" s="3"/>
      <c r="L65" s="2" t="s">
        <v>49</v>
      </c>
      <c r="M65" s="15" t="s">
        <v>74</v>
      </c>
      <c r="N65" s="10">
        <v>44832</v>
      </c>
      <c r="O65" s="10">
        <v>44852</v>
      </c>
      <c r="P65" s="37">
        <v>13</v>
      </c>
      <c r="Q65" s="10">
        <v>44832</v>
      </c>
      <c r="R65" s="9">
        <v>44847</v>
      </c>
      <c r="S65" s="43">
        <v>44852</v>
      </c>
      <c r="T65" s="2">
        <v>15</v>
      </c>
      <c r="U65" s="9">
        <v>44854</v>
      </c>
      <c r="V65" s="2">
        <v>20</v>
      </c>
      <c r="W65" s="38">
        <v>13</v>
      </c>
      <c r="X65" s="13">
        <v>-818</v>
      </c>
      <c r="Y65" s="3"/>
      <c r="Z65" s="2" t="s">
        <v>157</v>
      </c>
      <c r="AA65" s="65"/>
      <c r="AB65" s="65" t="s">
        <v>31</v>
      </c>
    </row>
    <row r="66" spans="1:28" s="60" customFormat="1" ht="28.5" hidden="1" x14ac:dyDescent="0.2">
      <c r="A66" s="2">
        <v>65</v>
      </c>
      <c r="B66" s="3">
        <v>29</v>
      </c>
      <c r="C66" s="36" t="s">
        <v>32</v>
      </c>
      <c r="D66" s="2" t="s">
        <v>31</v>
      </c>
      <c r="E66" s="2" t="s">
        <v>31</v>
      </c>
      <c r="F66" s="3" t="s">
        <v>48</v>
      </c>
      <c r="G66" s="3" t="s">
        <v>2</v>
      </c>
      <c r="H66" s="2" t="s">
        <v>27</v>
      </c>
      <c r="I66" s="44">
        <v>40043006</v>
      </c>
      <c r="J66" s="49" t="s">
        <v>289</v>
      </c>
      <c r="K66" s="3"/>
      <c r="L66" s="2" t="s">
        <v>49</v>
      </c>
      <c r="M66" s="15" t="s">
        <v>74</v>
      </c>
      <c r="N66" s="10">
        <v>44834</v>
      </c>
      <c r="O66" s="10">
        <v>44855</v>
      </c>
      <c r="P66" s="37">
        <v>14</v>
      </c>
      <c r="Q66" s="10">
        <v>44902</v>
      </c>
      <c r="R66" s="9">
        <v>44917</v>
      </c>
      <c r="S66" s="43">
        <v>44916</v>
      </c>
      <c r="T66" s="2">
        <v>15</v>
      </c>
      <c r="U66" s="9">
        <v>44924</v>
      </c>
      <c r="V66" s="2">
        <v>14</v>
      </c>
      <c r="W66" s="38">
        <v>9</v>
      </c>
      <c r="X66" s="13">
        <v>-748</v>
      </c>
      <c r="Y66" s="3"/>
      <c r="Z66" s="3" t="s">
        <v>152</v>
      </c>
      <c r="AA66" s="65"/>
      <c r="AB66" s="65" t="s">
        <v>31</v>
      </c>
    </row>
    <row r="67" spans="1:28" s="52" customFormat="1" ht="28.5" hidden="1" x14ac:dyDescent="0.2">
      <c r="A67" s="2">
        <v>66</v>
      </c>
      <c r="B67" s="48">
        <v>31</v>
      </c>
      <c r="C67" s="36" t="s">
        <v>32</v>
      </c>
      <c r="D67" s="2" t="s">
        <v>32</v>
      </c>
      <c r="E67" s="2" t="s">
        <v>32</v>
      </c>
      <c r="F67" s="2" t="s">
        <v>47</v>
      </c>
      <c r="G67" s="2" t="s">
        <v>0</v>
      </c>
      <c r="H67" s="48" t="s">
        <v>18</v>
      </c>
      <c r="I67" s="48">
        <v>40027935</v>
      </c>
      <c r="J67" s="48" t="s">
        <v>291</v>
      </c>
      <c r="K67" s="50">
        <v>1149679000</v>
      </c>
      <c r="L67" s="48" t="s">
        <v>49</v>
      </c>
      <c r="M67" s="17" t="s">
        <v>62</v>
      </c>
      <c r="N67" s="51"/>
      <c r="O67" s="10"/>
      <c r="P67" s="37" t="s">
        <v>686</v>
      </c>
      <c r="Q67" s="10">
        <v>44832</v>
      </c>
      <c r="R67" s="9">
        <v>44842</v>
      </c>
      <c r="S67" s="43">
        <v>44847</v>
      </c>
      <c r="T67" s="2">
        <v>10</v>
      </c>
      <c r="U67" s="9">
        <v>44847</v>
      </c>
      <c r="V67" s="2">
        <v>15</v>
      </c>
      <c r="W67" s="38">
        <v>10</v>
      </c>
      <c r="X67" s="13">
        <v>-825</v>
      </c>
      <c r="Y67" s="2" t="s">
        <v>195</v>
      </c>
      <c r="Z67" s="12" t="s">
        <v>154</v>
      </c>
      <c r="AA67" s="65">
        <v>2357</v>
      </c>
      <c r="AB67" s="65" t="s">
        <v>32</v>
      </c>
    </row>
    <row r="68" spans="1:28" ht="28.5" hidden="1" x14ac:dyDescent="0.2">
      <c r="A68" s="2">
        <v>67</v>
      </c>
      <c r="B68" s="2">
        <v>31</v>
      </c>
      <c r="C68" s="36" t="s">
        <v>32</v>
      </c>
      <c r="D68" s="2" t="s">
        <v>32</v>
      </c>
      <c r="E68" s="2" t="s">
        <v>31</v>
      </c>
      <c r="F68" s="2" t="s">
        <v>45</v>
      </c>
      <c r="G68" s="2" t="s">
        <v>66</v>
      </c>
      <c r="H68" s="2" t="s">
        <v>28</v>
      </c>
      <c r="I68" s="7">
        <v>40014564</v>
      </c>
      <c r="J68" s="3" t="s">
        <v>292</v>
      </c>
      <c r="K68" s="3">
        <v>842821000</v>
      </c>
      <c r="L68" s="2" t="s">
        <v>49</v>
      </c>
      <c r="M68" s="17" t="s">
        <v>62</v>
      </c>
      <c r="N68" s="10"/>
      <c r="O68" s="10"/>
      <c r="P68" s="37" t="s">
        <v>686</v>
      </c>
      <c r="Q68" s="10">
        <v>44834</v>
      </c>
      <c r="R68" s="9">
        <v>44844</v>
      </c>
      <c r="S68" s="43">
        <v>44848</v>
      </c>
      <c r="T68" s="2">
        <v>10</v>
      </c>
      <c r="U68" s="9">
        <v>44851</v>
      </c>
      <c r="V68" s="2">
        <v>14</v>
      </c>
      <c r="W68" s="38">
        <v>9</v>
      </c>
      <c r="X68" s="13">
        <v>-821</v>
      </c>
      <c r="Y68" s="2" t="s">
        <v>206</v>
      </c>
      <c r="Z68" s="12" t="s">
        <v>154</v>
      </c>
      <c r="AA68" s="65">
        <v>944</v>
      </c>
      <c r="AB68" s="65" t="s">
        <v>32</v>
      </c>
    </row>
    <row r="69" spans="1:28" ht="28.5" hidden="1" x14ac:dyDescent="0.2">
      <c r="A69" s="2">
        <v>68</v>
      </c>
      <c r="B69" s="2">
        <v>29</v>
      </c>
      <c r="C69" s="36" t="s">
        <v>32</v>
      </c>
      <c r="D69" s="2" t="s">
        <v>31</v>
      </c>
      <c r="E69" s="2" t="s">
        <v>32</v>
      </c>
      <c r="F69" s="2" t="s">
        <v>45</v>
      </c>
      <c r="G69" s="2" t="s">
        <v>45</v>
      </c>
      <c r="H69" s="2" t="s">
        <v>79</v>
      </c>
      <c r="I69" s="7">
        <v>40032936</v>
      </c>
      <c r="J69" s="49" t="s">
        <v>200</v>
      </c>
      <c r="K69" s="3"/>
      <c r="L69" s="2" t="s">
        <v>49</v>
      </c>
      <c r="M69" s="15" t="s">
        <v>74</v>
      </c>
      <c r="N69" s="10">
        <v>44838</v>
      </c>
      <c r="O69" s="10">
        <v>44859</v>
      </c>
      <c r="P69" s="37">
        <v>14</v>
      </c>
      <c r="Q69" s="10">
        <v>44838</v>
      </c>
      <c r="R69" s="9">
        <v>44853</v>
      </c>
      <c r="S69" s="43">
        <v>44859</v>
      </c>
      <c r="T69" s="2">
        <v>15</v>
      </c>
      <c r="U69" s="9">
        <v>44860</v>
      </c>
      <c r="V69" s="2">
        <v>21</v>
      </c>
      <c r="W69" s="38">
        <v>14</v>
      </c>
      <c r="X69" s="13">
        <v>-812</v>
      </c>
      <c r="Y69" s="3"/>
      <c r="Z69" s="3" t="s">
        <v>152</v>
      </c>
      <c r="AA69" s="65"/>
      <c r="AB69" s="65" t="s">
        <v>31</v>
      </c>
    </row>
    <row r="70" spans="1:28" ht="28.5" hidden="1" x14ac:dyDescent="0.2">
      <c r="A70" s="2">
        <v>69</v>
      </c>
      <c r="B70" s="2">
        <v>29</v>
      </c>
      <c r="C70" s="36" t="s">
        <v>31</v>
      </c>
      <c r="D70" s="2" t="s">
        <v>31</v>
      </c>
      <c r="E70" s="2" t="s">
        <v>31</v>
      </c>
      <c r="F70" s="2" t="s">
        <v>45</v>
      </c>
      <c r="G70" s="2" t="s">
        <v>51</v>
      </c>
      <c r="H70" s="2" t="s">
        <v>78</v>
      </c>
      <c r="I70" s="7">
        <v>40021274</v>
      </c>
      <c r="J70" s="3" t="s">
        <v>294</v>
      </c>
      <c r="K70" s="3"/>
      <c r="L70" s="2" t="s">
        <v>49</v>
      </c>
      <c r="M70" s="15" t="s">
        <v>74</v>
      </c>
      <c r="N70" s="10">
        <v>44846</v>
      </c>
      <c r="O70" s="10">
        <v>44846</v>
      </c>
      <c r="P70" s="37">
        <v>0</v>
      </c>
      <c r="Q70" s="10">
        <v>44846</v>
      </c>
      <c r="R70" s="9">
        <v>44861</v>
      </c>
      <c r="S70" s="43">
        <v>44846</v>
      </c>
      <c r="T70" s="2">
        <v>15</v>
      </c>
      <c r="U70" s="9">
        <v>44869</v>
      </c>
      <c r="V70" s="2">
        <v>0</v>
      </c>
      <c r="W70" s="38">
        <v>0</v>
      </c>
      <c r="X70" s="13">
        <v>-803</v>
      </c>
      <c r="Y70" s="2"/>
      <c r="Z70" s="48" t="s">
        <v>172</v>
      </c>
      <c r="AA70" s="65"/>
      <c r="AB70" s="65" t="s">
        <v>31</v>
      </c>
    </row>
    <row r="71" spans="1:28" ht="28.5" hidden="1" x14ac:dyDescent="0.2">
      <c r="A71" s="2">
        <v>70</v>
      </c>
      <c r="B71" s="2">
        <v>31</v>
      </c>
      <c r="C71" s="36" t="s">
        <v>32</v>
      </c>
      <c r="D71" s="2" t="s">
        <v>31</v>
      </c>
      <c r="E71" s="2" t="s">
        <v>31</v>
      </c>
      <c r="F71" s="2" t="s">
        <v>45</v>
      </c>
      <c r="G71" s="2" t="s">
        <v>61</v>
      </c>
      <c r="H71" s="2" t="s">
        <v>15</v>
      </c>
      <c r="I71" s="7">
        <v>40042364</v>
      </c>
      <c r="J71" s="71" t="s">
        <v>295</v>
      </c>
      <c r="K71" s="3"/>
      <c r="L71" s="2" t="s">
        <v>49</v>
      </c>
      <c r="M71" s="15" t="s">
        <v>74</v>
      </c>
      <c r="N71" s="10">
        <v>44841</v>
      </c>
      <c r="O71" s="10">
        <v>44867</v>
      </c>
      <c r="P71" s="37">
        <v>15</v>
      </c>
      <c r="Q71" s="10">
        <v>44841</v>
      </c>
      <c r="R71" s="9">
        <v>44856</v>
      </c>
      <c r="S71" s="43">
        <v>44867</v>
      </c>
      <c r="T71" s="2">
        <v>15</v>
      </c>
      <c r="U71" s="9">
        <v>44867</v>
      </c>
      <c r="V71" s="2">
        <v>26</v>
      </c>
      <c r="W71" s="38">
        <v>15</v>
      </c>
      <c r="X71" s="13">
        <v>-805</v>
      </c>
      <c r="Y71" s="2"/>
      <c r="Z71" s="48" t="s">
        <v>314</v>
      </c>
      <c r="AA71" s="65"/>
      <c r="AB71" s="65" t="s">
        <v>31</v>
      </c>
    </row>
    <row r="72" spans="1:28" ht="48" hidden="1" customHeight="1" x14ac:dyDescent="0.2">
      <c r="A72" s="2">
        <v>71</v>
      </c>
      <c r="B72" s="2">
        <v>29</v>
      </c>
      <c r="C72" s="36" t="s">
        <v>31</v>
      </c>
      <c r="D72" s="2" t="s">
        <v>32</v>
      </c>
      <c r="E72" s="2" t="s">
        <v>32</v>
      </c>
      <c r="F72" s="2" t="s">
        <v>45</v>
      </c>
      <c r="G72" s="2" t="s">
        <v>57</v>
      </c>
      <c r="H72" s="2" t="s">
        <v>19</v>
      </c>
      <c r="I72" s="7">
        <v>40018460</v>
      </c>
      <c r="J72" s="3" t="s">
        <v>297</v>
      </c>
      <c r="K72" s="3">
        <v>287980000</v>
      </c>
      <c r="L72" s="2" t="s">
        <v>49</v>
      </c>
      <c r="M72" s="17" t="s">
        <v>62</v>
      </c>
      <c r="N72" s="10"/>
      <c r="O72" s="10"/>
      <c r="P72" s="37" t="s">
        <v>686</v>
      </c>
      <c r="Q72" s="10">
        <v>44839</v>
      </c>
      <c r="R72" s="9">
        <v>44849</v>
      </c>
      <c r="S72" s="43">
        <v>44848</v>
      </c>
      <c r="T72" s="2">
        <v>10</v>
      </c>
      <c r="U72" s="9">
        <v>44854</v>
      </c>
      <c r="V72" s="2">
        <v>9</v>
      </c>
      <c r="W72" s="38">
        <v>6</v>
      </c>
      <c r="X72" s="13">
        <v>-818</v>
      </c>
      <c r="Y72" s="2" t="s">
        <v>202</v>
      </c>
      <c r="Z72" s="12" t="s">
        <v>164</v>
      </c>
      <c r="AA72" s="65">
        <v>7152</v>
      </c>
      <c r="AB72" s="65" t="s">
        <v>32</v>
      </c>
    </row>
    <row r="73" spans="1:28" ht="28.5" hidden="1" x14ac:dyDescent="0.2">
      <c r="A73" s="2">
        <v>72</v>
      </c>
      <c r="B73" s="2">
        <v>29</v>
      </c>
      <c r="C73" s="36" t="s">
        <v>31</v>
      </c>
      <c r="D73" s="2" t="s">
        <v>31</v>
      </c>
      <c r="E73" s="2" t="s">
        <v>31</v>
      </c>
      <c r="F73" s="2" t="s">
        <v>45</v>
      </c>
      <c r="G73" s="2" t="s">
        <v>51</v>
      </c>
      <c r="H73" s="2" t="s">
        <v>78</v>
      </c>
      <c r="I73" s="7">
        <v>40046863</v>
      </c>
      <c r="J73" s="16" t="s">
        <v>298</v>
      </c>
      <c r="K73" s="3">
        <v>2208718280</v>
      </c>
      <c r="L73" s="2" t="s">
        <v>49</v>
      </c>
      <c r="M73" s="15" t="s">
        <v>62</v>
      </c>
      <c r="N73" s="10">
        <v>44846</v>
      </c>
      <c r="O73" s="10">
        <v>44867</v>
      </c>
      <c r="P73" s="37">
        <v>13</v>
      </c>
      <c r="Q73" s="10">
        <v>44847</v>
      </c>
      <c r="R73" s="9">
        <v>44862</v>
      </c>
      <c r="S73" s="43">
        <v>44867</v>
      </c>
      <c r="T73" s="2">
        <v>15</v>
      </c>
      <c r="U73" s="9">
        <v>44872</v>
      </c>
      <c r="V73" s="2">
        <v>20</v>
      </c>
      <c r="W73" s="38">
        <v>12</v>
      </c>
      <c r="X73" s="13">
        <v>-800</v>
      </c>
      <c r="Y73" s="2" t="s">
        <v>313</v>
      </c>
      <c r="Z73" s="48" t="s">
        <v>172</v>
      </c>
      <c r="AA73" s="65">
        <v>397983</v>
      </c>
      <c r="AB73" s="65" t="s">
        <v>31</v>
      </c>
    </row>
    <row r="74" spans="1:28" ht="28.5" hidden="1" x14ac:dyDescent="0.2">
      <c r="A74" s="2">
        <v>73</v>
      </c>
      <c r="B74" s="2">
        <v>29</v>
      </c>
      <c r="C74" s="36" t="s">
        <v>32</v>
      </c>
      <c r="D74" s="2" t="s">
        <v>31</v>
      </c>
      <c r="E74" s="2" t="s">
        <v>31</v>
      </c>
      <c r="F74" s="2" t="s">
        <v>47</v>
      </c>
      <c r="G74" s="2" t="s">
        <v>76</v>
      </c>
      <c r="H74" s="2" t="s">
        <v>12</v>
      </c>
      <c r="I74" s="7">
        <v>40040641</v>
      </c>
      <c r="J74" s="3" t="s">
        <v>301</v>
      </c>
      <c r="K74" s="3"/>
      <c r="L74" s="2" t="s">
        <v>49</v>
      </c>
      <c r="M74" s="15" t="s">
        <v>74</v>
      </c>
      <c r="N74" s="10">
        <v>44875</v>
      </c>
      <c r="O74" s="10">
        <v>44880</v>
      </c>
      <c r="P74" s="37">
        <v>3</v>
      </c>
      <c r="Q74" s="10">
        <v>44902</v>
      </c>
      <c r="R74" s="9">
        <v>44917</v>
      </c>
      <c r="S74" s="43">
        <v>44916</v>
      </c>
      <c r="T74" s="2">
        <v>15</v>
      </c>
      <c r="U74" s="9">
        <v>44924</v>
      </c>
      <c r="V74" s="2">
        <v>14</v>
      </c>
      <c r="W74" s="38">
        <v>9</v>
      </c>
      <c r="X74" s="13">
        <v>-748</v>
      </c>
      <c r="Y74" s="2"/>
      <c r="Z74" s="12" t="s">
        <v>157</v>
      </c>
      <c r="AA74" s="65"/>
      <c r="AB74" s="65" t="s">
        <v>31</v>
      </c>
    </row>
    <row r="75" spans="1:28" ht="28.5" hidden="1" x14ac:dyDescent="0.2">
      <c r="A75" s="2">
        <v>74</v>
      </c>
      <c r="B75" s="2">
        <v>31</v>
      </c>
      <c r="C75" s="36" t="s">
        <v>31</v>
      </c>
      <c r="D75" s="2" t="s">
        <v>31</v>
      </c>
      <c r="E75" s="2" t="s">
        <v>31</v>
      </c>
      <c r="F75" s="2" t="s">
        <v>42</v>
      </c>
      <c r="G75" s="2" t="s">
        <v>3</v>
      </c>
      <c r="H75" s="2" t="s">
        <v>16</v>
      </c>
      <c r="I75" s="7">
        <v>40047465</v>
      </c>
      <c r="J75" s="3" t="s">
        <v>319</v>
      </c>
      <c r="K75" s="3"/>
      <c r="L75" s="2" t="s">
        <v>49</v>
      </c>
      <c r="M75" s="15" t="s">
        <v>74</v>
      </c>
      <c r="N75" s="10">
        <v>44862</v>
      </c>
      <c r="O75" s="10">
        <v>44887</v>
      </c>
      <c r="P75" s="37">
        <v>15</v>
      </c>
      <c r="Q75" s="10">
        <v>44862</v>
      </c>
      <c r="R75" s="9">
        <v>44877</v>
      </c>
      <c r="S75" s="43">
        <v>44887</v>
      </c>
      <c r="T75" s="2">
        <v>15</v>
      </c>
      <c r="U75" s="9">
        <v>44887</v>
      </c>
      <c r="V75" s="2">
        <v>25</v>
      </c>
      <c r="W75" s="38">
        <v>15</v>
      </c>
      <c r="X75" s="13">
        <v>-785</v>
      </c>
      <c r="Y75" s="2"/>
      <c r="Z75" s="12" t="s">
        <v>161</v>
      </c>
      <c r="AA75" s="65"/>
      <c r="AB75" s="65" t="s">
        <v>31</v>
      </c>
    </row>
    <row r="76" spans="1:28" ht="28.5" hidden="1" x14ac:dyDescent="0.2">
      <c r="A76" s="2">
        <v>75</v>
      </c>
      <c r="B76" s="2">
        <v>31</v>
      </c>
      <c r="C76" s="36" t="s">
        <v>32</v>
      </c>
      <c r="D76" s="2" t="s">
        <v>32</v>
      </c>
      <c r="E76" s="2" t="s">
        <v>32</v>
      </c>
      <c r="F76" s="2" t="s">
        <v>42</v>
      </c>
      <c r="G76" s="2" t="s">
        <v>43</v>
      </c>
      <c r="H76" s="2" t="s">
        <v>26</v>
      </c>
      <c r="I76" s="7">
        <v>40031584</v>
      </c>
      <c r="J76" s="3" t="s">
        <v>308</v>
      </c>
      <c r="K76" s="3">
        <v>365951000</v>
      </c>
      <c r="L76" s="2" t="s">
        <v>49</v>
      </c>
      <c r="M76" s="17" t="s">
        <v>74</v>
      </c>
      <c r="N76" s="10"/>
      <c r="O76" s="10"/>
      <c r="P76" s="37" t="s">
        <v>686</v>
      </c>
      <c r="Q76" s="10">
        <v>44867</v>
      </c>
      <c r="R76" s="9">
        <v>44877</v>
      </c>
      <c r="S76" s="43"/>
      <c r="T76" s="2">
        <v>10</v>
      </c>
      <c r="U76" s="9">
        <v>44881</v>
      </c>
      <c r="V76" s="2">
        <v>-44867</v>
      </c>
      <c r="W76" s="38" t="s">
        <v>686</v>
      </c>
      <c r="X76" s="13">
        <v>-791</v>
      </c>
      <c r="Y76" s="2" t="s">
        <v>199</v>
      </c>
      <c r="Z76" s="2" t="s">
        <v>154</v>
      </c>
      <c r="AA76" s="12">
        <v>285</v>
      </c>
      <c r="AB76" s="12" t="s">
        <v>32</v>
      </c>
    </row>
    <row r="77" spans="1:28" ht="28.5" hidden="1" x14ac:dyDescent="0.2">
      <c r="A77" s="2">
        <v>76</v>
      </c>
      <c r="B77" s="2">
        <v>29</v>
      </c>
      <c r="C77" s="36" t="s">
        <v>32</v>
      </c>
      <c r="D77" s="2" t="s">
        <v>31</v>
      </c>
      <c r="E77" s="2" t="s">
        <v>31</v>
      </c>
      <c r="F77" s="2" t="s">
        <v>45</v>
      </c>
      <c r="G77" s="2" t="s">
        <v>66</v>
      </c>
      <c r="H77" s="2" t="s">
        <v>28</v>
      </c>
      <c r="I77" s="7">
        <v>40034362</v>
      </c>
      <c r="J77" s="3" t="s">
        <v>315</v>
      </c>
      <c r="K77" s="3"/>
      <c r="L77" s="2" t="s">
        <v>49</v>
      </c>
      <c r="M77" s="15" t="s">
        <v>74</v>
      </c>
      <c r="N77" s="10">
        <v>44873</v>
      </c>
      <c r="O77" s="10">
        <v>44894</v>
      </c>
      <c r="P77" s="37">
        <v>15</v>
      </c>
      <c r="Q77" s="10">
        <v>44873</v>
      </c>
      <c r="R77" s="9">
        <v>44888</v>
      </c>
      <c r="S77" s="43">
        <v>44894</v>
      </c>
      <c r="T77" s="2">
        <v>15</v>
      </c>
      <c r="U77" s="9">
        <v>44894</v>
      </c>
      <c r="V77" s="2">
        <v>21</v>
      </c>
      <c r="W77" s="38">
        <v>15</v>
      </c>
      <c r="X77" s="13">
        <v>-778</v>
      </c>
      <c r="Y77" s="2"/>
      <c r="Z77" s="48" t="s">
        <v>172</v>
      </c>
      <c r="AA77" s="4"/>
      <c r="AB77" s="4" t="s">
        <v>31</v>
      </c>
    </row>
    <row r="78" spans="1:28" ht="28.5" hidden="1" x14ac:dyDescent="0.2">
      <c r="A78" s="2">
        <v>77</v>
      </c>
      <c r="B78" s="2">
        <v>29</v>
      </c>
      <c r="C78" s="36" t="s">
        <v>32</v>
      </c>
      <c r="D78" s="2" t="s">
        <v>32</v>
      </c>
      <c r="E78" s="2" t="s">
        <v>32</v>
      </c>
      <c r="F78" s="2" t="s">
        <v>45</v>
      </c>
      <c r="G78" s="2" t="s">
        <v>57</v>
      </c>
      <c r="H78" s="2" t="s">
        <v>19</v>
      </c>
      <c r="I78" s="7">
        <v>40007939</v>
      </c>
      <c r="J78" s="16" t="s">
        <v>316</v>
      </c>
      <c r="K78" s="3">
        <v>902196000</v>
      </c>
      <c r="L78" s="2" t="s">
        <v>49</v>
      </c>
      <c r="M78" s="17" t="s">
        <v>74</v>
      </c>
      <c r="N78" s="10"/>
      <c r="O78" s="10"/>
      <c r="P78" s="37" t="s">
        <v>686</v>
      </c>
      <c r="Q78" s="10">
        <v>44904</v>
      </c>
      <c r="R78" s="9">
        <v>44914</v>
      </c>
      <c r="S78" s="43">
        <v>44914</v>
      </c>
      <c r="T78" s="2">
        <v>10</v>
      </c>
      <c r="U78" s="9">
        <v>44918</v>
      </c>
      <c r="V78" s="2">
        <v>10</v>
      </c>
      <c r="W78" s="38">
        <v>6</v>
      </c>
      <c r="X78" s="13">
        <v>-754</v>
      </c>
      <c r="Y78" s="2" t="s">
        <v>176</v>
      </c>
      <c r="Z78" s="2" t="s">
        <v>153</v>
      </c>
      <c r="AA78" s="4"/>
      <c r="AB78" s="4" t="s">
        <v>32</v>
      </c>
    </row>
    <row r="79" spans="1:28" ht="28.5" hidden="1" x14ac:dyDescent="0.2">
      <c r="A79" s="2">
        <v>78</v>
      </c>
      <c r="B79" s="2">
        <v>29</v>
      </c>
      <c r="C79" s="36" t="s">
        <v>31</v>
      </c>
      <c r="D79" s="2" t="s">
        <v>31</v>
      </c>
      <c r="E79" s="2" t="s">
        <v>32</v>
      </c>
      <c r="F79" s="2" t="s">
        <v>42</v>
      </c>
      <c r="G79" s="2" t="s">
        <v>65</v>
      </c>
      <c r="H79" s="2" t="s">
        <v>29</v>
      </c>
      <c r="I79" s="7">
        <v>40019426</v>
      </c>
      <c r="J79" s="16" t="s">
        <v>209</v>
      </c>
      <c r="K79" s="3"/>
      <c r="L79" s="2" t="s">
        <v>49</v>
      </c>
      <c r="M79" s="15" t="s">
        <v>74</v>
      </c>
      <c r="N79" s="10">
        <v>44881</v>
      </c>
      <c r="O79" s="10">
        <v>44900</v>
      </c>
      <c r="P79" s="37">
        <v>13</v>
      </c>
      <c r="Q79" s="10">
        <v>44881</v>
      </c>
      <c r="R79" s="9">
        <v>44896</v>
      </c>
      <c r="S79" s="43">
        <v>44900</v>
      </c>
      <c r="T79" s="2">
        <v>15</v>
      </c>
      <c r="U79" s="9">
        <v>44902</v>
      </c>
      <c r="V79" s="2">
        <v>19</v>
      </c>
      <c r="W79" s="38">
        <v>13</v>
      </c>
      <c r="X79" s="13">
        <v>-770</v>
      </c>
      <c r="Y79" s="2"/>
      <c r="Z79" s="2" t="s">
        <v>153</v>
      </c>
      <c r="AA79" s="4"/>
      <c r="AB79" s="4" t="s">
        <v>31</v>
      </c>
    </row>
    <row r="80" spans="1:28" ht="28.5" hidden="1" x14ac:dyDescent="0.2">
      <c r="A80" s="2">
        <v>79</v>
      </c>
      <c r="B80" s="2">
        <v>29</v>
      </c>
      <c r="C80" s="36" t="s">
        <v>31</v>
      </c>
      <c r="D80" s="2" t="s">
        <v>31</v>
      </c>
      <c r="E80" s="2" t="s">
        <v>31</v>
      </c>
      <c r="F80" s="2" t="s">
        <v>42</v>
      </c>
      <c r="G80" s="2" t="s">
        <v>65</v>
      </c>
      <c r="H80" s="2" t="s">
        <v>29</v>
      </c>
      <c r="I80" s="7">
        <v>40047660</v>
      </c>
      <c r="J80" s="3" t="s">
        <v>318</v>
      </c>
      <c r="K80" s="3"/>
      <c r="L80" s="2" t="s">
        <v>49</v>
      </c>
      <c r="M80" s="15" t="s">
        <v>74</v>
      </c>
      <c r="N80" s="10">
        <v>44883</v>
      </c>
      <c r="O80" s="10">
        <v>44895</v>
      </c>
      <c r="P80" s="37">
        <v>8</v>
      </c>
      <c r="Q80" s="10">
        <v>44883</v>
      </c>
      <c r="R80" s="9">
        <v>44898</v>
      </c>
      <c r="S80" s="43">
        <v>44895</v>
      </c>
      <c r="T80" s="2">
        <v>15</v>
      </c>
      <c r="U80" s="9">
        <v>44907</v>
      </c>
      <c r="V80" s="2">
        <v>12</v>
      </c>
      <c r="W80" s="38">
        <v>8</v>
      </c>
      <c r="X80" s="13">
        <v>-765</v>
      </c>
      <c r="Y80" s="2"/>
      <c r="Z80" s="2" t="s">
        <v>152</v>
      </c>
      <c r="AA80" s="4"/>
      <c r="AB80" s="4" t="s">
        <v>31</v>
      </c>
    </row>
    <row r="81" spans="1:28" ht="28.5" hidden="1" x14ac:dyDescent="0.2">
      <c r="A81" s="2">
        <v>80</v>
      </c>
      <c r="B81" s="2">
        <v>22</v>
      </c>
      <c r="C81" s="36" t="s">
        <v>32</v>
      </c>
      <c r="D81" s="2" t="s">
        <v>31</v>
      </c>
      <c r="E81" s="2" t="s">
        <v>31</v>
      </c>
      <c r="F81" s="2" t="s">
        <v>175</v>
      </c>
      <c r="G81" s="2" t="s">
        <v>175</v>
      </c>
      <c r="H81" s="2" t="s">
        <v>269</v>
      </c>
      <c r="I81" s="7">
        <v>40032331</v>
      </c>
      <c r="J81" s="16" t="s">
        <v>320</v>
      </c>
      <c r="K81" s="3"/>
      <c r="L81" s="2" t="s">
        <v>49</v>
      </c>
      <c r="M81" s="15" t="s">
        <v>74</v>
      </c>
      <c r="N81" s="10">
        <v>44890</v>
      </c>
      <c r="O81" s="10">
        <v>44910</v>
      </c>
      <c r="P81" s="37">
        <v>13</v>
      </c>
      <c r="Q81" s="10">
        <v>44890</v>
      </c>
      <c r="R81" s="9">
        <v>44905</v>
      </c>
      <c r="S81" s="43">
        <v>44910</v>
      </c>
      <c r="T81" s="2">
        <v>15</v>
      </c>
      <c r="U81" s="9">
        <v>44914</v>
      </c>
      <c r="V81" s="2">
        <v>20</v>
      </c>
      <c r="W81" s="38">
        <v>13</v>
      </c>
      <c r="X81" s="13">
        <v>-758</v>
      </c>
      <c r="Y81" s="2"/>
      <c r="Z81" s="2" t="s">
        <v>168</v>
      </c>
      <c r="AA81" s="4"/>
      <c r="AB81" s="4" t="s">
        <v>31</v>
      </c>
    </row>
    <row r="82" spans="1:28" ht="28.5" hidden="1" x14ac:dyDescent="0.2">
      <c r="A82" s="2">
        <v>81</v>
      </c>
      <c r="B82" s="2">
        <v>29</v>
      </c>
      <c r="C82" s="36" t="s">
        <v>32</v>
      </c>
      <c r="D82" s="2" t="s">
        <v>31</v>
      </c>
      <c r="E82" s="2" t="s">
        <v>31</v>
      </c>
      <c r="F82" s="2" t="s">
        <v>42</v>
      </c>
      <c r="G82" s="2" t="s">
        <v>71</v>
      </c>
      <c r="H82" s="2" t="s">
        <v>20</v>
      </c>
      <c r="I82" s="7">
        <v>40037544</v>
      </c>
      <c r="J82" s="3" t="s">
        <v>321</v>
      </c>
      <c r="K82" s="3"/>
      <c r="L82" s="2" t="s">
        <v>49</v>
      </c>
      <c r="M82" s="15" t="s">
        <v>74</v>
      </c>
      <c r="N82" s="10">
        <v>44889</v>
      </c>
      <c r="O82" s="10">
        <v>44910</v>
      </c>
      <c r="P82" s="37">
        <v>14</v>
      </c>
      <c r="Q82" s="10">
        <v>44889</v>
      </c>
      <c r="R82" s="9">
        <v>44904</v>
      </c>
      <c r="S82" s="43">
        <v>44910</v>
      </c>
      <c r="T82" s="2">
        <v>15</v>
      </c>
      <c r="U82" s="9">
        <v>44911</v>
      </c>
      <c r="V82" s="2">
        <v>21</v>
      </c>
      <c r="W82" s="38">
        <v>14</v>
      </c>
      <c r="X82" s="13">
        <v>-761</v>
      </c>
      <c r="Y82" s="2"/>
      <c r="Z82" s="2" t="s">
        <v>151</v>
      </c>
      <c r="AA82" s="4"/>
      <c r="AB82" s="4" t="s">
        <v>31</v>
      </c>
    </row>
    <row r="83" spans="1:28" ht="28.5" hidden="1" x14ac:dyDescent="0.2">
      <c r="A83" s="2">
        <v>82</v>
      </c>
      <c r="B83" s="2">
        <v>29</v>
      </c>
      <c r="C83" s="36" t="s">
        <v>31</v>
      </c>
      <c r="D83" s="2" t="s">
        <v>31</v>
      </c>
      <c r="E83" s="2" t="s">
        <v>31</v>
      </c>
      <c r="F83" s="2" t="s">
        <v>42</v>
      </c>
      <c r="G83" s="2" t="s">
        <v>3</v>
      </c>
      <c r="H83" s="2" t="s">
        <v>16</v>
      </c>
      <c r="I83" s="7">
        <v>40002956</v>
      </c>
      <c r="J83" s="3" t="s">
        <v>322</v>
      </c>
      <c r="K83" s="3"/>
      <c r="L83" s="2" t="s">
        <v>49</v>
      </c>
      <c r="M83" s="15" t="s">
        <v>74</v>
      </c>
      <c r="N83" s="10">
        <v>44894</v>
      </c>
      <c r="O83" s="10">
        <v>44915</v>
      </c>
      <c r="P83" s="37">
        <v>14</v>
      </c>
      <c r="Q83" s="10">
        <v>44894</v>
      </c>
      <c r="R83" s="9">
        <v>44909</v>
      </c>
      <c r="S83" s="43">
        <v>44915</v>
      </c>
      <c r="T83" s="2">
        <v>15</v>
      </c>
      <c r="U83" s="9">
        <v>44916</v>
      </c>
      <c r="V83" s="2">
        <v>21</v>
      </c>
      <c r="W83" s="38">
        <v>14</v>
      </c>
      <c r="X83" s="13">
        <v>-756</v>
      </c>
      <c r="Y83" s="2"/>
      <c r="Z83" s="2" t="s">
        <v>156</v>
      </c>
      <c r="AA83" s="4"/>
      <c r="AB83" s="4" t="s">
        <v>31</v>
      </c>
    </row>
    <row r="84" spans="1:28" ht="28.5" hidden="1" x14ac:dyDescent="0.2">
      <c r="A84" s="2">
        <v>83</v>
      </c>
      <c r="B84" s="2">
        <v>29</v>
      </c>
      <c r="C84" s="36" t="s">
        <v>31</v>
      </c>
      <c r="D84" s="2" t="s">
        <v>31</v>
      </c>
      <c r="E84" s="2" t="s">
        <v>31</v>
      </c>
      <c r="F84" s="2" t="s">
        <v>45</v>
      </c>
      <c r="G84" s="2" t="s">
        <v>66</v>
      </c>
      <c r="H84" s="2" t="s">
        <v>28</v>
      </c>
      <c r="I84" s="7">
        <v>40022434</v>
      </c>
      <c r="J84" s="3" t="s">
        <v>184</v>
      </c>
      <c r="K84" s="3">
        <v>101402937</v>
      </c>
      <c r="L84" s="2" t="s">
        <v>49</v>
      </c>
      <c r="M84" s="15" t="s">
        <v>62</v>
      </c>
      <c r="N84" s="10">
        <v>44895</v>
      </c>
      <c r="O84" s="10">
        <v>44916</v>
      </c>
      <c r="P84" s="37">
        <v>14</v>
      </c>
      <c r="Q84" s="10">
        <v>44895</v>
      </c>
      <c r="R84" s="9">
        <v>44910</v>
      </c>
      <c r="S84" s="43">
        <v>44916</v>
      </c>
      <c r="T84" s="2">
        <v>15</v>
      </c>
      <c r="U84" s="9">
        <v>44917</v>
      </c>
      <c r="V84" s="2">
        <v>21</v>
      </c>
      <c r="W84" s="38">
        <v>14</v>
      </c>
      <c r="X84" s="13">
        <v>-755</v>
      </c>
      <c r="Y84" s="2" t="s">
        <v>328</v>
      </c>
      <c r="Z84" s="2" t="s">
        <v>151</v>
      </c>
      <c r="AA84" s="65">
        <v>11472</v>
      </c>
      <c r="AB84" s="65" t="s">
        <v>31</v>
      </c>
    </row>
    <row r="85" spans="1:28" ht="28.5" hidden="1" x14ac:dyDescent="0.2">
      <c r="A85" s="2">
        <v>84</v>
      </c>
      <c r="B85" s="2">
        <v>29</v>
      </c>
      <c r="C85" s="36" t="s">
        <v>31</v>
      </c>
      <c r="D85" s="2" t="s">
        <v>31</v>
      </c>
      <c r="E85" s="2" t="s">
        <v>31</v>
      </c>
      <c r="F85" s="2" t="s">
        <v>45</v>
      </c>
      <c r="G85" s="2" t="s">
        <v>88</v>
      </c>
      <c r="H85" s="2" t="s">
        <v>77</v>
      </c>
      <c r="I85" s="7">
        <v>40047291</v>
      </c>
      <c r="J85" s="3" t="s">
        <v>323</v>
      </c>
      <c r="K85" s="3"/>
      <c r="L85" s="2" t="s">
        <v>49</v>
      </c>
      <c r="M85" s="15" t="s">
        <v>74</v>
      </c>
      <c r="N85" s="10">
        <v>44896</v>
      </c>
      <c r="O85" s="10">
        <v>44914</v>
      </c>
      <c r="P85" s="37">
        <v>11</v>
      </c>
      <c r="Q85" s="10">
        <v>44896</v>
      </c>
      <c r="R85" s="9">
        <v>44911</v>
      </c>
      <c r="S85" s="43">
        <v>44914</v>
      </c>
      <c r="T85" s="2">
        <v>15</v>
      </c>
      <c r="U85" s="9">
        <v>44918</v>
      </c>
      <c r="V85" s="2">
        <v>18</v>
      </c>
      <c r="W85" s="38">
        <v>11</v>
      </c>
      <c r="X85" s="13">
        <v>-754</v>
      </c>
      <c r="Y85" s="2"/>
      <c r="Z85" s="2" t="s">
        <v>151</v>
      </c>
      <c r="AA85" s="57"/>
      <c r="AB85" s="4" t="s">
        <v>31</v>
      </c>
    </row>
    <row r="86" spans="1:28" ht="28.5" hidden="1" x14ac:dyDescent="0.2">
      <c r="A86" s="2">
        <v>85</v>
      </c>
      <c r="B86" s="2">
        <v>29</v>
      </c>
      <c r="C86" s="36" t="s">
        <v>32</v>
      </c>
      <c r="D86" s="2" t="s">
        <v>31</v>
      </c>
      <c r="E86" s="2" t="s">
        <v>31</v>
      </c>
      <c r="F86" s="2" t="s">
        <v>47</v>
      </c>
      <c r="G86" s="2" t="s">
        <v>52</v>
      </c>
      <c r="H86" s="2" t="s">
        <v>25</v>
      </c>
      <c r="I86" s="7">
        <v>40043234</v>
      </c>
      <c r="J86" s="3" t="s">
        <v>324</v>
      </c>
      <c r="K86" s="3"/>
      <c r="L86" s="2" t="s">
        <v>49</v>
      </c>
      <c r="M86" s="15" t="s">
        <v>74</v>
      </c>
      <c r="N86" s="10">
        <v>44902</v>
      </c>
      <c r="O86" s="10">
        <v>44916</v>
      </c>
      <c r="P86" s="37">
        <v>9</v>
      </c>
      <c r="Q86" s="10">
        <v>44902</v>
      </c>
      <c r="R86" s="9">
        <v>44917</v>
      </c>
      <c r="S86" s="43">
        <v>44916</v>
      </c>
      <c r="T86" s="2">
        <v>15</v>
      </c>
      <c r="U86" s="9">
        <v>44924</v>
      </c>
      <c r="V86" s="2">
        <v>14</v>
      </c>
      <c r="W86" s="38">
        <v>9</v>
      </c>
      <c r="X86" s="13">
        <v>-748</v>
      </c>
      <c r="Y86" s="2"/>
      <c r="Z86" s="2" t="s">
        <v>157</v>
      </c>
      <c r="AA86" s="57"/>
      <c r="AB86" s="4" t="s">
        <v>31</v>
      </c>
    </row>
    <row r="87" spans="1:28" ht="28.5" hidden="1" x14ac:dyDescent="0.2">
      <c r="A87" s="2">
        <v>86</v>
      </c>
      <c r="B87" s="2">
        <v>31</v>
      </c>
      <c r="C87" s="36" t="s">
        <v>32</v>
      </c>
      <c r="D87" s="2" t="s">
        <v>31</v>
      </c>
      <c r="E87" s="2" t="s">
        <v>31</v>
      </c>
      <c r="F87" s="2" t="s">
        <v>45</v>
      </c>
      <c r="G87" s="2" t="s">
        <v>57</v>
      </c>
      <c r="H87" s="2" t="s">
        <v>19</v>
      </c>
      <c r="I87" s="7">
        <v>40038210</v>
      </c>
      <c r="J87" s="3" t="s">
        <v>326</v>
      </c>
      <c r="K87" s="3"/>
      <c r="L87" s="2" t="s">
        <v>49</v>
      </c>
      <c r="M87" s="15" t="s">
        <v>74</v>
      </c>
      <c r="N87" s="10">
        <v>44901</v>
      </c>
      <c r="O87" s="10">
        <v>44916</v>
      </c>
      <c r="P87" s="37">
        <v>10</v>
      </c>
      <c r="Q87" s="10">
        <v>44901</v>
      </c>
      <c r="R87" s="9">
        <v>44916</v>
      </c>
      <c r="S87" s="43">
        <v>44916</v>
      </c>
      <c r="T87" s="2">
        <v>15</v>
      </c>
      <c r="U87" s="9">
        <v>44923</v>
      </c>
      <c r="V87" s="2">
        <v>15</v>
      </c>
      <c r="W87" s="38">
        <v>10</v>
      </c>
      <c r="X87" s="13">
        <v>-749</v>
      </c>
      <c r="Y87" s="2"/>
      <c r="Z87" s="2" t="s">
        <v>154</v>
      </c>
      <c r="AA87" s="57"/>
      <c r="AB87" s="4" t="s">
        <v>31</v>
      </c>
    </row>
    <row r="88" spans="1:28" ht="28.5" hidden="1" x14ac:dyDescent="0.2">
      <c r="A88" s="2">
        <v>87</v>
      </c>
      <c r="B88" s="2">
        <v>31</v>
      </c>
      <c r="C88" s="36" t="s">
        <v>31</v>
      </c>
      <c r="D88" s="2" t="s">
        <v>31</v>
      </c>
      <c r="E88" s="2" t="s">
        <v>31</v>
      </c>
      <c r="F88" s="2" t="s">
        <v>42</v>
      </c>
      <c r="G88" s="2" t="s">
        <v>65</v>
      </c>
      <c r="H88" s="2" t="s">
        <v>29</v>
      </c>
      <c r="I88" s="7">
        <v>40047664</v>
      </c>
      <c r="J88" s="3" t="s">
        <v>327</v>
      </c>
      <c r="K88" s="3"/>
      <c r="L88" s="2" t="s">
        <v>49</v>
      </c>
      <c r="M88" s="15" t="s">
        <v>74</v>
      </c>
      <c r="N88" s="10">
        <v>44893</v>
      </c>
      <c r="O88" s="10">
        <v>44916</v>
      </c>
      <c r="P88" s="37">
        <v>16</v>
      </c>
      <c r="Q88" s="10">
        <v>44893</v>
      </c>
      <c r="R88" s="9">
        <v>44908</v>
      </c>
      <c r="S88" s="43">
        <v>44916</v>
      </c>
      <c r="T88" s="2">
        <v>15</v>
      </c>
      <c r="U88" s="9">
        <v>44915</v>
      </c>
      <c r="V88" s="2">
        <v>23</v>
      </c>
      <c r="W88" s="38">
        <v>16</v>
      </c>
      <c r="X88" s="13">
        <v>-757</v>
      </c>
      <c r="Y88" s="2"/>
      <c r="Z88" s="2" t="s">
        <v>154</v>
      </c>
      <c r="AA88" s="57"/>
      <c r="AB88" s="4" t="s">
        <v>31</v>
      </c>
    </row>
    <row r="89" spans="1:28" ht="28.5" hidden="1" x14ac:dyDescent="0.2">
      <c r="A89" s="2">
        <v>88</v>
      </c>
      <c r="B89" s="2">
        <v>31</v>
      </c>
      <c r="C89" s="36" t="s">
        <v>32</v>
      </c>
      <c r="D89" s="2" t="s">
        <v>32</v>
      </c>
      <c r="E89" s="2" t="s">
        <v>32</v>
      </c>
      <c r="F89" s="2" t="s">
        <v>47</v>
      </c>
      <c r="G89" s="2" t="s">
        <v>0</v>
      </c>
      <c r="H89" s="2" t="s">
        <v>18</v>
      </c>
      <c r="I89" s="7">
        <v>40022712</v>
      </c>
      <c r="J89" s="3" t="s">
        <v>330</v>
      </c>
      <c r="K89" s="3">
        <v>245675000</v>
      </c>
      <c r="L89" s="2" t="s">
        <v>49</v>
      </c>
      <c r="M89" s="17" t="s">
        <v>63</v>
      </c>
      <c r="N89" s="10"/>
      <c r="O89" s="10"/>
      <c r="P89" s="37" t="s">
        <v>686</v>
      </c>
      <c r="Q89" s="10">
        <v>44915</v>
      </c>
      <c r="R89" s="9">
        <v>44925</v>
      </c>
      <c r="S89" s="43"/>
      <c r="T89" s="2">
        <v>10</v>
      </c>
      <c r="U89" s="9">
        <v>44929</v>
      </c>
      <c r="V89" s="2">
        <v>-44915</v>
      </c>
      <c r="W89" s="38" t="s">
        <v>686</v>
      </c>
      <c r="X89" s="13">
        <v>-743</v>
      </c>
      <c r="Y89" s="2" t="s">
        <v>190</v>
      </c>
      <c r="Z89" s="12" t="s">
        <v>165</v>
      </c>
      <c r="AA89" s="57"/>
      <c r="AB89" s="4" t="s">
        <v>32</v>
      </c>
    </row>
    <row r="90" spans="1:28" ht="14.25" x14ac:dyDescent="0.25">
      <c r="A90" s="1"/>
      <c r="B90" s="1"/>
      <c r="C90" s="58"/>
      <c r="D90" s="1"/>
      <c r="E90" s="1"/>
      <c r="F90" s="1"/>
      <c r="G90" s="1"/>
      <c r="H90" s="1"/>
      <c r="I90" s="59"/>
      <c r="J90" s="60"/>
      <c r="K90" s="7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1"/>
    </row>
    <row r="91" spans="1:28" ht="14.25" x14ac:dyDescent="0.25">
      <c r="A91" s="1"/>
      <c r="B91" s="1"/>
      <c r="C91" s="58"/>
      <c r="D91" s="1"/>
      <c r="E91" s="1"/>
      <c r="F91" s="1"/>
      <c r="G91" s="1"/>
      <c r="H91" s="1"/>
      <c r="I91" s="60"/>
      <c r="J91" s="60"/>
      <c r="K91" s="7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1"/>
    </row>
    <row r="92" spans="1:28" ht="14.25" x14ac:dyDescent="0.25">
      <c r="A92" s="1"/>
      <c r="B92" s="1"/>
      <c r="C92" s="58"/>
      <c r="D92" s="1"/>
      <c r="E92" s="1"/>
      <c r="F92" s="1"/>
      <c r="G92" s="1"/>
      <c r="H92" s="1"/>
      <c r="I92" s="59"/>
      <c r="J92" s="70"/>
      <c r="K92" s="7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1"/>
    </row>
    <row r="93" spans="1:28" ht="14.25" x14ac:dyDescent="0.25">
      <c r="A93" s="1"/>
      <c r="B93" s="1"/>
      <c r="C93" s="58"/>
      <c r="D93" s="1"/>
      <c r="E93" s="1"/>
      <c r="F93" s="1"/>
      <c r="G93" s="1"/>
      <c r="H93" s="1"/>
      <c r="I93" s="59"/>
      <c r="J93" s="70"/>
      <c r="K93" s="7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1"/>
    </row>
    <row r="94" spans="1:28" ht="14.25" x14ac:dyDescent="0.25">
      <c r="A94" s="1"/>
      <c r="B94" s="1"/>
      <c r="C94" s="58"/>
      <c r="D94" s="1"/>
      <c r="E94" s="1"/>
      <c r="F94" s="1"/>
      <c r="G94" s="1"/>
      <c r="H94" s="1"/>
      <c r="I94" s="59"/>
      <c r="J94" s="60"/>
      <c r="K94" s="70"/>
      <c r="L94" s="60"/>
      <c r="M94" s="60"/>
      <c r="N94" s="60">
        <v>551368</v>
      </c>
      <c r="O94" s="83">
        <v>356309</v>
      </c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1"/>
    </row>
    <row r="95" spans="1:28" ht="14.25" x14ac:dyDescent="0.25">
      <c r="A95" s="1"/>
      <c r="B95" s="1"/>
      <c r="C95" s="58"/>
      <c r="D95" s="1"/>
      <c r="E95" s="1"/>
      <c r="F95" s="1"/>
      <c r="G95" s="1"/>
      <c r="H95" s="1"/>
      <c r="I95" s="59"/>
      <c r="J95" s="60" t="s">
        <v>358</v>
      </c>
      <c r="K95" s="70">
        <v>31</v>
      </c>
      <c r="L95" s="82">
        <f>+K95/K95</f>
        <v>1</v>
      </c>
      <c r="M95" s="60"/>
      <c r="N95" s="60">
        <f>+N94*40%</f>
        <v>220547.20000000001</v>
      </c>
      <c r="O95" s="60">
        <f>+N94-O94</f>
        <v>195059</v>
      </c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1"/>
    </row>
    <row r="96" spans="1:28" ht="14.25" x14ac:dyDescent="0.25">
      <c r="A96" s="1"/>
      <c r="B96" s="1"/>
      <c r="C96" s="58"/>
      <c r="D96" s="1"/>
      <c r="E96" s="1"/>
      <c r="F96" s="1"/>
      <c r="G96" s="1"/>
      <c r="H96" s="1"/>
      <c r="I96" s="59"/>
      <c r="J96" s="60" t="s">
        <v>359</v>
      </c>
      <c r="K96" s="70">
        <v>13</v>
      </c>
      <c r="L96" s="82">
        <f>+K96/K95</f>
        <v>0.41935483870967744</v>
      </c>
      <c r="M96" s="60"/>
      <c r="N96" s="60"/>
      <c r="O96" s="82">
        <f>+O95/N94</f>
        <v>0.35377279784100635</v>
      </c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1"/>
    </row>
    <row r="97" spans="1:26" ht="14.25" x14ac:dyDescent="0.25">
      <c r="A97" s="1"/>
      <c r="B97" s="1"/>
      <c r="C97" s="58"/>
      <c r="D97" s="1"/>
      <c r="E97" s="1"/>
      <c r="F97" s="1"/>
      <c r="G97" s="1"/>
      <c r="H97" s="1"/>
      <c r="I97" s="59"/>
      <c r="J97" s="60" t="s">
        <v>360</v>
      </c>
      <c r="K97" s="70">
        <v>4</v>
      </c>
      <c r="L97" s="82">
        <f>+K97/K95</f>
        <v>0.12903225806451613</v>
      </c>
      <c r="M97" s="60"/>
      <c r="N97" s="60"/>
      <c r="O97" s="82">
        <f>+O94/N94</f>
        <v>0.64622720215899365</v>
      </c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1"/>
    </row>
    <row r="98" spans="1:26" ht="14.25" x14ac:dyDescent="0.25">
      <c r="A98" s="1"/>
      <c r="B98" s="1"/>
      <c r="C98" s="58"/>
      <c r="D98" s="1"/>
      <c r="E98" s="1"/>
      <c r="F98" s="1"/>
      <c r="G98" s="1"/>
      <c r="H98" s="1"/>
      <c r="I98" s="59"/>
      <c r="J98" s="60"/>
      <c r="K98" s="7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1"/>
    </row>
    <row r="99" spans="1:26" ht="30.75" hidden="1" customHeight="1" x14ac:dyDescent="0.2">
      <c r="B99" s="154" t="s">
        <v>201</v>
      </c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55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 spans="1:26" ht="30.75" customHeight="1" x14ac:dyDescent="0.25">
      <c r="J100" s="53"/>
      <c r="M100" s="46"/>
      <c r="O100" s="70"/>
    </row>
    <row r="101" spans="1:26" ht="30.75" customHeight="1" x14ac:dyDescent="0.25">
      <c r="J101" s="53"/>
      <c r="K101" s="53"/>
      <c r="M101" s="46"/>
      <c r="N101" s="54"/>
      <c r="O101" s="70"/>
    </row>
    <row r="102" spans="1:26" ht="30.75" customHeight="1" x14ac:dyDescent="0.2">
      <c r="J102" s="19">
        <v>101083500</v>
      </c>
    </row>
    <row r="103" spans="1:26" ht="30.75" customHeight="1" x14ac:dyDescent="0.2">
      <c r="J103" s="19">
        <f>+ROUND(J102/3,0)</f>
        <v>33694500</v>
      </c>
    </row>
    <row r="104" spans="1:26" ht="30.75" customHeight="1" x14ac:dyDescent="0.2">
      <c r="J104" s="19">
        <v>12.48</v>
      </c>
    </row>
    <row r="105" spans="1:26" ht="30.75" customHeight="1" x14ac:dyDescent="0.2">
      <c r="J105" s="47">
        <v>989399</v>
      </c>
    </row>
    <row r="106" spans="1:26" ht="30.75" customHeight="1" x14ac:dyDescent="0.2">
      <c r="J106" s="53">
        <f>+J105/J104</f>
        <v>79278.766025641016</v>
      </c>
    </row>
  </sheetData>
  <autoFilter ref="A1:AB89" xr:uid="{00000000-0009-0000-0000-000004000000}">
    <filterColumn colId="6">
      <filters>
        <filter val="CURACO DE VELEZ"/>
      </filters>
    </filterColumn>
  </autoFilter>
  <mergeCells count="1">
    <mergeCell ref="B99:L99"/>
  </mergeCells>
  <conditionalFormatting sqref="B67 I67:L67 N67">
    <cfRule type="duplicateValues" dxfId="116" priority="266"/>
  </conditionalFormatting>
  <conditionalFormatting sqref="C1:C98 C100:C65536">
    <cfRule type="containsText" dxfId="115" priority="1124" operator="containsText" text="NO">
      <formula>NOT(ISERROR(SEARCH("NO",C1)))</formula>
    </cfRule>
    <cfRule type="containsText" dxfId="114" priority="1125" operator="containsText" text="SI">
      <formula>NOT(ISERROR(SEARCH("SI",C1)))</formula>
    </cfRule>
  </conditionalFormatting>
  <conditionalFormatting sqref="C2:E98 D100:E65536">
    <cfRule type="cellIs" dxfId="113" priority="1126" operator="equal">
      <formula>"SI"</formula>
    </cfRule>
    <cfRule type="cellIs" dxfId="112" priority="1127" operator="equal">
      <formula>"NO"</formula>
    </cfRule>
  </conditionalFormatting>
  <conditionalFormatting sqref="F61">
    <cfRule type="duplicateValues" dxfId="111" priority="330"/>
    <cfRule type="duplicateValues" dxfId="110" priority="331"/>
  </conditionalFormatting>
  <conditionalFormatting sqref="H67">
    <cfRule type="duplicateValues" dxfId="109" priority="267"/>
  </conditionalFormatting>
  <conditionalFormatting sqref="I12">
    <cfRule type="duplicateValues" dxfId="108" priority="918"/>
    <cfRule type="duplicateValues" dxfId="107" priority="919"/>
  </conditionalFormatting>
  <conditionalFormatting sqref="I13">
    <cfRule type="duplicateValues" dxfId="106" priority="907"/>
    <cfRule type="duplicateValues" dxfId="105" priority="908"/>
  </conditionalFormatting>
  <conditionalFormatting sqref="I14">
    <cfRule type="duplicateValues" dxfId="104" priority="889"/>
    <cfRule type="duplicateValues" dxfId="103" priority="890"/>
  </conditionalFormatting>
  <conditionalFormatting sqref="I15">
    <cfRule type="duplicateValues" dxfId="102" priority="880"/>
    <cfRule type="duplicateValues" dxfId="101" priority="881"/>
  </conditionalFormatting>
  <conditionalFormatting sqref="I16">
    <cfRule type="duplicateValues" dxfId="100" priority="863"/>
    <cfRule type="duplicateValues" dxfId="99" priority="864"/>
  </conditionalFormatting>
  <conditionalFormatting sqref="I17">
    <cfRule type="duplicateValues" dxfId="98" priority="836"/>
    <cfRule type="duplicateValues" dxfId="97" priority="837"/>
  </conditionalFormatting>
  <conditionalFormatting sqref="I18">
    <cfRule type="duplicateValues" dxfId="96" priority="818"/>
    <cfRule type="duplicateValues" dxfId="95" priority="819"/>
  </conditionalFormatting>
  <conditionalFormatting sqref="I20">
    <cfRule type="duplicateValues" dxfId="94" priority="799"/>
    <cfRule type="duplicateValues" dxfId="93" priority="800"/>
  </conditionalFormatting>
  <conditionalFormatting sqref="I21">
    <cfRule type="duplicateValues" dxfId="92" priority="790"/>
    <cfRule type="duplicateValues" dxfId="91" priority="791"/>
  </conditionalFormatting>
  <conditionalFormatting sqref="I23">
    <cfRule type="duplicateValues" dxfId="90" priority="767"/>
    <cfRule type="duplicateValues" dxfId="89" priority="768"/>
  </conditionalFormatting>
  <conditionalFormatting sqref="I24">
    <cfRule type="duplicateValues" dxfId="88" priority="752"/>
    <cfRule type="duplicateValues" dxfId="87" priority="753"/>
  </conditionalFormatting>
  <conditionalFormatting sqref="I25">
    <cfRule type="duplicateValues" dxfId="86" priority="740"/>
    <cfRule type="duplicateValues" dxfId="85" priority="741"/>
  </conditionalFormatting>
  <conditionalFormatting sqref="I26">
    <cfRule type="duplicateValues" dxfId="84" priority="728"/>
    <cfRule type="duplicateValues" dxfId="83" priority="729"/>
  </conditionalFormatting>
  <conditionalFormatting sqref="I27">
    <cfRule type="duplicateValues" dxfId="82" priority="716"/>
    <cfRule type="duplicateValues" dxfId="81" priority="717"/>
  </conditionalFormatting>
  <conditionalFormatting sqref="I30">
    <cfRule type="duplicateValues" dxfId="80" priority="684"/>
    <cfRule type="duplicateValues" dxfId="79" priority="685"/>
  </conditionalFormatting>
  <conditionalFormatting sqref="I31">
    <cfRule type="duplicateValues" dxfId="78" priority="672"/>
    <cfRule type="duplicateValues" dxfId="77" priority="673"/>
  </conditionalFormatting>
  <conditionalFormatting sqref="I33">
    <cfRule type="duplicateValues" dxfId="76" priority="650"/>
    <cfRule type="duplicateValues" dxfId="75" priority="651"/>
  </conditionalFormatting>
  <conditionalFormatting sqref="I35">
    <cfRule type="duplicateValues" dxfId="74" priority="631"/>
    <cfRule type="duplicateValues" dxfId="73" priority="632"/>
  </conditionalFormatting>
  <conditionalFormatting sqref="I36">
    <cfRule type="duplicateValues" dxfId="72" priority="619"/>
    <cfRule type="duplicateValues" dxfId="71" priority="620"/>
  </conditionalFormatting>
  <conditionalFormatting sqref="I37">
    <cfRule type="duplicateValues" dxfId="70" priority="610"/>
    <cfRule type="duplicateValues" dxfId="69" priority="611"/>
  </conditionalFormatting>
  <conditionalFormatting sqref="I38">
    <cfRule type="duplicateValues" dxfId="68" priority="595"/>
    <cfRule type="duplicateValues" dxfId="67" priority="596"/>
  </conditionalFormatting>
  <conditionalFormatting sqref="I40">
    <cfRule type="duplicateValues" dxfId="66" priority="563"/>
    <cfRule type="duplicateValues" dxfId="65" priority="564"/>
  </conditionalFormatting>
  <conditionalFormatting sqref="I41">
    <cfRule type="duplicateValues" dxfId="64" priority="551"/>
    <cfRule type="duplicateValues" dxfId="63" priority="552"/>
  </conditionalFormatting>
  <conditionalFormatting sqref="I42">
    <cfRule type="duplicateValues" dxfId="62" priority="160"/>
    <cfRule type="duplicateValues" dxfId="61" priority="161"/>
  </conditionalFormatting>
  <conditionalFormatting sqref="I43">
    <cfRule type="duplicateValues" dxfId="60" priority="520"/>
    <cfRule type="duplicateValues" dxfId="59" priority="521"/>
  </conditionalFormatting>
  <conditionalFormatting sqref="I44">
    <cfRule type="duplicateValues" dxfId="58" priority="507"/>
    <cfRule type="duplicateValues" dxfId="57" priority="508"/>
  </conditionalFormatting>
  <conditionalFormatting sqref="I45">
    <cfRule type="duplicateValues" dxfId="56" priority="495"/>
    <cfRule type="duplicateValues" dxfId="55" priority="496"/>
  </conditionalFormatting>
  <conditionalFormatting sqref="I46">
    <cfRule type="duplicateValues" dxfId="54" priority="478"/>
    <cfRule type="duplicateValues" dxfId="53" priority="479"/>
  </conditionalFormatting>
  <conditionalFormatting sqref="I47">
    <cfRule type="duplicateValues" dxfId="52" priority="469"/>
    <cfRule type="duplicateValues" dxfId="51" priority="470"/>
  </conditionalFormatting>
  <conditionalFormatting sqref="I48">
    <cfRule type="duplicateValues" dxfId="50" priority="457"/>
    <cfRule type="duplicateValues" dxfId="49" priority="458"/>
  </conditionalFormatting>
  <conditionalFormatting sqref="I49">
    <cfRule type="duplicateValues" dxfId="48" priority="445"/>
    <cfRule type="duplicateValues" dxfId="47" priority="446"/>
  </conditionalFormatting>
  <conditionalFormatting sqref="I50">
    <cfRule type="duplicateValues" dxfId="46" priority="433"/>
    <cfRule type="duplicateValues" dxfId="45" priority="434"/>
  </conditionalFormatting>
  <conditionalFormatting sqref="I51">
    <cfRule type="duplicateValues" dxfId="44" priority="421"/>
    <cfRule type="duplicateValues" dxfId="43" priority="422"/>
  </conditionalFormatting>
  <conditionalFormatting sqref="I52">
    <cfRule type="duplicateValues" dxfId="42" priority="162"/>
    <cfRule type="duplicateValues" dxfId="41" priority="163"/>
  </conditionalFormatting>
  <conditionalFormatting sqref="I53">
    <cfRule type="duplicateValues" dxfId="40" priority="397"/>
    <cfRule type="duplicateValues" dxfId="39" priority="398"/>
  </conditionalFormatting>
  <conditionalFormatting sqref="I54">
    <cfRule type="duplicateValues" dxfId="38" priority="383"/>
    <cfRule type="duplicateValues" dxfId="37" priority="384"/>
  </conditionalFormatting>
  <conditionalFormatting sqref="I59">
    <cfRule type="duplicateValues" dxfId="36" priority="342"/>
    <cfRule type="duplicateValues" dxfId="35" priority="343"/>
  </conditionalFormatting>
  <conditionalFormatting sqref="I61">
    <cfRule type="duplicateValues" dxfId="34" priority="328"/>
    <cfRule type="duplicateValues" dxfId="33" priority="329"/>
  </conditionalFormatting>
  <conditionalFormatting sqref="I62">
    <cfRule type="duplicateValues" dxfId="32" priority="314"/>
    <cfRule type="duplicateValues" dxfId="31" priority="315"/>
  </conditionalFormatting>
  <conditionalFormatting sqref="I67">
    <cfRule type="duplicateValues" dxfId="30" priority="261"/>
    <cfRule type="duplicateValues" dxfId="29" priority="262"/>
  </conditionalFormatting>
  <conditionalFormatting sqref="I69">
    <cfRule type="duplicateValues" dxfId="28" priority="229"/>
    <cfRule type="duplicateValues" dxfId="27" priority="230"/>
  </conditionalFormatting>
  <conditionalFormatting sqref="I72">
    <cfRule type="duplicateValues" dxfId="26" priority="195"/>
    <cfRule type="duplicateValues" dxfId="25" priority="196"/>
  </conditionalFormatting>
  <conditionalFormatting sqref="I76">
    <cfRule type="duplicateValues" dxfId="24" priority="149"/>
    <cfRule type="duplicateValues" dxfId="23" priority="150"/>
  </conditionalFormatting>
  <conditionalFormatting sqref="I89">
    <cfRule type="duplicateValues" dxfId="22" priority="1"/>
    <cfRule type="duplicateValues" dxfId="21" priority="2"/>
  </conditionalFormatting>
  <conditionalFormatting sqref="X2:X89">
    <cfRule type="cellIs" dxfId="20" priority="3" operator="greaterThan">
      <formula>5</formula>
    </cfRule>
    <cfRule type="cellIs" dxfId="19" priority="4" operator="between">
      <formula>0</formula>
      <formula>5</formula>
    </cfRule>
    <cfRule type="cellIs" dxfId="18" priority="5" operator="lessThan">
      <formula>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74" orientation="landscape" r:id="rId1"/>
  <colBreaks count="1" manualBreakCount="1">
    <brk id="12" max="102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9"/>
  <dimension ref="A1:N59"/>
  <sheetViews>
    <sheetView workbookViewId="0">
      <selection activeCell="J2" sqref="J2:J17"/>
    </sheetView>
  </sheetViews>
  <sheetFormatPr baseColWidth="10" defaultRowHeight="12.75" x14ac:dyDescent="0.2"/>
  <cols>
    <col min="1" max="1" width="12.85546875" customWidth="1"/>
    <col min="3" max="3" width="12.7109375" bestFit="1" customWidth="1"/>
    <col min="4" max="4" width="17.7109375" bestFit="1" customWidth="1"/>
    <col min="5" max="10" width="12.7109375" bestFit="1" customWidth="1"/>
    <col min="13" max="13" width="18.85546875" bestFit="1" customWidth="1"/>
    <col min="14" max="14" width="12.5703125" bestFit="1" customWidth="1"/>
  </cols>
  <sheetData>
    <row r="1" spans="1:14" ht="15" x14ac:dyDescent="0.25">
      <c r="A1" s="21" t="s">
        <v>96</v>
      </c>
      <c r="B1" s="24" t="s">
        <v>100</v>
      </c>
      <c r="C1" s="24" t="s">
        <v>147</v>
      </c>
      <c r="D1" s="24" t="s">
        <v>171</v>
      </c>
      <c r="E1" s="24" t="s">
        <v>188</v>
      </c>
      <c r="F1" s="24" t="s">
        <v>212</v>
      </c>
      <c r="G1" s="24" t="s">
        <v>329</v>
      </c>
      <c r="H1" s="24" t="s">
        <v>522</v>
      </c>
      <c r="I1" s="24" t="s">
        <v>684</v>
      </c>
      <c r="J1" s="24" t="s">
        <v>838</v>
      </c>
      <c r="M1" s="92" t="s">
        <v>556</v>
      </c>
      <c r="N1" s="92" t="s">
        <v>35</v>
      </c>
    </row>
    <row r="2" spans="1:14" ht="14.25" x14ac:dyDescent="0.2">
      <c r="A2" s="22">
        <v>42736</v>
      </c>
      <c r="B2" s="23">
        <v>43101</v>
      </c>
      <c r="C2" s="23">
        <v>43466</v>
      </c>
      <c r="D2" s="23">
        <v>43831</v>
      </c>
      <c r="E2" s="23">
        <v>44197</v>
      </c>
      <c r="F2" s="23">
        <v>44562</v>
      </c>
      <c r="G2" s="23">
        <v>44927</v>
      </c>
      <c r="H2" s="23">
        <v>45292</v>
      </c>
      <c r="I2" s="23">
        <v>45658</v>
      </c>
      <c r="J2" s="23">
        <v>46023</v>
      </c>
      <c r="M2" t="s">
        <v>557</v>
      </c>
      <c r="N2" t="s">
        <v>45</v>
      </c>
    </row>
    <row r="3" spans="1:14" ht="14.25" x14ac:dyDescent="0.2">
      <c r="A3" s="22">
        <v>42839</v>
      </c>
      <c r="B3" s="23">
        <v>43189</v>
      </c>
      <c r="C3" s="23">
        <v>43574</v>
      </c>
      <c r="D3" s="23">
        <v>43931</v>
      </c>
      <c r="E3" s="23">
        <v>44288</v>
      </c>
      <c r="F3" s="23">
        <v>44666</v>
      </c>
      <c r="G3" s="23">
        <v>44959</v>
      </c>
      <c r="H3" s="23">
        <v>45380</v>
      </c>
      <c r="I3" s="23">
        <v>45765</v>
      </c>
      <c r="J3" s="23">
        <v>46115</v>
      </c>
      <c r="M3" t="s">
        <v>558</v>
      </c>
      <c r="N3" t="s">
        <v>45</v>
      </c>
    </row>
    <row r="4" spans="1:14" ht="14.25" x14ac:dyDescent="0.2">
      <c r="A4" s="22">
        <v>42856</v>
      </c>
      <c r="B4" s="23">
        <v>43190</v>
      </c>
      <c r="C4" s="23">
        <v>43575</v>
      </c>
      <c r="D4" s="23">
        <v>43932</v>
      </c>
      <c r="E4" s="23">
        <v>44337</v>
      </c>
      <c r="F4" s="23">
        <v>44667</v>
      </c>
      <c r="G4" s="23">
        <v>45023</v>
      </c>
      <c r="H4" s="23">
        <v>45381</v>
      </c>
      <c r="I4" s="23">
        <v>45766</v>
      </c>
      <c r="J4" s="23">
        <v>46116</v>
      </c>
      <c r="M4" t="s">
        <v>559</v>
      </c>
      <c r="N4" t="s">
        <v>45</v>
      </c>
    </row>
    <row r="5" spans="1:14" ht="14.25" x14ac:dyDescent="0.2">
      <c r="A5" s="22">
        <v>42912</v>
      </c>
      <c r="B5" s="23">
        <v>43221</v>
      </c>
      <c r="C5" s="23">
        <v>43586</v>
      </c>
      <c r="D5" s="23">
        <v>43947</v>
      </c>
      <c r="E5" s="23">
        <v>44368</v>
      </c>
      <c r="F5" s="23">
        <v>44682</v>
      </c>
      <c r="G5" s="23">
        <v>45024</v>
      </c>
      <c r="H5" s="23">
        <v>45413</v>
      </c>
      <c r="I5" s="23">
        <v>45778</v>
      </c>
      <c r="J5" s="23">
        <v>46143</v>
      </c>
      <c r="M5" t="s">
        <v>560</v>
      </c>
      <c r="N5" t="s">
        <v>45</v>
      </c>
    </row>
    <row r="6" spans="1:14" ht="14.25" x14ac:dyDescent="0.2">
      <c r="A6" s="22">
        <v>42962</v>
      </c>
      <c r="B6" s="23">
        <v>43241</v>
      </c>
      <c r="C6" s="23">
        <v>43606</v>
      </c>
      <c r="D6" s="23">
        <v>43952</v>
      </c>
      <c r="E6" s="23">
        <v>44375</v>
      </c>
      <c r="F6" s="23">
        <v>44702</v>
      </c>
      <c r="G6" s="23">
        <v>45047</v>
      </c>
      <c r="H6" s="23">
        <v>45433</v>
      </c>
      <c r="I6" s="23">
        <v>45798</v>
      </c>
      <c r="J6" s="23">
        <v>46163</v>
      </c>
      <c r="M6" t="s">
        <v>561</v>
      </c>
      <c r="N6" t="s">
        <v>45</v>
      </c>
    </row>
    <row r="7" spans="1:14" ht="14.25" x14ac:dyDescent="0.2">
      <c r="A7" s="22">
        <v>42996</v>
      </c>
      <c r="B7" s="23">
        <v>43283</v>
      </c>
      <c r="C7" s="23">
        <v>43645</v>
      </c>
      <c r="D7" s="23">
        <v>43972</v>
      </c>
      <c r="E7" s="23">
        <v>44393</v>
      </c>
      <c r="F7" s="23">
        <v>44733</v>
      </c>
      <c r="G7" s="23">
        <v>45067</v>
      </c>
      <c r="H7" s="23">
        <v>45452</v>
      </c>
      <c r="I7" s="23">
        <v>45828</v>
      </c>
      <c r="J7" s="23">
        <v>46194</v>
      </c>
      <c r="M7" t="s">
        <v>562</v>
      </c>
      <c r="N7" t="s">
        <v>45</v>
      </c>
    </row>
    <row r="8" spans="1:14" ht="14.25" x14ac:dyDescent="0.2">
      <c r="A8" s="22">
        <v>42997</v>
      </c>
      <c r="B8" s="23">
        <v>43297</v>
      </c>
      <c r="C8" s="23">
        <v>43662</v>
      </c>
      <c r="D8" s="23">
        <v>43989</v>
      </c>
      <c r="E8" s="23">
        <v>44456</v>
      </c>
      <c r="F8" s="23">
        <v>44739</v>
      </c>
      <c r="G8" s="23">
        <v>45098</v>
      </c>
      <c r="H8" s="23">
        <v>45463</v>
      </c>
      <c r="I8" s="23">
        <v>45837</v>
      </c>
      <c r="J8" s="23">
        <v>46202</v>
      </c>
      <c r="M8" t="s">
        <v>563</v>
      </c>
      <c r="N8" t="s">
        <v>45</v>
      </c>
    </row>
    <row r="9" spans="1:14" ht="14.25" x14ac:dyDescent="0.2">
      <c r="A9" s="22">
        <v>43017</v>
      </c>
      <c r="B9" s="23">
        <v>43327</v>
      </c>
      <c r="C9" s="23">
        <v>43692</v>
      </c>
      <c r="D9" s="23">
        <v>44011</v>
      </c>
      <c r="E9" s="23">
        <v>44480</v>
      </c>
      <c r="F9" s="23">
        <v>44758</v>
      </c>
      <c r="G9" s="23">
        <v>45103</v>
      </c>
      <c r="H9" s="23">
        <v>45472</v>
      </c>
      <c r="I9" s="23">
        <v>45854</v>
      </c>
      <c r="J9" s="23">
        <v>46219</v>
      </c>
      <c r="M9" t="s">
        <v>564</v>
      </c>
      <c r="N9" t="s">
        <v>45</v>
      </c>
    </row>
    <row r="10" spans="1:14" ht="14.25" x14ac:dyDescent="0.2">
      <c r="A10" s="22">
        <v>43035</v>
      </c>
      <c r="B10" s="23">
        <v>43360</v>
      </c>
      <c r="C10" s="23">
        <v>43726</v>
      </c>
      <c r="D10" s="23">
        <v>44028</v>
      </c>
      <c r="E10" s="23">
        <v>44501</v>
      </c>
      <c r="F10" s="23">
        <v>44788</v>
      </c>
      <c r="G10" s="23">
        <v>45123</v>
      </c>
      <c r="H10" s="23">
        <v>45489</v>
      </c>
      <c r="I10" s="23">
        <v>45884</v>
      </c>
      <c r="J10" s="23">
        <v>46249</v>
      </c>
      <c r="M10" t="s">
        <v>565</v>
      </c>
      <c r="N10" t="s">
        <v>45</v>
      </c>
    </row>
    <row r="11" spans="1:14" ht="14.25" x14ac:dyDescent="0.2">
      <c r="A11" s="22">
        <v>43040</v>
      </c>
      <c r="B11" s="23">
        <v>43361</v>
      </c>
      <c r="C11" s="23">
        <v>43727</v>
      </c>
      <c r="D11" s="23">
        <v>44058</v>
      </c>
      <c r="E11" s="23">
        <v>44538</v>
      </c>
      <c r="F11" s="23">
        <v>44822</v>
      </c>
      <c r="G11" s="23">
        <v>45153</v>
      </c>
      <c r="H11" s="23">
        <v>45519</v>
      </c>
      <c r="I11" s="23">
        <v>45918</v>
      </c>
      <c r="J11" s="23">
        <v>46283</v>
      </c>
      <c r="M11" t="s">
        <v>566</v>
      </c>
      <c r="N11" t="s">
        <v>45</v>
      </c>
    </row>
    <row r="12" spans="1:14" ht="14.25" x14ac:dyDescent="0.2">
      <c r="A12" s="22">
        <v>43077</v>
      </c>
      <c r="B12" s="23">
        <v>43362</v>
      </c>
      <c r="C12" s="23">
        <v>43728</v>
      </c>
      <c r="D12" s="23">
        <v>44092</v>
      </c>
      <c r="F12" s="23">
        <v>44823</v>
      </c>
      <c r="G12" s="23">
        <v>45187</v>
      </c>
      <c r="H12" s="23">
        <v>45553</v>
      </c>
      <c r="I12" s="23">
        <v>45919</v>
      </c>
      <c r="J12" s="23">
        <v>46284</v>
      </c>
      <c r="M12" t="s">
        <v>567</v>
      </c>
      <c r="N12" t="s">
        <v>568</v>
      </c>
    </row>
    <row r="13" spans="1:14" ht="14.25" x14ac:dyDescent="0.2">
      <c r="A13" s="22">
        <v>43094</v>
      </c>
      <c r="B13" s="23">
        <v>43388</v>
      </c>
      <c r="C13" s="23">
        <v>43750</v>
      </c>
      <c r="D13" s="23">
        <v>44093</v>
      </c>
      <c r="F13" s="23">
        <v>44844</v>
      </c>
      <c r="G13" s="23">
        <v>45188</v>
      </c>
      <c r="H13" s="23">
        <v>45554</v>
      </c>
      <c r="I13" s="23">
        <v>45942</v>
      </c>
      <c r="J13" s="23">
        <v>46307</v>
      </c>
      <c r="M13" t="s">
        <v>569</v>
      </c>
      <c r="N13" t="s">
        <v>568</v>
      </c>
    </row>
    <row r="14" spans="1:14" x14ac:dyDescent="0.2">
      <c r="B14" s="23">
        <v>43405</v>
      </c>
      <c r="C14" s="23">
        <v>43769</v>
      </c>
      <c r="D14" s="23">
        <v>44116</v>
      </c>
      <c r="F14" s="23">
        <v>44865</v>
      </c>
      <c r="G14" s="23">
        <v>45208</v>
      </c>
      <c r="H14" s="23">
        <v>45555</v>
      </c>
      <c r="I14" s="23">
        <v>45961</v>
      </c>
      <c r="J14" s="23">
        <v>46326</v>
      </c>
      <c r="M14" t="s">
        <v>570</v>
      </c>
      <c r="N14" t="s">
        <v>568</v>
      </c>
    </row>
    <row r="15" spans="1:14" x14ac:dyDescent="0.2">
      <c r="B15" s="23">
        <v>43406</v>
      </c>
      <c r="C15" s="23">
        <v>43770</v>
      </c>
      <c r="D15" s="23">
        <v>44129</v>
      </c>
      <c r="F15" s="23">
        <v>44866</v>
      </c>
      <c r="G15" s="23">
        <v>45226</v>
      </c>
      <c r="H15" s="23">
        <v>45577</v>
      </c>
      <c r="I15" s="23">
        <v>45962</v>
      </c>
      <c r="J15" s="23">
        <v>46327</v>
      </c>
      <c r="M15" t="s">
        <v>571</v>
      </c>
      <c r="N15" t="s">
        <v>568</v>
      </c>
    </row>
    <row r="16" spans="1:14" x14ac:dyDescent="0.2">
      <c r="B16" s="23">
        <v>43442</v>
      </c>
      <c r="C16" s="23">
        <v>43807</v>
      </c>
      <c r="D16" s="23">
        <v>44136</v>
      </c>
      <c r="F16" s="23">
        <v>44903</v>
      </c>
      <c r="G16" s="23">
        <v>45231</v>
      </c>
      <c r="H16" s="23">
        <v>45592</v>
      </c>
      <c r="I16" s="23">
        <v>45977</v>
      </c>
      <c r="J16" s="23">
        <v>46364</v>
      </c>
      <c r="M16" t="s">
        <v>572</v>
      </c>
      <c r="N16" t="s">
        <v>568</v>
      </c>
    </row>
    <row r="17" spans="2:14" x14ac:dyDescent="0.2">
      <c r="B17" s="23">
        <v>43459</v>
      </c>
      <c r="C17" s="23">
        <v>43824</v>
      </c>
      <c r="D17" s="23">
        <v>44173</v>
      </c>
      <c r="F17" s="23">
        <v>44920</v>
      </c>
      <c r="G17" s="23">
        <v>45268</v>
      </c>
      <c r="H17" s="23">
        <v>45596</v>
      </c>
      <c r="I17" s="23">
        <v>45999</v>
      </c>
      <c r="J17" s="23">
        <v>46381</v>
      </c>
      <c r="M17" t="s">
        <v>573</v>
      </c>
      <c r="N17" t="s">
        <v>568</v>
      </c>
    </row>
    <row r="18" spans="2:14" x14ac:dyDescent="0.2">
      <c r="D18" s="23">
        <v>44190</v>
      </c>
      <c r="F18" s="23">
        <v>44820</v>
      </c>
      <c r="G18" s="23">
        <v>45285</v>
      </c>
      <c r="H18" s="23">
        <v>45597</v>
      </c>
      <c r="I18" s="23">
        <v>46005</v>
      </c>
      <c r="M18" t="s">
        <v>574</v>
      </c>
      <c r="N18" t="s">
        <v>568</v>
      </c>
    </row>
    <row r="19" spans="2:14" x14ac:dyDescent="0.2">
      <c r="H19" s="23">
        <v>45620</v>
      </c>
      <c r="I19" s="23">
        <v>46016</v>
      </c>
      <c r="M19" t="s">
        <v>575</v>
      </c>
      <c r="N19" t="s">
        <v>568</v>
      </c>
    </row>
    <row r="20" spans="2:14" x14ac:dyDescent="0.2">
      <c r="H20" s="23">
        <v>45634</v>
      </c>
      <c r="I20" s="23"/>
      <c r="M20" t="s">
        <v>576</v>
      </c>
      <c r="N20" t="s">
        <v>568</v>
      </c>
    </row>
    <row r="21" spans="2:14" x14ac:dyDescent="0.2">
      <c r="H21" s="23">
        <v>45651</v>
      </c>
      <c r="I21" s="23"/>
      <c r="M21" t="s">
        <v>577</v>
      </c>
      <c r="N21" t="s">
        <v>568</v>
      </c>
    </row>
    <row r="22" spans="2:14" x14ac:dyDescent="0.2">
      <c r="I22" s="23"/>
      <c r="M22" t="s">
        <v>578</v>
      </c>
      <c r="N22" t="s">
        <v>568</v>
      </c>
    </row>
    <row r="23" spans="2:14" x14ac:dyDescent="0.2">
      <c r="I23" s="23"/>
      <c r="M23" t="s">
        <v>579</v>
      </c>
      <c r="N23" t="s">
        <v>42</v>
      </c>
    </row>
    <row r="24" spans="2:14" ht="14.25" x14ac:dyDescent="0.2">
      <c r="C24" s="155"/>
      <c r="D24" s="155"/>
      <c r="E24" s="20"/>
      <c r="F24" s="155"/>
      <c r="G24" s="155"/>
      <c r="H24" s="20"/>
      <c r="I24" s="20"/>
      <c r="M24" t="s">
        <v>580</v>
      </c>
      <c r="N24" t="s">
        <v>42</v>
      </c>
    </row>
    <row r="25" spans="2:14" ht="14.25" x14ac:dyDescent="0.2">
      <c r="C25" s="155"/>
      <c r="D25" s="155"/>
      <c r="E25" s="20"/>
      <c r="F25" s="20"/>
      <c r="G25" s="20"/>
      <c r="H25" s="26"/>
      <c r="I25" s="25"/>
      <c r="M25" t="s">
        <v>581</v>
      </c>
      <c r="N25" t="s">
        <v>42</v>
      </c>
    </row>
    <row r="26" spans="2:14" ht="14.25" x14ac:dyDescent="0.2">
      <c r="C26" s="155"/>
      <c r="D26" s="155"/>
      <c r="E26" s="20"/>
      <c r="F26" s="20"/>
      <c r="G26" s="20"/>
      <c r="H26" s="20"/>
      <c r="I26" s="20"/>
      <c r="M26" t="s">
        <v>582</v>
      </c>
      <c r="N26" t="s">
        <v>42</v>
      </c>
    </row>
    <row r="27" spans="2:14" ht="14.25" x14ac:dyDescent="0.2">
      <c r="C27" s="155"/>
      <c r="D27" s="155"/>
      <c r="E27" s="20"/>
      <c r="F27" s="20"/>
      <c r="G27" s="20"/>
      <c r="H27" s="20"/>
      <c r="I27" s="20"/>
      <c r="M27" t="s">
        <v>583</v>
      </c>
      <c r="N27" t="s">
        <v>42</v>
      </c>
    </row>
    <row r="28" spans="2:14" ht="14.25" x14ac:dyDescent="0.2">
      <c r="C28" s="20"/>
      <c r="D28" s="20"/>
      <c r="E28" s="20"/>
      <c r="F28" s="20"/>
      <c r="G28" s="20"/>
      <c r="H28" s="20"/>
      <c r="I28" s="20"/>
      <c r="M28" t="s">
        <v>584</v>
      </c>
      <c r="N28" t="s">
        <v>42</v>
      </c>
    </row>
    <row r="29" spans="2:14" x14ac:dyDescent="0.2">
      <c r="M29" t="s">
        <v>585</v>
      </c>
      <c r="N29" t="s">
        <v>42</v>
      </c>
    </row>
    <row r="30" spans="2:14" x14ac:dyDescent="0.2">
      <c r="M30" t="s">
        <v>586</v>
      </c>
      <c r="N30" t="s">
        <v>42</v>
      </c>
    </row>
    <row r="31" spans="2:14" x14ac:dyDescent="0.2">
      <c r="M31" t="s">
        <v>587</v>
      </c>
      <c r="N31" t="s">
        <v>48</v>
      </c>
    </row>
    <row r="32" spans="2:14" x14ac:dyDescent="0.2">
      <c r="M32" t="s">
        <v>588</v>
      </c>
      <c r="N32" t="s">
        <v>48</v>
      </c>
    </row>
    <row r="33" spans="1:14" x14ac:dyDescent="0.2">
      <c r="M33" t="s">
        <v>589</v>
      </c>
      <c r="N33" t="s">
        <v>48</v>
      </c>
    </row>
    <row r="34" spans="1:14" x14ac:dyDescent="0.2">
      <c r="M34" t="s">
        <v>590</v>
      </c>
      <c r="N34" t="s">
        <v>48</v>
      </c>
    </row>
    <row r="35" spans="1:14" x14ac:dyDescent="0.2">
      <c r="M35" t="s">
        <v>591</v>
      </c>
      <c r="N35" t="s">
        <v>48</v>
      </c>
    </row>
    <row r="36" spans="1:14" x14ac:dyDescent="0.2">
      <c r="M36" t="s">
        <v>592</v>
      </c>
      <c r="N36" t="s">
        <v>179</v>
      </c>
    </row>
    <row r="44" spans="1:14" ht="15" customHeight="1" x14ac:dyDescent="0.2">
      <c r="A44" s="27" t="s">
        <v>104</v>
      </c>
      <c r="B44" s="27" t="s">
        <v>105</v>
      </c>
      <c r="C44" s="27" t="s">
        <v>106</v>
      </c>
      <c r="D44" s="28" t="s">
        <v>107</v>
      </c>
      <c r="F44" s="23">
        <v>43466</v>
      </c>
    </row>
    <row r="45" spans="1:14" ht="30" x14ac:dyDescent="0.2">
      <c r="A45" s="29" t="s">
        <v>108</v>
      </c>
      <c r="B45" s="29" t="s">
        <v>109</v>
      </c>
      <c r="C45" s="29" t="s">
        <v>110</v>
      </c>
      <c r="D45" s="30" t="s">
        <v>111</v>
      </c>
      <c r="F45" s="23">
        <v>43574</v>
      </c>
    </row>
    <row r="46" spans="1:14" ht="30" x14ac:dyDescent="0.2">
      <c r="A46" s="27" t="s">
        <v>112</v>
      </c>
      <c r="B46" s="27" t="s">
        <v>113</v>
      </c>
      <c r="C46" s="27" t="s">
        <v>110</v>
      </c>
      <c r="D46" s="28" t="s">
        <v>111</v>
      </c>
      <c r="F46" s="23">
        <v>43575</v>
      </c>
    </row>
    <row r="47" spans="1:14" ht="30" customHeight="1" x14ac:dyDescent="0.2">
      <c r="A47" s="31" t="s">
        <v>114</v>
      </c>
      <c r="B47" s="31" t="s">
        <v>115</v>
      </c>
      <c r="C47" s="31" t="s">
        <v>106</v>
      </c>
      <c r="D47" s="32" t="s">
        <v>116</v>
      </c>
      <c r="F47" s="23">
        <v>43586</v>
      </c>
    </row>
    <row r="48" spans="1:14" ht="45" x14ac:dyDescent="0.2">
      <c r="A48" s="27" t="s">
        <v>117</v>
      </c>
      <c r="B48" s="27" t="s">
        <v>118</v>
      </c>
      <c r="C48" s="27" t="s">
        <v>106</v>
      </c>
      <c r="D48" s="28" t="s">
        <v>111</v>
      </c>
      <c r="F48" s="23">
        <v>43606</v>
      </c>
    </row>
    <row r="49" spans="1:6" ht="30" x14ac:dyDescent="0.2">
      <c r="A49" s="31" t="s">
        <v>119</v>
      </c>
      <c r="B49" s="31" t="s">
        <v>120</v>
      </c>
      <c r="C49" s="31" t="s">
        <v>110</v>
      </c>
      <c r="D49" s="32" t="s">
        <v>121</v>
      </c>
      <c r="F49" s="23">
        <v>43645</v>
      </c>
    </row>
    <row r="50" spans="1:6" ht="45" x14ac:dyDescent="0.2">
      <c r="A50" s="27" t="s">
        <v>122</v>
      </c>
      <c r="B50" s="27" t="s">
        <v>123</v>
      </c>
      <c r="C50" s="27" t="s">
        <v>110</v>
      </c>
      <c r="D50" s="28" t="s">
        <v>124</v>
      </c>
      <c r="F50" s="23">
        <v>43662</v>
      </c>
    </row>
    <row r="51" spans="1:6" ht="30" x14ac:dyDescent="0.2">
      <c r="A51" s="31" t="s">
        <v>125</v>
      </c>
      <c r="B51" s="31" t="s">
        <v>126</v>
      </c>
      <c r="C51" s="31" t="s">
        <v>110</v>
      </c>
      <c r="D51" s="32" t="s">
        <v>111</v>
      </c>
      <c r="F51" s="23">
        <v>43692</v>
      </c>
    </row>
    <row r="52" spans="1:6" ht="30" customHeight="1" x14ac:dyDescent="0.2">
      <c r="A52" s="27" t="s">
        <v>127</v>
      </c>
      <c r="B52" s="27" t="s">
        <v>128</v>
      </c>
      <c r="C52" s="27" t="s">
        <v>106</v>
      </c>
      <c r="D52" s="28" t="s">
        <v>107</v>
      </c>
      <c r="F52" s="23">
        <v>43726</v>
      </c>
    </row>
    <row r="53" spans="1:6" ht="45" x14ac:dyDescent="0.2">
      <c r="A53" s="31" t="s">
        <v>129</v>
      </c>
      <c r="B53" s="31" t="s">
        <v>130</v>
      </c>
      <c r="C53" s="31" t="s">
        <v>106</v>
      </c>
      <c r="D53" s="32" t="s">
        <v>131</v>
      </c>
      <c r="F53" s="23">
        <v>43727</v>
      </c>
    </row>
    <row r="54" spans="1:6" ht="45" x14ac:dyDescent="0.2">
      <c r="A54" s="27" t="s">
        <v>132</v>
      </c>
      <c r="B54" s="27" t="s">
        <v>133</v>
      </c>
      <c r="C54" s="27" t="s">
        <v>106</v>
      </c>
      <c r="D54" s="28" t="s">
        <v>134</v>
      </c>
      <c r="F54" s="23">
        <v>43728</v>
      </c>
    </row>
    <row r="55" spans="1:6" ht="45" x14ac:dyDescent="0.2">
      <c r="A55" s="31" t="s">
        <v>135</v>
      </c>
      <c r="B55" s="31" t="s">
        <v>136</v>
      </c>
      <c r="C55" s="31" t="s">
        <v>106</v>
      </c>
      <c r="D55" s="32" t="s">
        <v>137</v>
      </c>
      <c r="F55" s="23">
        <v>43750</v>
      </c>
    </row>
    <row r="56" spans="1:6" ht="60" x14ac:dyDescent="0.2">
      <c r="A56" s="27" t="s">
        <v>138</v>
      </c>
      <c r="B56" s="27" t="s">
        <v>139</v>
      </c>
      <c r="C56" s="27" t="s">
        <v>110</v>
      </c>
      <c r="D56" s="28" t="s">
        <v>140</v>
      </c>
      <c r="F56" s="23">
        <v>43769</v>
      </c>
    </row>
    <row r="57" spans="1:6" ht="45" x14ac:dyDescent="0.2">
      <c r="A57" s="31" t="s">
        <v>141</v>
      </c>
      <c r="B57" s="31" t="s">
        <v>142</v>
      </c>
      <c r="C57" s="31" t="s">
        <v>110</v>
      </c>
      <c r="D57" s="32" t="s">
        <v>111</v>
      </c>
      <c r="F57" s="23">
        <v>43770</v>
      </c>
    </row>
    <row r="58" spans="1:6" ht="30" x14ac:dyDescent="0.2">
      <c r="A58" s="27" t="s">
        <v>143</v>
      </c>
      <c r="B58" s="27" t="s">
        <v>144</v>
      </c>
      <c r="C58" s="27" t="s">
        <v>110</v>
      </c>
      <c r="D58" s="28" t="s">
        <v>111</v>
      </c>
      <c r="F58" s="23">
        <v>43807</v>
      </c>
    </row>
    <row r="59" spans="1:6" ht="15" customHeight="1" x14ac:dyDescent="0.2">
      <c r="A59" s="31" t="s">
        <v>145</v>
      </c>
      <c r="B59" s="31" t="s">
        <v>146</v>
      </c>
      <c r="C59" s="31" t="s">
        <v>110</v>
      </c>
      <c r="D59" s="32" t="s">
        <v>107</v>
      </c>
      <c r="F59" s="23">
        <v>43824</v>
      </c>
    </row>
  </sheetData>
  <mergeCells count="5">
    <mergeCell ref="C24:D24"/>
    <mergeCell ref="F24:G24"/>
    <mergeCell ref="C25:D25"/>
    <mergeCell ref="C26:D26"/>
    <mergeCell ref="C27:D27"/>
  </mergeCells>
  <conditionalFormatting sqref="C24:C28">
    <cfRule type="cellIs" dxfId="17" priority="1" operator="equal">
      <formula>"SI"</formula>
    </cfRule>
    <cfRule type="cellIs" dxfId="16" priority="2" operator="equal">
      <formula>"NO"</formula>
    </cfRule>
  </conditionalFormatting>
  <conditionalFormatting sqref="F24">
    <cfRule type="cellIs" dxfId="15" priority="7" operator="equal">
      <formula>"SI"</formula>
    </cfRule>
    <cfRule type="cellIs" dxfId="14" priority="8" operator="equal">
      <formula>"NO"</formula>
    </cfRule>
  </conditionalFormatting>
  <pageMargins left="0.7" right="0.7" top="0.75" bottom="0.75" header="0.3" footer="0.3"/>
  <pageSetup paperSize="50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2026</vt:lpstr>
      <vt:lpstr>2025</vt:lpstr>
      <vt:lpstr>2024</vt:lpstr>
      <vt:lpstr>2023</vt:lpstr>
      <vt:lpstr>2022</vt:lpstr>
      <vt:lpstr>Feriados</vt:lpstr>
      <vt:lpstr>'2022'!Área_de_impresión</vt:lpstr>
      <vt:lpstr>'2023'!Área_de_impresión</vt:lpstr>
      <vt:lpstr>'2024'!Área_de_impresión</vt:lpstr>
      <vt:lpstr>'2025'!Área_de_impresión</vt:lpstr>
      <vt:lpstr>'2026'!Área_de_impresión</vt:lpstr>
    </vt:vector>
  </TitlesOfParts>
  <Company>Intendencia Región de Los Lagos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Gobierno Regiona de Los Lagos</dc:creator>
  <cp:lastModifiedBy>Fabián Rutte</cp:lastModifiedBy>
  <cp:lastPrinted>2025-11-13T19:52:03Z</cp:lastPrinted>
  <dcterms:created xsi:type="dcterms:W3CDTF">2013-05-27T22:12:25Z</dcterms:created>
  <dcterms:modified xsi:type="dcterms:W3CDTF">2026-10-01T10:32:30Z</dcterms:modified>
</cp:coreProperties>
</file>