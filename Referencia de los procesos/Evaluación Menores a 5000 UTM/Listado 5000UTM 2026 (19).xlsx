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000 UTM - 2026" sheetId="1" r:id="rId4"/>
    <sheet state="visible" name="Feriados y Comunas" sheetId="2" r:id="rId5"/>
    <sheet state="visible" name="Ingresos" sheetId="3" r:id="rId6"/>
  </sheets>
  <definedNames>
    <definedName hidden="1" localSheetId="0" name="_xlnm._FilterDatabase">'5.000 UTM - 2026'!$A$1:$AX$1018</definedName>
  </definedNames>
  <calcPr/>
  <extLst>
    <ext uri="GoogleSheetsCustomDataVersion2">
      <go:sheetsCustomData xmlns:go="http://customooxmlschemas.google.com/" r:id="rId7" roundtripDataChecksum="AQ3GmmWoBW4mLsT6mNgp5MhSZacZ5tWekVd8O+e5H4I="/>
    </ext>
  </extLst>
</workbook>
</file>

<file path=xl/sharedStrings.xml><?xml version="1.0" encoding="utf-8"?>
<sst xmlns="http://schemas.openxmlformats.org/spreadsheetml/2006/main" count="1008" uniqueCount="445">
  <si>
    <t>Feriados</t>
  </si>
  <si>
    <t>N°</t>
  </si>
  <si>
    <t>Comuna</t>
  </si>
  <si>
    <t>Código</t>
  </si>
  <si>
    <t>PROVINCIA</t>
  </si>
  <si>
    <t>Verif</t>
  </si>
  <si>
    <t>Puerto Montt</t>
  </si>
  <si>
    <t>Nombre</t>
  </si>
  <si>
    <t>LLANQUIHUE</t>
  </si>
  <si>
    <t>Puerto Varas</t>
  </si>
  <si>
    <t>Provincia</t>
  </si>
  <si>
    <t>Cochamó</t>
  </si>
  <si>
    <t>Calbuco</t>
  </si>
  <si>
    <t>Ingreso Of. Partes</t>
  </si>
  <si>
    <t>Maullín</t>
  </si>
  <si>
    <t>Monto propuesto M$</t>
  </si>
  <si>
    <t>Los Muermos</t>
  </si>
  <si>
    <t>Monto RecomendadoM$</t>
  </si>
  <si>
    <t>Fresia</t>
  </si>
  <si>
    <t>Etapa</t>
  </si>
  <si>
    <t>Llanquihue</t>
  </si>
  <si>
    <t>Proceso</t>
  </si>
  <si>
    <t>Frutillar</t>
  </si>
  <si>
    <t>Sector</t>
  </si>
  <si>
    <t>Prov. Llanquihue</t>
  </si>
  <si>
    <t>Observaciones</t>
  </si>
  <si>
    <t>Ancud</t>
  </si>
  <si>
    <t>CHILOÉ</t>
  </si>
  <si>
    <t>Castro</t>
  </si>
  <si>
    <t>Comité</t>
  </si>
  <si>
    <t>Quellón</t>
  </si>
  <si>
    <t>Chonchi</t>
  </si>
  <si>
    <t>Quinchao</t>
  </si>
  <si>
    <t>Oficios cargados a bip</t>
  </si>
  <si>
    <t>Objetivo del Pladeco</t>
  </si>
  <si>
    <t>Lineamiento ERD</t>
  </si>
  <si>
    <t>Quemchi</t>
  </si>
  <si>
    <t>Plan del Gobernador</t>
  </si>
  <si>
    <t>H</t>
  </si>
  <si>
    <t>Dalcahue</t>
  </si>
  <si>
    <t>M</t>
  </si>
  <si>
    <t>Queilén</t>
  </si>
  <si>
    <t>TOT</t>
  </si>
  <si>
    <t>Puqueldón</t>
  </si>
  <si>
    <t>Unidad Tecnica</t>
  </si>
  <si>
    <t>Curaco de Vélez</t>
  </si>
  <si>
    <t>Formulador Proyecto</t>
  </si>
  <si>
    <t>ORD. Ingreso N°</t>
  </si>
  <si>
    <t>Prov. Chiloé</t>
  </si>
  <si>
    <t>Fecha Ord.</t>
  </si>
  <si>
    <t>N° Exped.</t>
  </si>
  <si>
    <t>Osorno</t>
  </si>
  <si>
    <t>OSORNO</t>
  </si>
  <si>
    <t>Ingreso Of. Planificación</t>
  </si>
  <si>
    <t>San Pablo</t>
  </si>
  <si>
    <t>Fecha Derivado a Evaluador</t>
  </si>
  <si>
    <t>Plazo evaluación</t>
  </si>
  <si>
    <t>Puyehue</t>
  </si>
  <si>
    <t>Derivado Unidad Técnica Evaluadora</t>
  </si>
  <si>
    <t>Fecha Derivación</t>
  </si>
  <si>
    <t>Ev. DIT</t>
  </si>
  <si>
    <t>Puerto Octay</t>
  </si>
  <si>
    <t>Reingreso Depto. Planif.</t>
  </si>
  <si>
    <t>Fecha Evaluación</t>
  </si>
  <si>
    <t>Estado</t>
  </si>
  <si>
    <t>Purranque</t>
  </si>
  <si>
    <t>Río Negro</t>
  </si>
  <si>
    <t>San Juan de la Costa</t>
  </si>
  <si>
    <t>Prov. Osorno</t>
  </si>
  <si>
    <t>BIP</t>
  </si>
  <si>
    <t>Palena</t>
  </si>
  <si>
    <t>PALENA</t>
  </si>
  <si>
    <t>Chaitén</t>
  </si>
  <si>
    <t>Proyecto</t>
  </si>
  <si>
    <t>Hualaihué</t>
  </si>
  <si>
    <t>observaciones Ord. Gore N°</t>
  </si>
  <si>
    <t>Futaleufú</t>
  </si>
  <si>
    <t>Prov. Palena</t>
  </si>
  <si>
    <t xml:space="preserve">Fecha  Ord. </t>
  </si>
  <si>
    <t>Oficio</t>
  </si>
  <si>
    <t>Regional</t>
  </si>
  <si>
    <t>REGIONAL</t>
  </si>
  <si>
    <t>Fecha Ficha Evaluación</t>
  </si>
  <si>
    <t>Recepción of. partes</t>
  </si>
  <si>
    <t>Informa</t>
  </si>
  <si>
    <t>Ord.Resp. Obs.</t>
  </si>
  <si>
    <t>ARI</t>
  </si>
  <si>
    <t>Plazo Máx</t>
  </si>
  <si>
    <t>N° EXP.</t>
  </si>
  <si>
    <t>Ingreso Oficina</t>
  </si>
  <si>
    <t>Estado plazo</t>
  </si>
  <si>
    <t>ORD. GORE                    Observaciones</t>
  </si>
  <si>
    <t xml:space="preserve">Fecha Ord. </t>
  </si>
  <si>
    <t>Estado Revisión</t>
  </si>
  <si>
    <t>Ord.</t>
  </si>
  <si>
    <t>Fecha ORD.</t>
  </si>
  <si>
    <t>Resultado</t>
  </si>
  <si>
    <t>Fecha Recomendación (Evaluación)</t>
  </si>
  <si>
    <t>Estado Proyecto</t>
  </si>
  <si>
    <t>Dentro de 15 días</t>
  </si>
  <si>
    <t>Iteraciones</t>
  </si>
  <si>
    <t>Nuevo</t>
  </si>
  <si>
    <t>Construcción Garitas Peatonales Purranque y Corte Alto</t>
  </si>
  <si>
    <t>Construcción sede social Lomas de Bellavista</t>
  </si>
  <si>
    <t>Si</t>
  </si>
  <si>
    <t>Ejecución</t>
  </si>
  <si>
    <t>Multisectorial</t>
  </si>
  <si>
    <t>Ok - Oficio 035 07-01- 26</t>
  </si>
  <si>
    <t>ok</t>
  </si>
  <si>
    <t>Se encuentra dentro de la ERD en el:
Lineamiento: Bienestar Socio Territorial.
Ítem: Espacios y Equipamiento Publico.
Objetivo: Construir equipamientos públicos y espacios de carácter cívico en la región.
Actividad: No Hay.</t>
  </si>
  <si>
    <t xml:space="preserve">Se enlaza con el Programa Regional del Gobernador:
- Pilar 3. Inclusión Social y Mejoramiento de la Calidad de Vida.
</t>
  </si>
  <si>
    <t>Municipalidad Purranque</t>
  </si>
  <si>
    <t>Ok</t>
  </si>
  <si>
    <t>D Castro</t>
  </si>
  <si>
    <t>Observado</t>
  </si>
  <si>
    <t>3260                035</t>
  </si>
  <si>
    <t>Plazos</t>
  </si>
  <si>
    <t>09-12-2025  07-01-2026</t>
  </si>
  <si>
    <t>04-12-2025  30-12-2025</t>
  </si>
  <si>
    <t>OBSERVADO  SIN OBS</t>
  </si>
  <si>
    <t>Días</t>
  </si>
  <si>
    <t>Recomendado</t>
  </si>
  <si>
    <t>Mejoramiento Integral Espacio Público Sector Los
Canelos, Hornopiren, Hualaihué.</t>
  </si>
  <si>
    <t>Ok - Oficio 037 07-01-26</t>
  </si>
  <si>
    <t>Se encuentra dentro de la ERD en:
Lineamiento: Bienestar Socio Territorial. 
Ítem: Espacios y Equipamiento Publico. 
Objetivo: Construir nuevas áreas verdes de uso publico como herramienta de esparcimiento e integración barrial en las ciudades de la región. 
Actividad: Programa regional de construcción y reposición de áreas verdes.</t>
  </si>
  <si>
    <t>Se enlaza con el Programa Regional del Gobernador en el
Pilar: 1. Políticas Públicas en Materia de Seguridad Ciudadana
Letra: i) Espacios Seguros: Mejorar la iluminación y la seguridad en parques, plazas y áreas públicas para garantizar espacios seguros para todos los habitantes.</t>
  </si>
  <si>
    <t>Municipalidad Hualiahue</t>
  </si>
  <si>
    <t>3354                        037</t>
  </si>
  <si>
    <t>18-12-2025   07-01-2026</t>
  </si>
  <si>
    <t>18-12-2025 30-12-2025</t>
  </si>
  <si>
    <t>OBSERVADO   SIN OBS</t>
  </si>
  <si>
    <t>-</t>
  </si>
  <si>
    <t>Construcción casa de reuniones y saberes Kuifi Puñen</t>
  </si>
  <si>
    <t>Mejoramiento Cementerio Municipal, Comuna de Queilen</t>
  </si>
  <si>
    <t>Ok - Oficio 251 05-02-26</t>
  </si>
  <si>
    <t>Municipalidad Queilen</t>
  </si>
  <si>
    <t>SIN OBS</t>
  </si>
  <si>
    <t>Mejoramiento Edificio Centro Atención Integral (CAI)</t>
  </si>
  <si>
    <t>Verificación de Pertinencia y Admisibilidad</t>
  </si>
  <si>
    <t>Salud</t>
  </si>
  <si>
    <t>ok - Oficio 297 10-02-2026</t>
  </si>
  <si>
    <t xml:space="preserve">Se encuentra dentro de la ERD en el
- Lineamiento: Bienestar Socio Territorial.
- Ítem: Salud. 
- Objetivo: Aumentar Cobertura de atención primaria en salud en la comunas de la región. 
- Actividad:
</t>
  </si>
  <si>
    <t xml:space="preserve">Se enlaza con el programa del Gobernador Regional en el 
- Pilar: 3. Inclusión Social y Mejoramiento de la Calidad de Vida.
- Letra: e) Acceso a Servicios de Salud: Ampliar y mejorar la red de servicios de salud, especialmente en zonas rurales, garantizando atención médica de calidad para todos.
</t>
  </si>
  <si>
    <t>Municipalidad San Pablo</t>
  </si>
  <si>
    <t>Construccion área esparcimiento Polloico</t>
  </si>
  <si>
    <t>2607                     3259                       ??                 297</t>
  </si>
  <si>
    <t xml:space="preserve">08-10-2025                                     09-12-2025   ??              10-02-2026  </t>
  </si>
  <si>
    <t>03-10-2025 27-11-2025                      15-01-2025               06-02-2026</t>
  </si>
  <si>
    <t>OBSERVADO OBSERVADO  OBSERVADO   SIN OBS</t>
  </si>
  <si>
    <t>779                  63                       41</t>
  </si>
  <si>
    <t>17-11-2025   31-12-2025       26-01-2026</t>
  </si>
  <si>
    <t>18-11-2025   05-01-2026      27-01-2026</t>
  </si>
  <si>
    <t>2607                     3259                ??                 297</t>
  </si>
  <si>
    <t>No</t>
  </si>
  <si>
    <t>Mejoramiento Acceso Poniente</t>
  </si>
  <si>
    <t>Seguridad</t>
  </si>
  <si>
    <t>Sin prioridad</t>
  </si>
  <si>
    <t xml:space="preserve"> ok - Oficio 125 19-01-2026</t>
  </si>
  <si>
    <t xml:space="preserve">Se encuentra dentro de los lineamientos de la ERD en 
- Lineamiento: Conectividad y Movilidad Regional Sustentable.
- Ítem: Movilidad Sostenible.
- Obj.: Extender y Mejorar las aceras peatonales en localidades urbanas.
- Actividad: Plan de inversión en infraestructura vialidad menor.
</t>
  </si>
  <si>
    <t xml:space="preserve">Se enlaza con el Programa Regional del Gobernador en el
- Pilar: 2. Desarrollo Económico Sostenible: una Alianza Público-Privada
- Letra: c)Inversiones en Infraestructura: Mejorar la conectividad y la infraestructura regional para atraer inversiones y generar empleo.
</t>
  </si>
  <si>
    <t>Pendiente</t>
  </si>
  <si>
    <t>Municipalidad Futaleufu</t>
  </si>
  <si>
    <t>Análisis y Evaluación Técnica (DIT)</t>
  </si>
  <si>
    <t>2605                         3075                  125</t>
  </si>
  <si>
    <t>08-10-2025                     14-11-2025    19-01-2026</t>
  </si>
  <si>
    <t>29-09-2025       10-11-2025                          14-11-2025</t>
  </si>
  <si>
    <t>OBSERVADO   OBSERVADO    SIN OBS</t>
  </si>
  <si>
    <t xml:space="preserve"> 530        ???</t>
  </si>
  <si>
    <t>29-10-2025  ???</t>
  </si>
  <si>
    <t>03-11-2025 ???</t>
  </si>
  <si>
    <t>2605                         3075</t>
  </si>
  <si>
    <t>08-10-2025                     14-11-2025</t>
  </si>
  <si>
    <t>Reposición Sede Social y Camarines Club Deportivo El Bosque</t>
  </si>
  <si>
    <t>2da Ev</t>
  </si>
  <si>
    <t>Deportes</t>
  </si>
  <si>
    <t xml:space="preserve"> ok - Oficio 1127 13-05-2026</t>
  </si>
  <si>
    <t>Constrrucción espacio público recreativo Maratón</t>
  </si>
  <si>
    <t>Bienestar socioterritorial: "Construir equipamientos públicos y espacios de carácter cívico en la región", fortaleciendo la infraestructura básica en zonas rurales.Fortalecimiento de la organización social: El proyecto responde a la necesidad de espacios para la "articulación entre organizaciones comunitarias rurales", contribuyendo al fortalecimiento del tejido social.</t>
  </si>
  <si>
    <t>La propuesta se articula con los siguientes pilares programáticos del programa de gobierno, presentados en el orden jerárquico establecido:
3. Inclusión Social y Calidad de Vida
"Programas de Apoyo Social: Desarrollar iniciativas para apoyar a los sectores más vulnerables de nuestra comunidad". (Aplica al proveer infraestructura adecuada a organizaciones rurales que carecen de espacios dignos) .
"Infraestructura Comunitaria: Fomentar la construcción y mejoramiento de sedes sociales y recintos comunitarios para fortalecer la vida barrial".
4. Participación Ciudadana y Gobernanza
"Participación Ciudadana: Fomentar la participación activa de la comunidad en la toma de decisiones". (El proyecto se sustenta en un diagnóstico participativo con diversas agrupaciones locales, incluyendo el Club Deportivo y Juntas de Vecinos) .</t>
  </si>
  <si>
    <t>MUNICIPALIDAD DE DALCAHUE</t>
  </si>
  <si>
    <t>Dcastro</t>
  </si>
  <si>
    <t>901              1127</t>
  </si>
  <si>
    <t>21-042026   13-05-2026</t>
  </si>
  <si>
    <t>20-04-2026   11-05-2026</t>
  </si>
  <si>
    <t>Reevaluación de la Iniciativa</t>
  </si>
  <si>
    <t>Reposición Estacion Medico Rural Puchilco</t>
  </si>
  <si>
    <t>4ta Ev</t>
  </si>
  <si>
    <t>Mejoramiento calle Padre Nicanor y Sor Teresa</t>
  </si>
  <si>
    <t xml:space="preserve"> ok - Oficio 327 17-02-2026</t>
  </si>
  <si>
    <t xml:space="preserve">Se encuentra dentro de la ERD en el
- Lineamiento: Bienestar Socio Territorial.
- Ítem: Salud. 
- Objetivo: Aumentar Cobertura de atención primaria en salud en la comunas de la región. 
- Actividad: Convenio de Programación.
</t>
  </si>
  <si>
    <t>Municipalidad Puqueldon</t>
  </si>
  <si>
    <t>1502                   327                       725                    1606</t>
  </si>
  <si>
    <t>30-06-2025  17-02-2026  08-04-2026  26-06-2026</t>
  </si>
  <si>
    <t>13-06-2025  17-02-2026      07-04-2026  26-06-2026</t>
  </si>
  <si>
    <t>OBSERVADO  OBSERVADO  OBSERVADO SIN OBS</t>
  </si>
  <si>
    <t>68                    120                    377</t>
  </si>
  <si>
    <t>10-02-2026      11-03-2026    11-06-2026</t>
  </si>
  <si>
    <t>En revisión</t>
  </si>
  <si>
    <t>Mejoramiento Sistema de Alcantarillado y Aguas Superficiales Pescaderia Feria Yumbel.</t>
  </si>
  <si>
    <t>Reposición centro comunitario San Javier</t>
  </si>
  <si>
    <t>Turismo</t>
  </si>
  <si>
    <t xml:space="preserve"> ok - Oficio 1861 22-07-2026</t>
  </si>
  <si>
    <t>La iniciativa es plenamente coherente con el lineamiento de "Bienestar socioterritorial", enfocado en la provisión de servicios públicos de calidad:
Infraestructura Pública: Contribuye al objetivo de "Lograr que la comunidad cuente con infraestructura y equipamiento necesario para desenvolverse de buena manera, generando las condiciones para mejorar crecientemente la calidad de vida de los habitantes".</t>
  </si>
  <si>
    <t xml:space="preserve">La propuesta se articula con los siguientes pilares programáticos del programa de gobierno:
Inclusión Social y Calidad de Vida
"Programas de Apoyo Social: Desarrollar iniciativas para apoyar a los sectores más vulnerables de nuestra comunidad". (Aplica al apoyo directo a los locatarios de la feria y mejora de sus condiciones laborales).
</t>
  </si>
  <si>
    <t>Municipalidad Castro</t>
  </si>
  <si>
    <t>2822                             3258                 385            1069           1349             1861</t>
  </si>
  <si>
    <t>27-10-2025                          09-12-2025     02-03-2026  11-05-2026  03-06-2026   22-07-2026</t>
  </si>
  <si>
    <t>27-10-2025                          09-12-2026    02-03-2026    08-05-2026   03-06-2026    21-07-2026</t>
  </si>
  <si>
    <t>OBSERVADO  OBSERVADO   OBSERVADO   OBSERVADO OBSERVADO  SIN OBS</t>
  </si>
  <si>
    <t>1231                  162                   332                  543                  812</t>
  </si>
  <si>
    <t>14-11-2025     05-02-2026   17-03-2026  15-05-2026  03-06-2026</t>
  </si>
  <si>
    <t>17-11-2025                   17-02-2026     15-04-2026    15-05-2026    03-06-2026</t>
  </si>
  <si>
    <t xml:space="preserve">2822                             3258                 385            </t>
  </si>
  <si>
    <t>27-10-2025                          09-12-2025     02-03-2026</t>
  </si>
  <si>
    <t>Construcción pavimentacion cuestas Tolquien-Chullec</t>
  </si>
  <si>
    <t>Mejoramiento Plaza Villa Los Rios</t>
  </si>
  <si>
    <t xml:space="preserve"> ok - Oficio 1694 02-07-2026</t>
  </si>
  <si>
    <t>Se encuentra dentro de la ERD en:
- Lineamiento: Bienestar Socio Territorial. 
- Ítem: Espacios y Equipamiento Publico. 
- Objetivo: Construir nuevas áreas verdes de uso publico como herramienta de esparcimiento e integración barrial en las ciudades de la región. 
- Actividad: Programa regional de construcción y reposición de áreas verdes.</t>
  </si>
  <si>
    <t xml:space="preserve">Se enlaza con el Programa Regional del Gobernador en el
- Pilar: 1. Políticas Públicas en Materia de Seguridad Ciudadana
- Letra: i) Espacios Seguros: Mejorar la iluminación y la seguridad en parques, plazas y áreas públicas para garantizar espacios seguros para todos los habitantes.
</t>
  </si>
  <si>
    <t>Municipalidad Fresia</t>
  </si>
  <si>
    <t>2827                       3076              1251               1694</t>
  </si>
  <si>
    <t>27-10-2025                             14-11-2025              25-05-2026   02-07-2026</t>
  </si>
  <si>
    <t>23-10-2025                                  14-11-2025            22-05-2026  01-07-2026</t>
  </si>
  <si>
    <t>OBSERVADO         OBSERVADO   OBSERVADO SIN OBS</t>
  </si>
  <si>
    <t>888               288               377</t>
  </si>
  <si>
    <t>6-11-2025       11-05-2026    11-06-2026</t>
  </si>
  <si>
    <t>6-11-2025  05-05-2026  16-06-2026</t>
  </si>
  <si>
    <t>2827                       3076</t>
  </si>
  <si>
    <t>27-10-2025                             14-11-2025</t>
  </si>
  <si>
    <t>Mejoramiento Espacio Público Sargento Candelaria Norte, Chonchi.</t>
  </si>
  <si>
    <t>Reposición centro comuinitario productivo Huyar alto</t>
  </si>
  <si>
    <t xml:space="preserve"> ok - Oficio 1911 22-07-2026</t>
  </si>
  <si>
    <t>Municipalidad Chonchi</t>
  </si>
  <si>
    <t>3355               1103                1491           1911</t>
  </si>
  <si>
    <t>18-12-2025  12-05-2026  17-06-2026  22-07-2026</t>
  </si>
  <si>
    <t>18-12-2025   11-05-2026  16-06-2026   21-07-2026</t>
  </si>
  <si>
    <t>OBSERVADO         OBSERVADO   OBSERVADO  SIN OBS</t>
  </si>
  <si>
    <t>348                 475              559</t>
  </si>
  <si>
    <t>04-05-2026  12-06-2026   09-07-2026</t>
  </si>
  <si>
    <t>04-05-2026  15-06-2026  09-07-2026</t>
  </si>
  <si>
    <t>CONSTRUCCION INFRAESTRUCTURA RECREATIVA Y AREA VERDE SECTOR PILMAIQUEN, COMUNA DE PUYEHUE</t>
  </si>
  <si>
    <t>Vivienda</t>
  </si>
  <si>
    <t xml:space="preserve"> ok - Oficio 2613 01-09-2026</t>
  </si>
  <si>
    <t>MUNICIPALIDAD DE PUYEHUE</t>
  </si>
  <si>
    <t>HSolervicens                           DCastro              HSolervicens    DCastro           Dcastro       Dcastro</t>
  </si>
  <si>
    <t>Construcción pavimentaicón cuestas camino antiguo</t>
  </si>
  <si>
    <t>1996                 2152          2291                     2375                     2485                   2613</t>
  </si>
  <si>
    <t>29-07-2026  05-08-2026   17-08-2026  19-08-2026  24-08-2026  01-09-2026</t>
  </si>
  <si>
    <t xml:space="preserve">29-07-2026  05-08-2026  17-08-2026  19-08-2026  24-08-2026 28-08-2026 </t>
  </si>
  <si>
    <t>OBSERVADO  OBSERVADO  OBSERVADO  OBSERVADO OBSERVADO  SIN OBS</t>
  </si>
  <si>
    <t>915            939               963            979            1000</t>
  </si>
  <si>
    <t>4-08-2026   11-08-2026   18-08-2026  19-08-2026   25-08-2026</t>
  </si>
  <si>
    <t>5-08-2026                 11-08-2026                18-08-2026              19-08-2026   26-08-2026</t>
  </si>
  <si>
    <t xml:space="preserve">Construcción Centro Comunitario el Jardin </t>
  </si>
  <si>
    <r>
      <rPr>
        <rFont val="Calibri"/>
        <i/>
        <color rgb="FF980000"/>
        <sz val="9.0"/>
      </rPr>
      <t>POSTULADO A FRIL. SE BAJA INICIATIVA EN MENOR A 5000 UTM</t>
    </r>
    <r>
      <rPr>
        <rFont val="Calibri"/>
        <i/>
        <color theme="1"/>
        <sz val="9.0"/>
      </rPr>
      <t xml:space="preserve">                                                            1. Revisar costo por metro cuadrado superior al promedio regional. 2. Ajustar Ppto. con Ficha IDI. 3. Anexar Certificación Secplan – DOM. 4. Incorporar Carta de No fraccionamiento Visada por Dpto. Jurídico. 5. Desarrollar análisis de alternativas. 6. Adjuntar documentación al BIP.
GENERALES
1. Incorporar pronunciamiento, aprobación o visación de la Dirección de Vialidad del MOP.
2. Carta del alcalde de no fraccionamiento.
PLANOS E INGENERÍA
1. Los planos de estructura deben incorporar la firma del profesional responsable, indicando nombre y profesión como mínimo.
2. Memoria de agua potable y aguas servidas deben incorporar firma a mano alzada o digital.
ANEXOS
1. Incorporar lo señalado en 5.8. b) Ficha IDI
2. Incorporar lo señalado en 5.8. m) Certificado Compromiso de Absorción de Costos de operación y mantención. - Certificado de factibilidad eléctrica adjunto perdió validez. El plazo es muy acotado.
TERRENO Y OTROS
1. Se solicita incorporar Resolución de Destinación o Contrato de Comodato vigente emitido por Bienes Nacionales. Certificado adjunto menciona que proyecto será presentado al fondo regional de iniciativa local. Corregir.</t>
    </r>
  </si>
  <si>
    <t xml:space="preserve">Se encuentra dentro de la ERD en el:
Lineamiento: Bienestar Socio Territorial.
Ítem: Espacios y Equipamiento Publico.
Objetivo: Construir equipamientos públicos y espacios de carácter cívico en la región.
Actividad: No Hay.
</t>
  </si>
  <si>
    <t xml:space="preserve">Se enlaza con el Programa Regional del Gobernador:
Pilar 3. Inclusión Social y Mejoramiento de la Calidad de Vida.
Letra c) Programas de Apoyo Social: Desarrollar iniciativas para apoyar a los sectores más vulnerables de nuestra comunidad.
</t>
  </si>
  <si>
    <t>3era Ev</t>
  </si>
  <si>
    <t>Construcción acceso y mejoramiento seguridad vial Posta Quetalco</t>
  </si>
  <si>
    <t>2828                       3257</t>
  </si>
  <si>
    <t>27-10-2025                              09-12-2025</t>
  </si>
  <si>
    <t>23/10/2025                            09-12-2025</t>
  </si>
  <si>
    <t>OBSERVADO OBSERVADO</t>
  </si>
  <si>
    <t>Dado de baja</t>
  </si>
  <si>
    <t>Mejoramiento Multicanchas ST Michelle Bachelet</t>
  </si>
  <si>
    <r>
      <rPr>
        <rFont val="Calibri"/>
        <i/>
        <color rgb="FF980000"/>
        <sz val="9.0"/>
      </rPr>
      <t>POSTULADO A FRIL. SE BAJA INICIATIVA EN MENOR A 5000 UTM</t>
    </r>
    <r>
      <rPr>
        <rFont val="Calibri"/>
        <i/>
        <color theme="1"/>
        <sz val="9.0"/>
      </rPr>
      <t xml:space="preserve">                                        1. A nivel de alternativas describir con mayor detalle la intervención de la infraestructura. 2. Adjuntar Certificado de Informes previos. 3. Anexas Informe Técnico situación actual por profesional del área. 4. Incorporar factibilidad. 5. Adjuntar carta de no fraccionamiento firmado por el alcalde y visado por depto. jurídico. 6. Anexar Certificado de BNUP. 7. Incorporar KMZ. 8. Adjuntar documentación al BIP.
GENERALES
1. Incluir carta de no fraccionamiento firmada por alcalde.
ESTUDIO PREINVERSIONAL
2. Documento debe estar firmado por unidad formuladora y en formato PDF.
TTR y,o EETT
3. Partida 2.5.3. señalada en EETT no se encuentra incluida en Carta Gantt
PLANOS E INGENERÍA
4. Para el correcto y adecuado desarrollo de las actividades deportivas, el diseño de la multicancha deberá estar acorde a las disposiciones del Instituto Nacional de Deporte (IND), en cuanto a las dimensiones y requerimientos de las disciplinas consideradas en el proyecto. El diseño actual no cumple con las dimensiones mínimas. Se recomienda revisar “Manual de construcción y requisitos mínimos para parques, plazas, áreas verdes y áreas deportivas, MINVU, 2017”-
5. EL muro de escalada sobre la estructura de cierro de la multicancha debe ser estructuralmente validado.
ANEXOS
6. Adjuntar b) Ficha IDI
7. Adjuntar h) Factibilidad eléctrica.</t>
    </r>
  </si>
  <si>
    <t xml:space="preserve">La iniciativa se orienta dentro de la ERD en el:
- Lineamiento: Bienestar Socio Territorial.
- Ítem: Espacios y Equipamiento Público
- Objetivo: Aumentar el Nro. De espacios polideportivos en la región con criterios de genero e inclusividad.
- Actividad: No hay.
</t>
  </si>
  <si>
    <t xml:space="preserve">Se enlaza con el Programa Regional del Gobernador:
- Pilar: 3. Inclusión Social y Mejoramiento de la Calidad de Vida.
- Letra: c) Programas de Apoyo Social: Desarrollar iniciativas para apoyar a los sectores más vulnerables de nuestra comunidad.
</t>
  </si>
  <si>
    <t>Municipalidad Puerto Varas</t>
  </si>
  <si>
    <t xml:space="preserve"> </t>
  </si>
  <si>
    <t>OBSERVADO</t>
  </si>
  <si>
    <t>Construcción Centro Comunitario ST Pureo</t>
  </si>
  <si>
    <t>1. Ajustar la Demanda. 2. Incorporar estratificación social. 3. Anexar Ppto. AITO. 4. Adjuntar Mecánica de Suelos. 5. Incorporar Revisores independiente. 6. Anexar Modelo de Gestión. 7. Adjuntar documentación al BIP. 1. De acuerdo a lo solicitado por Departamento jurídico del Gobierno Regional, deberá presentar certificado de alcalde y validado por su Departamento jurídico que señale lo siguiente: “El proyecto no considera restricciones técnicas, legales ni administrativas para su posterior ejecución. Por otra parte, se declara que el proyecto en cuestión no corresponde al fraccionamiento de una iniciativa de mayor envergadura”. 
2. Los procesos son anuales, por lo tanto, deberá actualizar información del perfil al presente año 2025.
3. Revisar el Perfil del proyecto no cuadra el presupuesto ingresado con el
presentado.
4. Revisar punto 5.8 letra d) Informe Técnico de Emplazamiento:
5. Sin Archivo de georreferenciación.
6. Las Especificaciones Técnicas, incluye placa modelo FRIL, Letrero Modelo
FRIL, el financiamiento aplica al FRIL.
7. Presupuesto: El presentado no cuadra con el perfil, recordar Tanto el Presupuesto como la Carta Gantt deben tener los mismos elementos que las EETT.
8. Respecto a Planimetría, debe revisar instructivo y considerar lo faltante.
9. Se presenta un certificado de declaración jurada de la propiedad el que corresponde al FRIL. 10. Respecto a certificaciones, en general debe considerar que estas deben contener: fecha, nombre del proyecto y código BIP, así también debe considerar lo siguiente: Revisar instructivo y presentar Certificado del DOM, tal como se solicita. Falta permiso de edificación, revisar instructivo. 11. Informe de Revisores Independientes de Arquitectura e Ingeniería.
12. Falta Plan de Mitigación durante la ejecución de las Obras.
13. Falta Carta Gantt del proyecto.
14. Falta Actualizar factibilidades.</t>
  </si>
  <si>
    <t xml:space="preserve">Se enlaza con el Programa Regional del Gobernador:
- Pilar 3. Inclusión Social y Mejoramiento de la Calidad de Vida.
- Letra c) Programas de Apoyo Social: Desarrollar iniciativas para apoyar a los sectores más vulnerables de nuestra comunidad.
</t>
  </si>
  <si>
    <t>Construcción cuartel de bomberos 5ta compañia, cuerpo de Bomberos</t>
  </si>
  <si>
    <t>Construcción Centro Comunitario Cheuquemo</t>
  </si>
  <si>
    <t>1. Actualizar certificados de la postulación FRIL
2. Incorporar anexos de acuerdo a instructivo.
3. Anexar Carta del alcalde de no fraccionamiento.
4. Adjuntar documentación al BIP.</t>
  </si>
  <si>
    <t>18-07-25.</t>
  </si>
  <si>
    <t>Municipalidad Rio Negro</t>
  </si>
  <si>
    <t>Construcción Centro Comunitario Chan Chan</t>
  </si>
  <si>
    <t xml:space="preserve">1. Actualizar certificados de la postulación FRIL
2. Incorporar anexos de acuerdo a instructivo.
3. Anexar Carta del alcalde de no fraccionamiento.
4. Adjuntar documentación al BIP.
</t>
  </si>
  <si>
    <t>Reevaluación</t>
  </si>
  <si>
    <t>Construcción módulos de antención primera de la red de salud comunal</t>
  </si>
  <si>
    <t>Reposición Centro Comunitario Pob. Flor Naciente N°1 ST Changue</t>
  </si>
  <si>
    <t>1. Crear Ficha 2026. 2. Adjuntar Planta Emplazamiento. 3. Anexar Participación Ciudadana. 4. Incorporar Permiso de edificación. 5. Adjuntar Memoria. 6. Anexar Mecánica. 7. Incorporar Revisores independientes. 8. Adjuntar Cronograma. 9. Anexar Plan de Mitigación. 10. Incorporar Modelo de Gestión. 11. Adjuntar Informe Técnico Estado Actual. 12. Anexar IMIV si corresponde. 13. Incorporar Dominio Vigente. 14. Adjuntar Hipotecas y Gravámenes. 15. Anexar Informes Previos. 16. Incorporar Factibilidades. 17. Adjuntar Costos Operacionales. 18. Anexar Carta del alcalde de no fraccionamiento. 19. Incorporar análisis de alternativas y descripción detallada de la solución. 20. Los antecedentes no son suficientes para realizar análisis técnico. 21. Adjuntar documentación al BIP.</t>
  </si>
  <si>
    <t>Municipalidad Maullín</t>
  </si>
  <si>
    <t>Construcción Calle Fuente Bellavista</t>
  </si>
  <si>
    <t>1. Adjuntar Carta de no fraccionamiento alcalde. 2. Incorporar Certificado de Conexiones domiciliarias. 3. Adjuntar documentación al BIP.
1. Debe retirar del proyecto todo lo relacionado a fuente de financiamiento que no
corresponde. Recordar que el financiamiento es FNDR del Gobierno Regional.
2. Al finalizar correcciones debe corregir la ficha IDI (actualmente tiene errores).
Corregir beneficiarios directos que no coinciden con el perfil o la institución
técnica, que debe ser el municipio.3. Respecto al perfil del proyecto, Identificar gráficamente (confinar con polígono) el Barrio Caicumeo, dentro de este polígono identificar la calle con pavimento de ripio a mejorar, así como también debe graficar todas las otras calles que cuentan con pavimento granular o ripio.
4. Respecto a certificaciones:
a) Certificado de emplazamiento en bien de uso público, le falta el BIP
b) Ver instructivo 2025 y presentar ANEXO 1 (para casos donde no hay permiso de edificación)
c) Compromiso de absorción de costos de operación y mantención, le falta el BIP
d) Respecto a participación ciudadana, revisar instructivo y presentar anexos propuestos, según corresponda
e) Ver instructivo y presentar copia de certificado de título de los profesionales patrocinantes, responsables ante la ley que subscriben el proyecto.
f) Presentar certificado firmada por alcalde más asesor jurídico, garantizando que no existen restricciones técnicas, legales ni administrativas para su posterior ejecución, y declarando que el proyecto en cuestión no corresponde al fraccionamiento de una iniciativa de mayor envergadura. (Es requerimiento del Departamento jurídico del Gobierno Regional)</t>
  </si>
  <si>
    <t xml:space="preserve">Se encuentra dentro de la ERD en el:
Lineamiento: Conectividad y Movilidad Regional Sustentable. Ítem: Movilidad Sostenible.
Objetivo: Extender y Mejorar las aceras peatonales en localidades urbanas.
Actividad: Plan de Mejoramiento de aceras de ata estándar con criterios de accesibilidad universal en ciudades intermedias de la región.
</t>
  </si>
  <si>
    <t>Se enlaza con el Programa Regional del Gobernador:
Pilar 1. Políticas Públicas en Materia de Seguridad Ciudadana.
Letra i) Espacios Seguros: Mejorar la iluminación y la seguridad en parques, plazas y áreas públicas para garantizar espacios seguros para todos los habitantes.</t>
  </si>
  <si>
    <t>Municipalidad Ancud</t>
  </si>
  <si>
    <t>Mejoramiento Escuela Rural San Javier</t>
  </si>
  <si>
    <t>Educación</t>
  </si>
  <si>
    <t>Construcción galón gastronomico Parque Tenguel</t>
  </si>
  <si>
    <t>1. Adjuntar Carta de no fraccionamiento alcalde. 2. Certificado de Hipotecas y Gravámenes. 3. Se sugiere analizar Ppto. Hasta M$300. 4. Aclarar administración del establecimiento. 5. Adjuntar documentación al BIP.GENERALES
1. Aprobación de Dirección de Vialidad.
2. Estacionamiento universal debe incorporar acceso.
3. Oficio o certificado de “Visación Técnica del MINEDUC” o “Conformidad de Intervención” emitido por la SEREMI de Educación.
4. Adjuntar carta de no fraccionamiento.
TTR y,o EETT
1. Hay partidas que son señaladas en el índice y no aparecen en el documento (desde página 64 a la 69). Incorporar partidas faltantes. Incorporar imagen esquemática de placa recordatoria.
2. Página 12 repetida.
3. Valor de presupuesto no es el mismo que el señalado en imagen del letrero de obras.
PLANOS E INGENERÍA
1. En firmas de planos de arquitectura, figuran dos directores de SECPLAN.
2. Pl-A.01.2.12v1: Diseño estructural de la rampa no corresponde. Se señala capa vegetal de 0,30m como componente de la estructura del pavimento. Además, esta partida no se encuentra en EETT ni presupuesto.
ANEXOS
1. Respecto al a 5.8. Antecedentes, j) Propiedad del terreno: Según el Certificado de Hipotecas y Gravámenes, el terreno donde se emplaza laEscuela Rural presenta una prohibición inscrita a fojas 212 a favor del Instituto Nacional de Deportes de Chile.
Se solicita al municipio acreditar la naturaleza de dicha prohibición y, en caso de corresponder, adjuntar autorización expresa del IND que permita la ejecución del proyecto en el inmueble, a fin de verificar la disponibilidad jurídica del terreno.
2. Incorporar firma arquitecto en Carta Gantt.</t>
  </si>
  <si>
    <t xml:space="preserve">Se encuentra dentro de la ERD en, 
- Lineamiento: Bienestar Socio Territorial.
- Ítem: Educación.
- Objetivo: Mejorar el desempeño de los establecimientos educacionales públicos y subvencionados de la Región .
- Actividad:  No hay.
</t>
  </si>
  <si>
    <t xml:space="preserve">Se enlaza con el Programa Regional del Gobernador en el lineamiento 
- Pilar: 3. Inclusión Social y Mejoramiento de la Calidad de Vida.
-Letra: i) Infraestructura Educativa: Renovar y construir nuevas instalaciones educativas para garantizar ambientes de aprendizaje adecuados.
</t>
  </si>
  <si>
    <t>Municipalidad Curaco de Velez</t>
  </si>
  <si>
    <t>Mejoramiento Patinodromo, Parque Los Molinos</t>
  </si>
  <si>
    <t xml:space="preserve">1. Se sugiere postular proyecto integral de Mejoramiento Parque Los Molinos al FNDR tradicional.
2. Iniciativa actual corresponde a un fraccionamiento más cuando existe un FRIL asociado al mismo Rol.
3. Adjuntar documentación al BIP.
</t>
  </si>
  <si>
    <t>La iniciativa se orienta dentro de la ERD en el:
- Lineamiento: Bienestar Socio Territorial.
- Ítem: Espacios y Equipamiento Público
- Objetivo: Aumentar el Nro. De espacios polideportivos en la región con criterios de genero e inclusividad.
- Actividad: No hay.</t>
  </si>
  <si>
    <t>Se enlaza con el Programa Regional del Gobernador:
- Pilar: 3. Inclusión Social y Mejoramiento de la Calidad de Vida.
- Letra: c) Programas de Apoyo Social: Desarrollar iniciativas para apoyar a los sectores más vulnerables de nuestra comunidad.</t>
  </si>
  <si>
    <t>No indica</t>
  </si>
  <si>
    <t>Pavimentación y aguas lluvia calle San Joaquin</t>
  </si>
  <si>
    <t>Conservación Veredas ST Almirante Latorre</t>
  </si>
  <si>
    <t>seguridad</t>
  </si>
  <si>
    <t>GENERALES
1. Se debe adjuntar minuta de respuesta a observaciones respecto de la evaluación anterior (23-09-2025). Al responder nuevas observaciones, se debe incluir minuta de respuestas.
2. Se recomienda revisar accesibilidad universal, puesto que:
a) Radios de giro inferior a normativa en múltiples lugares.
b) No se cumple el ancho mínimo de ruta en múltiples lugares.
3. Discordancia en valor total del proyecto entre valor señalado en BIP, Presupuesto y Ficha IDI.
4. Respecto al estudio de mecánica de suelos: Se señala en el ítem 1.2 Alcances del mismo, que no aplica para el presente proyecto.
5. Respecto a archivos cargados en el BIP: Eliminar archivos que no son definitivos o están disgregados, respecto a presupuesto y EETT. Se debe adjuntar solo un archivo de presupuesto y un archivo de EETT.
6. Se recomienda que el proyecto sea abordado con una perspectiva de desarrollo urbano más integral y estratégica. Actualmente, la iniciativa se limita a la conservación de veredas; sin embargo, considerando la relevancia de la vía, que cumple una función troncal en la distribución de los flujos vehiculares y peatonales de la comuna, y la disponibilidad de un ancho de 5 metros entre línea oficial y solera en ambos costados de la calzada, resultaría pertinente proyectar una intervención más integral del espacio urbano.
Asimismo, al continuar el desarrollo de esta iniciativa bajo el presente mecanismo de financiamiento, se deben tener en cuenta las restricciones establecidas en el Instructivo 5.000 UTM respecto de la postulación de futuros proyectos complementarios o asociados que interactúen directa o indirectamente con el actual proyecto.
PLANOS E INGENERÍA
1. Se debe cumplir con lo señalado en OGUC en Artículo 2.2.8. punto 1., en los lugares donde sea necesario. Por ejemplo, sobre el muro de contención. ANEXOS
1. Certificado DOM BNUP debe señalar el tipo de vía según Art. 2.3.2. OGUC.
2. Incluir memoria de accesibilidad.
3. Incluir plan de mitigación.</t>
  </si>
  <si>
    <t>Se encuentra dentro de los lineamientos de la ERD en 
- Lineamiento: Conectividad y Movilidad Regional Sustentable.
- Ítem: Movilidad Sostenible.
- Obj.: Extender y Mejorar las aceras peatonales en localidades urbanas.
- Actividad: Plan de Mejoramiento de aceras de alto estándar con criterios de accesibilidad universal en ciudades intermedias de la región.</t>
  </si>
  <si>
    <t>Se enlaza con el Programa Regional del Gobernador:
- Pilar: 1. Políticas Públicas en Materia de Seguridad Ciudadana.
- Letra: i) Espacios Seguros: Mejorar la iluminación y la seguridad en parques, plazas y áreas públicas para garantizar espacios seguros para todos los habitantes.</t>
  </si>
  <si>
    <t>Municipalidad Calbuco</t>
  </si>
  <si>
    <t>2408                    2896</t>
  </si>
  <si>
    <t>23-09-2025          03-11-2025</t>
  </si>
  <si>
    <t>23-09-2025                          30-10-2025</t>
  </si>
  <si>
    <t>OBSERVADO  OBSERVADO</t>
  </si>
  <si>
    <t>Mejoramiento Calles Padre Nicanor y Sor Teresa</t>
  </si>
  <si>
    <t>Construcción pórticos de acceso turísticos</t>
  </si>
  <si>
    <t>Generales
1. Mecánica de suelos adjunta está incompleta. Debe incorporar memoria del informe.
Informe de laboratorio adjunto no señala ensayo de infiltración necesario para la solución de aguas drenaje.
2. Memoria de cálculo debe señalar de donde se obtienen los valores asumidos para el diseño del drenaje.</t>
  </si>
  <si>
    <t>Se encuentra dentro de los lineamientos de la ERD en 
- Lineamiento: Conectividad y Movilidad Regional Sustentable.
- Ítem: Movilidad Sostenible.
- Obj.: Extender y Mejorar las aceras peatonales en localidades urbanas.
- Actividad: Plan de inversión en infraestructura vialidad menor.</t>
  </si>
  <si>
    <t>2518                  2907                     3086</t>
  </si>
  <si>
    <t>30-09-2025                        03-11-2025                          14-11-2025</t>
  </si>
  <si>
    <t>26-09-2025                       30-11-2025                          14-11-2025</t>
  </si>
  <si>
    <t>OBSERVADO  OBSERVADO   OBSERVADO</t>
  </si>
  <si>
    <t>Mejoramiento Plaza Villa El Trebol</t>
  </si>
  <si>
    <t>1. Adjuntar documentación de acuerdo a los instructivos del Gobierno Regional. 2. Adjuntar documentación al BIP.
1. El proyecto no cuenta con archivos cargados en la plataforma</t>
  </si>
  <si>
    <t xml:space="preserve">Se encuentra dentro de la ERD en:
- Lineamiento: Bienestar Socio Territorial. 
- Ítem: Espacios y Equipamiento Publico. 
- Objetivo: Construir nuevas áreas verdes de uso publico como herramienta de esparcimiento e integración barrial en las ciudades de la región. 
- Actividad: Programa regional de construcción y reposición de áreas verdes.
</t>
  </si>
  <si>
    <t xml:space="preserve">Reposición taller laboral </t>
  </si>
  <si>
    <t>2608                    2362</t>
  </si>
  <si>
    <t>08-10-2025   19-08-2026</t>
  </si>
  <si>
    <t>03-10-2025  18-08-2026</t>
  </si>
  <si>
    <t>OBSERVADO   OBSERVADO</t>
  </si>
  <si>
    <t>Mejoramiento Multicanchas ST Borde Lago</t>
  </si>
  <si>
    <t>1. A nivel de alternativas describir con mayor detalle la intervención de la infraestructura. 2. Adjuntar Certificado de Informes previos. 3. Anexas Informe Técnico situación actual por profesional del área. 4. Incorporar factibilidad. 5. Adjuntar carta de no fraccionamiento firmado por el alcalde y visado por depto. jurídico. 6. Anexar Certificado de BNUP. 7. Adjuntar documentación al BIP.
GENERALES
1. Incluir carta de no fraccionamiento firmada por alcalde.
2. Justificación de la IDI no corresponde al actual proyecto.
ESTUDIO PREINVERSIONAL
1. Documento debe estar firmado por unidad formuladora y en formato PDF.
TTR y,o EETT
1. Partida 2.5.3. señalada en EETT no se encuentra incluida en Carta Gantt
PLANOS E INGENERÍA
1. Para el correcto y adecuado desarrollo de las actividades deportivas, el diseño de la multicancha deberá estar acorde a las disposiciones del Instituto Nacional de Deporte (IND), en cuanto a las dimensiones y requerimientos de las disciplinas consideradas en el proyecto. El diseño actual no cumple con las dimensiones mínimas. Se recomienda revisar “Manual de construcción y requisitos mínimos para parques, plazas, áreas verdes y áreas deportivas, MINVU, 2017”
2. EL muro de escalada sobre la estructura de cierro de la multicancha debe ser estructuralmente validado.
ANEXOS
1. Adjuntar b) Ficha IDI
2. Adjuntar h) Factibilidad eléctrica.
3. Adjuntar j) Propiedad del terreno.
4. Adjuntar m) Certificado compromiso de absorción de costos de operación y mantención. El nombre del proyecto señalado en el archivo adjunto no corresponde al actual proyecto.</t>
  </si>
  <si>
    <t>Construcción señalética indicativa y turística</t>
  </si>
  <si>
    <t>2609                      3079</t>
  </si>
  <si>
    <t>08-10-2025                              14-11-2025</t>
  </si>
  <si>
    <t>03-10-2025                            14-11-2025</t>
  </si>
  <si>
    <t>Construcción Casa Cuesta Arriba</t>
  </si>
  <si>
    <t>1. Debe existir concordancia de ítems entre EETT, Presupuesto y Carta Gantt.
2. Adjuntar anexo q) Proyectos de especialidades, según lo allí indicado; incorporar mecánica de suelo</t>
  </si>
  <si>
    <t>Se encuentra dentro de la ERD en el:
Lineamiento: Bienestar Socio Territorial.
Ítem: Espacios y Equipamiento Publico.
Objetivo: Construir equipamientos públicos y espacios de carácter cívico en la región.
Actividad: No Hay</t>
  </si>
  <si>
    <t>Construcción sede social Villa Portal Osorno II</t>
  </si>
  <si>
    <t>2610                   2931</t>
  </si>
  <si>
    <t>08-10-2025                          04-11-2025</t>
  </si>
  <si>
    <t>03-10-2025                      30-10-2025</t>
  </si>
  <si>
    <t>Mejoramiento Plaza Pob. Digna Campesina de Nueva Braunau</t>
  </si>
  <si>
    <t>Adjuntar EETT firmados por UT. 2. Anexar Ppto. Desglosado. 3. Incorporar APUS 4. Adjuntar Permiso de obra menor. 5. Anexar Memoria. 6. Incorporar Mecánica si corresponde. 7. Adjuntar Cronograma. 8. Anexar Factibilidades. 9. Incorporar Carta de no fraccionamiento, visada por Depto. juridico. 10.  Se solicita especificar y caracterizar el área de influencia, cantidad de áreas verdes, multicanchas, etc. 11. Especificar la población objetivo. Ajustar esta con la población total de la localidad. 12. Desarrollar y especificar análisis de alternativas. 13. Adjuntar documentación al BIP.
GENERALES Proyecto incompleto: No presenta presupuesto y especificaciones técnicas.</t>
  </si>
  <si>
    <t>Habilitación pozo profundo San Pablo</t>
  </si>
  <si>
    <t>Mejoramiento Multicanchas ST Monte Alegre</t>
  </si>
  <si>
    <t xml:space="preserve">1. Crear Ficha 2026. 2. Iniciativa debe ser separada, ya que correspondería a un fraccionamiento al presentar otras 2 en la misma área de influencia. 3. La demanda no se ajusta para ambas infraestructuras. 4. Desarrollar el análisis de alternativas, especificar y describir la alternativa seleccionada. 5. Inconsistencia entre justificación ficha IDI y perfil. 6. Adjuntar documentación al BIP.
</t>
  </si>
  <si>
    <t>Construcción centro comunitario multipropósito Trumao</t>
  </si>
  <si>
    <t>Mejoramiento Camarines y Servicios Higienicos Estadio Municipal</t>
  </si>
  <si>
    <t xml:space="preserve"> 1. Faltan antecedentes mínimos para un análisis completo. 2. Adicionalmente el proyecto corresponde a un fraccionamiento, ya que solo el proyecto mejora solo una parte del recinto, y no un mejoramiento integral. 3. Adjuntar documentación al BIP.</t>
  </si>
  <si>
    <t>Construcción Centro Comunitario Multiproposito Trumao</t>
  </si>
  <si>
    <t>Construcción centro comunitario Rahue II</t>
  </si>
  <si>
    <t>1. Crear Ficha 2026, Corregir m2. 2. Ppto. No concuerda con ficha IDI. 3. Adjuntar Participación ciudadana anexo 2. 4. Anexar Permiso. 5. Incorporar Memoria. 6. Adjuntar Mecánica. 7. Anexar Cronograma. 8. Incorporar Modelo de Gestión. 9. Adjuntar Certificado de Hipotecas y Gravámenes. 10. Anexar Costos Operacionales Firmado por el Consejo. 11. Incorporar Certificado Secplan – DOM. 12. Adjuntar Carta de no Fraccionamiento visado por Depto. Jurídico. 13. Anexar Informes Previos. 14. Incorporar Plan de Mitigación. 15. Adjuntar documentación al BIP.
EVALUACIÓN TÉCNICA - PRESUPUESTO
1. No está presupuestada la demolición de la edificación existente.
2. Se debe señalar bajo cada firma de documento y plano de los proyectos de especialidades, a lo menos el nombre y profesión del proyectista.
3. Valor total de presupuesto no coincide con Ficha IDI en BIP.
TTR y,o EETT
1. Incorporar imagen final Letrero de Obras, ajustada al manual de normas gráficas GORE 2025
2. Incorporar imagen final Placa Recordatoria, ajustada al manual de normas gráficas GORE 2025.
PLANOS E INGENERÍA
1. Pl-eléctrico: En Baño 1 y Baño 2 se debe incorporar dispositivo de iluminación.
2. Incorporar plano de demoliciones.
ANEXOS
1. Incorporar lo señalado en 5.8. b) Ficha IDI
2. Incorporar lo señalado en 5.8. h) Factibilidad sanitaria
3. Incorporar lo señalado en 5.8. j) Propiedades del terreno: Certificado de hipotecas y gravámenes.
4. Incorporar lo señalado en 5.8. k) Certificado del DOM
5. Incorporar lo señalado en 5.8. l) Permiso de edificación
6. Incorporar lo señalado en 5.8. n) Participación ciudadana
7. Incorporar lo señalado en 5.8. q) Proyectos de Especialidades, tales como Ingeniería, Estudios Hidráulicos, Mecánica de Suelo, etc.
8. Incorporar lo señalado en 5.8. r) Copia de certificado de título.
9. Incorporar lo señalado en 5.8. u) Plan de mitigación durante la ejecución de las obras. Esto, respecto a la programación que dé continuidad a la asistencia médica que se presta en una de las edificaciones.</t>
  </si>
  <si>
    <t>Reposición Bateria Sanitaria del Monumento Natural Lahuen Ñadi</t>
  </si>
  <si>
    <t>Recursos Naturales</t>
  </si>
  <si>
    <t>GENERALES
1. Es necesario mayor desarrollo del proyecto en general.
2. En informe técnico de emplazamiento es importante incluir imágenes de la situación actual de la edificación a reponer.
3. Todos los documentos y planos elaborados por el profesional competente, también deben ser firmados por la unidad técnica.
4. Monto solicitado en BIP no concuerda con lo señalado en presupuesto.
EVALUACIÓN TÉCNICA - PRESUPUESTO
1. Incorporar Carta Gantt
2. No hay concordancia total entre presupuesto y especificaciones técnicas. Los ítems de presupuesto deben estar todos identificados en especificaciones técnicas, por ejemplo: ítems 9.2, 9.3 y 10. Además, no se pueden asignar presupuestos a partidas generales, como las señaladas en ítem 9. INSTALACIONES, estos deben ser desglosados.
TTR y,o EETT
Se recomienda revisar con detención el instructivo, ítem 5.8. letra f), y cumplir con todo lo allí señalado.
1. El itemizado de las partidas y subpartidas deben ser coherentes y coincidentes entre especificaciones técnicas y presupuesto.
2. Para cada partida que corresponda, debe incluir al final de la especificación, el N° de lámina de planimetría donde se encuentra lo especificado.
3. Se debe incluir la provisión del letrero de obra y Placa Conmemorativa, ambos con el diseño oficial vigente del año presupuestario.
PLANOS E INGENERÍA
1. Planos de arquitectura deben incorporar más detalles de los elementos que lo componen, como: fundaciones, muros estructurales, tabiques, hojalatería, y todo lo que se señala en especificaciones técnicas que será indicado en planos.
2. Incorporar:
1. Plano de situación actual
2. Plano de demolición
3. Planta de accesibilidad universal
4. Plano de fundaciones.
ANEXOS
Incorpora antecedentes señalados en 5.8. del instructivo:
b) Ficha IDI
d) Informe técnico de emplazamiento. h) Factibilidad sanitaria y eléctrica.
1. Proyecto de agua potable y sanitario debe ser visado por autoridad sanitaria.
2. Se debe incorporar factibilidad eléctrica y factibilidad de dotación (Aprobación de derechos de aprovechamiento de agua).
j) Propiedad del terreno
1. Certificado de hipotecas y gravámenes.
l) Permiso de edificación
o) Certificado de recepción municipal
p) Proyecto de instalaciones domiciliarias
5. Plano proyecto eléctrico.
6. Planos proyecto agua potable y aguas servidas.
r) Copia certificado de título
s) Aprobaciones sectoriales
1. Según Ley 19.300 Articulo 10, Letra p), deben presentar la resolución del Servicio de Evaluación Ambiental (SEA) que indique que el proyecto no debe ingresar obligatoriamente al SEIA, o bien, la Resolución de Calificación Ambiental (RCA) favorable si es que entró al sistema.
u) Plan de mitigación durante la ejecución de las obras.</t>
  </si>
  <si>
    <t>Conaf</t>
  </si>
  <si>
    <t>Mejoramiento plaza villa Bicentenario</t>
  </si>
  <si>
    <t>3074            308                 1219</t>
  </si>
  <si>
    <t>14-11-2025 11-02-2026     20-05-2026</t>
  </si>
  <si>
    <t>04-11-2025  09-02-2026    20-05-2026</t>
  </si>
  <si>
    <t xml:space="preserve">OBSERVADO OBSERVADO  OBSERVADO   </t>
  </si>
  <si>
    <t>27              64</t>
  </si>
  <si>
    <t>30-01-2026    11-04-20269</t>
  </si>
  <si>
    <t>02-02-2026     11-04-2026</t>
  </si>
  <si>
    <t>3074            308</t>
  </si>
  <si>
    <t>14-11-2025 11-02-2026</t>
  </si>
  <si>
    <t>Mejoramiento Multicancha Claudio Matte Futaleufú</t>
  </si>
  <si>
    <t>GENERALES
1. Nombre de proyecto indicado en BIP no coincide con el nombre indicado en todos los documentos del proyecto.
2. Proyecto debe estar aprobado por SERVIU.
3. Adjuntar certificado de no fraccionamiento firmado por Alcalde y visado por unidad jurídica.
ESTUDIO PREINVERSIONAL
1. Incorporar imágenes de la situación actual de la estructura que evidencien su deterioro.
2. Antecedentes generales de la comuna son insuficientes: Se requiere definir claramente los antecedentes geográficos, área de estudio, características demográficas, infraestructura similar disponible en la comuna y su estado.
EVALUACIÓN TÉCNICA - PRESUPUESTO
1. Errores de numeración en múltiples ítems.
2. Ítem 12.2.2, 12.2.6 no coincide con EETT. Verificar concordancia entre EETT y presupuesto.
TTR y,o EETT
1. EETT de arquitectura e ingeniería deben estar solo en 1 documento.
2. Falta firma de ingeniero civil y eléctrico.
PLANOS E INGENERÍA
1. Respecto de la planta de accesibilidad universal: La franja de circulación segura del estacionamiento debe proteger al peatón de la circulación vehicular de la calzada. Se debe proponer una nueva configuración.
2. Respecto a memoria de cálculo de proyecto de estructuras: Es necesario más información. Se debe cumplir con lo establecido en NCh 3417: Estructuras — Requisitos para proyectos de cálculo estructural. Ítem 5.1., principalmente indicar esquema de cargas y señalar principales resultados del análisis estructural.
ANEXOS
Incluir los siguientes antecedentes señalados en el ítem 5.8 del instructivo:
b) Ficha IDI
h) Factibilidad eléctrica
k) Certificado DOM (Coordinación SECPLAN/DOM)
o) Certificado de recepción municipal
u) Plan de mitigación
OFICIOS
1. Se debe cargar el oficio 659 24/12/2025 a BIP. TERRENO Y OTROS
1. Se requiere pronunciamiento de Instituto nacional del deporte de Chile para
aclarar la naturaleza de la prohibición indicada en el certificado de
hipotecas y gravámenes, prohibiciones, bien familiar y litigios.</t>
  </si>
  <si>
    <t>3262             303</t>
  </si>
  <si>
    <t>09-12-2025 11-02-2026</t>
  </si>
  <si>
    <t>25-11-2025   10-02-2026</t>
  </si>
  <si>
    <t>Reposición Salón Multiuso Adulto Mayor, Los Muermos.</t>
  </si>
  <si>
    <t>Se informa Observaciones. GENERALES
1. Se observa que el presupuesto total del proyecto se encuentra en una brecha muy estrecha respecto al límite máximo financiable de la línea &lt;5.000 UTM.
A fin de cautelar la continuidad administrativa y evitar contingencias procedimentales, se recomienda ajustar el presupuesto para mantener un margen de seguridad de al menos $10.000.000 respecto al tope máximo de financiamiento. Lo anterior tiene como objetivo prevenir que, ante eventuales aumentos de obras o imprevistos propios de la ejecución, el proyecto supere el umbral normativo que obligaría a tramitar una reevaluación técnica ante el Ministerio de Desarrollo Social (MIDESO). Mantener esta holgura financiera permitirá al municipio gestionar variaciones menores sin comprometer la admisibilidad ni los plazos de ejecución de la obra.
2. Incorporar Plan de Gestión.
3. Incorporar Carta de no fraccionamiento firmada por Alcalde y visada por unidad jurídica.
ESTUDIO PREINVERSIONAL
1. Incluir firma de profesional formulador.
EVALUACIÓN TÉCNICA - PRESUPUESTO
1. El ítem 3.16 Equipamiento, presenta una inconsistencia ya que se encuentra cargado en el ítem de Obras Civiles. Se solicita realizar la separación contable de este presupuesto y clasificarlo correctamente bajo la categoría de Equipamiento, conforme a los clasificadores presupuestarios vigentes. Corregir este cambio también en ficha IDI.
2. El ítem 5.2 Placa de identificación de obra debe ajustarse al diseño oficial vigente del año presupuestario.
PLANOS E INGENERÍA
Plano de arquitectura:
1. A02 - Indicar ancho estacionamiento accesible
2. A02, A07 – No se indica acceso peatonal al predio. Se debe incluir portón de acceso independiente a portón de estacionamiento vehicular, y asegurar una ruta accesible hasta portón peatonal.
Memoria de cálculo:
1. Memoria de cálculo eléctrica debe incluir firma de profesional. ANEXOS
b) Ficha IDI: Adjuntar.
j) Propiedad del terreno: Adjuntar Certificado de dominio vigente y Certificado de hipotecas y gravámenes.
l) Permiso de edificación: Adjuntar certificado de informaciones previas.
q) Proyectos de Especialidades, tales como Ingeniería, Estudios Hidráulicos, Mecánica de Suelo, etc: Debe adjuntar estudio de mecánica de suelos que valide el diseño estructural.
r) Copia de certificado de título: Adjuntar certificado SEC formato digital y certificado de título proyectista eléctrico.
u) Plan de mitigación: No queda claro de qué manera se van a reorganizar las actividades comunitarias programadas en el recinto a intervenir.</t>
  </si>
  <si>
    <t>3er Ev</t>
  </si>
  <si>
    <t>Municipalidad de Los Muermos</t>
  </si>
  <si>
    <t>432                       1404</t>
  </si>
  <si>
    <t>04-03-2026  10-06-2026</t>
  </si>
  <si>
    <t>04-03-2026 09-06-2026</t>
  </si>
  <si>
    <t>Mejoramiento plaza villa El Trebol</t>
  </si>
  <si>
    <t>CONSTRUCCIÓN SEDE SOCIAL VILLA NUEVA PRIMAVERA, OSORNO</t>
  </si>
  <si>
    <t>GENERALES
1. Se solicita adjuntar una minuta de respuesta a las observaciones formuladas. Este documento debe indicar expresamente la manera mediante la cual se subsanó cada una de las observaciones técnicas y, en caso de que la corrección haya derivado en otras modificaciones al proyecto original, se deben señalar también todos los cambios, a fin de permitir una revisión integral de la coherencia del proyecto.
2. El proyecto, al considerar la pavimentación de calzada y vereda en un tramo de 14 metros, incurre en un fraccionamiento de iniciativa de inversión pública, ya que dichas obras de infraestructura vial corresponden a proyectos de urbanización ajenos a la edificación de la sede social y que no dan solución integral a esta problemática del sector. Adicionalmente, al proyectarse sobre un predio no afecto a utilidad pública, se requeriría tramitar expropiaciones o cesiones formales. Según indica el instructivo en Capitulo IV, 4.1, 4, b) “Los proyectos que requieran realizar gestiones previas para hacer uso del terreno donde se localiza el proyecto, sin restricciones para los fines que se persiguen, tales como fusiones o anexiones de terrenos, expropiaciones, alzamiento de gravámenes y/o prohibiciones, autorizaciones para uso de predios rurales con usos ajenos a la agricultura y que deban proceder conforme al artículo 55 del Decreto N°458, que aprueba la Ley General de Urbanismo y Construcciones (LGUC)” No podrán acogerse al instructivo, y por lo tanto no son admisibles.
Como alternativa de solución, para asegurar la viabilidad de la iniciativa y dar cumplimiento a la normativa de accesibilidad universal, se solicita eliminar el componente de pavimentación en vía pública y readecuar el diseño interior del predio. Esto debe permitir la incorporación de un estacionamiento accesible, asegurando la conectividad entre el espacio público y el acceso principal de la sede social sin requerir intervenciones externas a la propiedad, cumpliendo con lo establecido en artículo 4.1.7 de la OGUC.
3. Adjuntar carta de no fraccionamiento firmada por el alcalde y visada por unidad jurídica.
4. Se recomienda incorporar algún equipamiento necesario para el funcionamiento de la sede social, como: sillas, telón proyector, proyector, horno, refrigerador.                         EVALUACIÓN TÉCNICA - PRESUPUESTO
1. Debe incluir firma de todos los profesionales que participan del diseño y SECPLAN.
2. Incluir placa conmemorativa.
3. Partida “6.2 Protección ventanas” debe cubicarse por unidad o metros.
4. Partida “3.5.3. Ventanas” debe cubicarse por unidad.
TTR y,o EETT
1. Para cada partida que corresponda, debe incluir al final de la especificación, el N° de lámina de planimetría donde se encuentra lo especificado.
2. Respeto de partida “4.2.1.5. Red Húmeda”, diseño debe quedar resuelto en el proyecto.
3. Debe incluir firma de todos los profesionales que participan del diseño y SECPLAN (EETT y Carta Gantt).
4. Incluir imágenes de referencia para los elementos del ítem “4.3 Artefactos Sanitarios”.
PLANOS E INGENERÍA
1. Todos los planos deben incluir firma SECPLAN.
Plano de arquitectura:
1. Verificar cumplimiento de normas de accesibilidad universal respecto a pendientes máximas de rampas de acceso, para el caso en el que se excede el 8% de pendiente.
2. Adjuntar planta de accesibilidad universal.
3. Incluir render del proyecto.
4. Debe señalar ubicación y largo de dren de aguas lluvias (sede social).
5. En la lámina 3/3, se requiere incorporar un mayor nivel de detalle en las secciones constructivas, especificando claramente la composición de tabiques y techumbre (revestimientos, aislación térmica con espesor y densidad, barreras de humedad, niveles, etc).
6. Debe indicar en una vista en elevación la ubicación de “Placa nombre sede”.
7. Incluir detalle de jardinera, según se indica en partida “6.4 Jardinera”.
Plano de agua potable y sanitario:
1. No se define la red interior, ni los aparatos que la componen. Incluir también red húmeda y sistema termosolar.
2. Factibilidad de agua potable señala que el arranque no deberá ser mayor a 20 metros, sin embargo, en planos de proyecto de agua potable, se indica arranque de 22 metros de longitud.
Plano de electricidad:
1. Debe incorporar artefacto termoeléctrico.
2. Indicar ubicación empalme.
ANEXOS
b) Ficha IDI: Adjuntar.
j) Propiedad del terreno: Adjuntar certificado de hipoteca, gravámenes y prohibiciones.
k) Certificado del DOM: Adjuntar certificado que acredite que el DOM y la SECPLAN están en conocimiento de los detalles del proyecto.
l) Permiso de edificación: Adjuntar certificado de informaciones previas.
s) Aprobaciones sectoriales: Adjuntar certificado de aprobación SERVIU.
p) Proyecto de instalaciones domiciliarias:
- Adjuntar memoria de cálculo proyecto sanitario.
- Adjuntar memoria de cálculo proyecto agua potable.
- Adjuntar memoria de cálculo proyecto eléctrico.
q) Proyecto de especialidades:
- Adjuntar memoria de cálculo estructural firmada por ingeniero civil.
- Adjuntar mecánica de suelo con informe de laboratorio.
r) Copia certificado de título:
- Adjuntar patente municipal ingeniero civil.
- Adjuntar certificado de título, patente municipal y certificado SEC profesional eléctrico.</t>
  </si>
  <si>
    <t>La iniciativa es plenamente coherente con los lineamientos de "Bienestar socioterritorial" y "Cohesión e identidad sociocultural":
Equipamiento Público: Se alinea con el lineamiento de construir equipamientos públicos y espacios de carácter cívico en la región.
Infraestructura Comunitaria: Responde al objetivo de lograr que la comunidad cuente con la infraestructura necesaria para su desarrollo, generando condiciones para mejorar la calidad de vida de sus habitantes.
Integración y Cohesión: Fomenta la creación de sedes sociales destinadas a la articulación de organizaciones de distinta índole, incluyendo agrupaciones de personas mayores.</t>
  </si>
  <si>
    <t>3. Inclusión Social y Calidad de Vida
Iniciativas de Apoyo Social: La construcción de esta sede permite apoyar directamente a los sectores más vulnerables de la población y a los adultos mayores, quienes actualmente no cuentan con un espacio propio.
Desarrollo de Barrios: Fomenta la creación e instalación de sedes sociales y recintos comunitarios para fortalecer la vida barrial.
4. Participación Ciudadana y Gobernanza
Participación Ciudadana: El proyecto se sustenta en la necesidad de generar espacios de diálogo, encuentro y participación activa de la comunidad en la toma de decisiones.
Gestión y Descentralización: Al regularizar y ejecutar la obra, se da solución a una demanda postergada de la ciudadanía.</t>
  </si>
  <si>
    <t>MUNICIPALIDAD DE OSORNO</t>
  </si>
  <si>
    <t>MEJORAMIENTO ESPACIO PUBLICO NAVEGANDO EL FUTURO xxvi</t>
  </si>
  <si>
    <t>GENERALES
1. Se solicita adjuntar una minuta de respuesta a las observaciones formuladas. Debe indicar expresamente la manera mediante la cual se subsanó cada una de las observaciones técnicas y, en caso de que la corrección haya derivado en otras modificaciones al proyecto original, se deben señalar también todos los cambios, a fin de permitir una revisión integral de la coherencia del proyecto.
ESTUDIO PREINVERSIONAL
1. Adjuntar formato PDF y firmado por profesional formulador.
2. Se requiere justificar la brecha en función del estándar de servicio, seguridad y accesibilidad universal y no solo de la cantidad de población. Asimismo, se debe precisar el déficit real de metros cuadrados (m2) de espacio público útil y justificar técnicamente por qué la oferta actual no suple las necesidades de los habitantes del sector.
3. Corregir y justificar la distribución de los beneficiarios por sexo (hombres y mujeres). Considerando la información del Censo 2017 contenida en el propio perfil (pág. 20), la proporción de la población es de 51,88% mujeres y 48,12% hombres.
Corregir también en Ficha IDI.
4. Indicar cuantos son los metros cuadrados efectivos de intervención, ya que en no concuerda con lo indicado en Ficha IDI.
EVALUACIÓN TÉCNICA - PRESUPUESTO
1. Hay 2 versiones del presupuesto. Dejar solo 1 para poder revisar el que corresponde. TTR y,o EETT
1. Formato de Carta Gantt dificulta su lectura. Cambiar a un formato más
amigable.
2. Duración del proyecto indicado en Carta Gantt, no concuerda con lo señalado
en Ficha IDI.
PLANOS E INGENERÍA
1. Calidad de imagen de planos no permite su análisis. Adjuntar en formato DWG y
mejorar resolución de planos.
2. Memoria de accesibilidad debe ser firmada por Arquitecto.
ANEXOS
a) Adjuntar oficio conductor de ingreso proyecto menor a 5000 UTM.
k) Certificado DOM:
- Adjuntar certificado Coordinación SECPLAN/DOM: Certificado que acredite que
DOM y SECPLAN están en total conocimiento de los detalles del proyecto.
n) Participación ciudadana:
- Adjuntar listado de asistencia con registro fotográfico de la participación
ciudadana con fecha y hora.
j) Propiedad del terreno:
- El certificado de registro de hipotecas y gravámenes presenta una inscripción
por Servidumbre de tránsito. Es necesario más antecedentes respecto a esto:
Adjuntar Plano y Registro de Servidumbre de Tránsito.
- Por otro lado, en los mapas del SII se indica la existencia de un rol 12343-
46 dentro del polígono de intervención, del cual no se incorporan
antecedentes en el proyecto. Se solicitan antecedentes para aclarar la
situación.
r) Copia de Certificado de título:
- Adjuntar certificado de título profesional eléctrico.
- Adjuntar patente al día de Arquitecto Sebastián Parada.
s) Aprobaciones sectoriales: Adjuntar aprobación SERVIU.</t>
  </si>
  <si>
    <t>Mejoamiento plaza Vila Los Ríos</t>
  </si>
  <si>
    <t xml:space="preserve">La iniciativa es plenamente coherente con los lineamientos de:
1. Bienestar socioterritorial  Espacios y Equipamiento Público: 
"Construir nuevas áreas verdes de uso público como herramienta de esparcimiento e integración barrial en las ciudades de la región".
"Aumentar el número de espacios polideportivos en la región, con criterios de género e inclusividad".  
2. Cohesión e identidad sociocultural  Integración Social:
"Incentivar políticas y programas que favorezcan la inclusión social de personas en situación de discapacidad en la región". 
</t>
  </si>
  <si>
    <t xml:space="preserve">La propuesta se articula con los siguientes pilares programáticos del programa de gobierno:
1. Seguridad Pública 
i) Espacios Seguros: “Mejorar la iluminación y la seguridad en parques, plazas y áreas públicas para garantizar espacios seguros para todos los habitantes"
m) Actividades Recreativas y Deportivas: “Fomentar actividades recreativas, culturales y deportivas para jóvenes, creando espacios de integración y desarrollo positivo"  
3. Inclusión Social y Calidad de Vida
k) Desarrollo Urbano Sostenible: “Promover políticas de desarrollo urbano que integren espacios verdes y respeten el entorno natural". 
</t>
  </si>
  <si>
    <t>MUNICIPALIDAD DE PUERTO MONTT</t>
  </si>
  <si>
    <t>S-319</t>
  </si>
  <si>
    <t>Dcastro       Dcastro</t>
  </si>
  <si>
    <t>1042                   2689</t>
  </si>
  <si>
    <t>06-05-2026   09-09-2026</t>
  </si>
  <si>
    <t>05-05-2026  09-09-2026</t>
  </si>
  <si>
    <t>S-611</t>
  </si>
  <si>
    <t>HABILITACION SISTEMA DE MONITOREO Y RECONOCIMIENTO VEHICULAR  CHILOE</t>
  </si>
  <si>
    <t>GENERALES
1. Se solicita adjuntar una minuta de respuesta a las observaciones formuladas. Este documento debe indicar expresamente la manera mediante la cual se subsanó cada una de las observaciones técnicas y, en caso de que la corrección haya derivado en otras modificaciones al proyecto original, se deben señalar también todos los cambios, a fin de permitir una revisión integral de la coherencia del proyecto.
2. Nombre del proyecto se debe corregir a “CONSTRUCCIÓN SISTEMA DE MONITOREO Y RECONOCIMIENTO VEHICULAR PROVINCIA DE CHILOE” o similar. Todos los documentos del proyecto deben actualizar nombre.
3. Adjuntar carta de no fraccionamiento firmada por el jefe de servicio.
ESTUDIO PREINVERSIONAL
1. Perfil de proyecto debe incorporar firma de profesional formulador.
2. Se debe eliminar archivos adjuntos que están fuera del alcance del presente documento y que se deben presentar adjuntos como archivos individuales. Específicamente el Presupuesto y Carta Gantt.
EVALUACIÓN TÉCNICA - PRESUPUESTO
1. En general, se debe reordenar el itemizado del presupuesto, ya que no sigue una metodología tradicional. El ordenamiento actual dificulta el seguimiento e interpretación al cruzar información con los EETT. Itemizado debe ser correlativo y desglosado correctamente.
2. Todos los precios indicados deben estar en Pesos Chilenos ($). Eliminar referencias a UF.
3. Se solicita reestructurar el presupuesto general del proyecto separando estrictamente las partidas en tablas diferenciadas según su clasificador presupuestario: por un lado, se deben agrupar los ítems de equipos (hardware, software, licencias y enlaces de comunicación) y, por otro, aislar de forma independiente los costos de obras civiles e infraestructura física (tales como la provisión e instalación de postes, canalizaciones, fundaciones, etc).
4. No puede haber partidas globales, estas deben ser desglosadas en subpartidas, cubicadas y presupuestadas correctamente. Además, detalladas en EETT.
5. Adjuntar el Presupuesto General y la Carta Gantt de forma independiente, generando un archivo individual para cada uno de estos antecedentes. Ambos deben venir en formato PDF y Excel.
6. Respecto a partida 1.5.3 indicada en EETT, se deben desglosar todas las subpartidas y presupuestar.
7. Carta Gantt debe abordar solo el plazo de ejecución del proyecto. No incluir el proceso administrativo previo y posterior.
TTR y,o EETT
1. Se debe eliminar referencias a otros documentos adjuntos fuera del alcance del presente documento. Específicamente todo lo indicado en Anexos.
2. El itemizado de las partidas a ejecutar debe ser correlativo con Presupuesto y Carta Gantt. Debe haber concordancia absoluta.
3. Ítem 1.11 debe ser eliminado. Esto se sustituye por el punto de "Responsabilidades del contratista" para especialidades, que debe ser indicado en GENERALIDADES de las EETT.
4. EETT deben venir firmada por unidad formuladora y unidad técnica (profesionales que diseñan).
5. Incluir partida Letrero de Obras, y Placa conmemorativa.
6. Partida 1.5.4 debe desglosar subpartidas de obras civiles. Actualmente no se indican ni cubican: excavaciones y retiros, hormigón, canastillo o enfierradura, Poste octagonal, y otros.
Por otro lado, se solicita que la necesidad de realizar un estudio de mecánica de suelos sea resuelta y sancionada por el profesional calculista del proyecto en esta etapa de diseño. Este deberá evaluar técnicamente la pertinencia del estudio para el diseño estructural propuesto que actualmente ya cuenta con un análisis estructural, asumiendo la responsabilidad sobre la suficiencia de los antecedentes del terreno utilizados en el cálculo.
7. Respecto a partida 1.1, 1.2, 1.3 y 1.4: el costo de la contratación del servicio debe quedar a cargo del respectivo municipio y indicado en el Certificado Compromiso de Absorción de Costos de operación y mantención. La habilitación, configuración y puesta en marcha a cargo del contratista.
PLANOS E INGENERÍA
1. Planos eléctricos deben indicar poste, acometida aérea.
2. Planos deben estar firmados por profesional responsable, unidad formuladora y unidad técnica.
3. Se debe incorporar detalle de fundación proyectada indicando dimensiones en elevación.
4. Unificar unidades de medida en planta de fundación.
ANEXOS
b) Ficha IDI: Debe adjuntar como antecedente.
d) Informe técnico de emplazamiento: Adjuntar un breve informe que se enfoque en indicar la ubicación exacta en la que se emplazaran los postes, acompañado de fotografías del lugar.
e) Adjuntar archivo de georreferenciación (.kmz), de los puntos donde se proyectan los postes.
h) Factibilidad eléctrica: Debe adjuntar certificados de factibilidad técnica de los organismos competentes, para los puntos de conexión proyectados.
m) Certificado Compromiso de Absorción de Costos de operación y mantención: Debe ser certificado por el concejo municipal de ambos municipios beneficiados directamente. Debe indicar además el desglose de los costos asociados y proyectarlos durante la vida útil del proyecto.
r) Copia certificado de título: Corresponde adjuntar para los profesionales responsables de diseño.
s) Aprobaciones Sectoriales: Tras el análisis del emplazamiento del proyecto, se constata que aparentemente los puntos de instalación de los postes se encuentran en fajas de camino bajo tuición de la Dirección de Vialidad. Por lo tanto, se solicita adjuntar el pronunciamiento formal o la autorización de dicho organismo que valide la intervención en la red vial nacional.</t>
  </si>
  <si>
    <t>La iniciativa es plenamente coherente con los lineamientos de:
Gobernanza regional y local:  Objetivo Transversal / Temas Ejes: Promover la utilización de herramientas y plataformas tecnológicas de punta para optimizar la toma de decisiones, la planificación y la gestión integrada de la seguridad pública e institucionalidad regional.</t>
  </si>
  <si>
    <t>La propuesta se articula con los siguientes pilares programáticos del programa de gobierno:            1. Seguridad Pública: h) Videovigilancia Inteligente: proponer la instalación de sistemas de videovigilancia inteligente en puntos estratégicos, integrados con un centro de monitoreo regional para una respuesta rápida y eficaz.</t>
  </si>
  <si>
    <t>DIT</t>
  </si>
  <si>
    <t>UOCT</t>
  </si>
  <si>
    <t>REPOSICION TALLER LABORAL COMUNITARIO, COMUNA DE COCHAMÓ</t>
  </si>
  <si>
    <t xml:space="preserve">1.        Ajuntar Perfil Firmado.
2.        Anexar EETT con Firma de la UT.
3.        Incorporar Ppto. OC. Firmado.
4.        Adjuntar Ppto. Equipos, Equipamiento y AITO, si corresponde.
5.        Incorporar Memorias explicativas de especialidades firmadas.
6.        Adjuntar Carta de No Fraccionamiento.
7.        Anexar Mecánica de suelos.
8.        Incorporar Planos Firmados por profesional responsable.
9.        Anexar Revisores Independientes.
10.        Adjuntar Plan de Mitigación.
11.        Incorporar Modelo de Gestión.
12.        Anexar Informe Técnico Infraestructura Actual.
13.        Adjuntar Certificado Hipotecas y gravámenes.
14.        Incorporar C. I. P.
15.        Adjuntar documentación al BIP.
16.        La información solicitada resulta indispensable para llevar a cabo el análisis técnico exhaustivo del proyecto.
</t>
  </si>
  <si>
    <t>MUNICIPALIDAD DE COCHAMÓ</t>
  </si>
  <si>
    <t>1504
2063</t>
  </si>
  <si>
    <t>17-06-2026
03-08-2026</t>
  </si>
  <si>
    <t>16-06-2026
31-07-2026</t>
  </si>
  <si>
    <t>REPOSICION CENTRO COMUNITARIO Y DELEGACION MUNICIPAL ISLA APIAO, COMUNA QUINCHAO</t>
  </si>
  <si>
    <t>n evaluación</t>
  </si>
  <si>
    <t xml:space="preserve"> GENERALES
1. Se solicita adjuntar una minuta de respuesta a las observaciones formuladas. Este documento debe indicar expresamente la manera mediante la cual se subsanó cada una de las observaciones técnicas y, en caso de que la corrección haya derivado en otras modificaciones al proyecto original, se deben señalar también todos los cambios, a fin de permitir una revisión integral de la coherencia del proyecto.
2. Adjuntar carta de no fraccionamiento firmada por alcalde y visada por unidad jurídica.
3. Es necesario replantear el diseño arquitectónico del proyecto, debido a que no se justifica técnicamente la desagregación de la iniciativa en dos infraestructuras independientes que duplican recintos de servicios (cada una con cocina, baño y comedor). Esta decisión de diseño fragmenta el Programa de Recintos propuesto y genera un perjuicio directo sobre la superficie del Salón Multipropósito. El salón multiuso constituye el espacio de mayor relevancia, representatividad y demanda social dentro de la infraestructura comunitaria de la Isla Apiao.
Por otro lado, el plano ARQ12 grafica de manera explícita un achurado rojo sobre el sector de dormitorios, estar/comedor y cocina de la delegación bajo la leyenda: "ÁREA SIN ACCESO O ATENCIÓN A PÚBLICO. NO AFECTA A DS50". Esta exclusión es normativamente inadmisible. La Ley N°20.422 y las modificaciones del Decreto Supremo N°50/2015 incorporadas en la OGUC imponen que toda edificación de uso público o equipamiento debe garantizar el concepto de "Accesibilidad Universal" y "Diseño Universal" desde su origen en todo su entorno. Si bien el público general no ingresa habitualmente a las habitaciones, un funcionario, consultor o tallerista con discapacidad o movilidad reducida posee el derecho legal de pernoctar y circular en igualdad de condiciones de autonomía y seguridad.
ESTUDIO PREINVERSIONAL
1. Se requiere un mayor grado de profundidad en el estudio Pre-inversional. Ajustarse a lo indicado en “Metodología General para la Formulación y Evaluación de Proyectos de Inversión Pública – SNI”.
2. Se debe incorporar registro de horarios de traslados diarios para uso público (durante los 7 días de la semana) entre Islas Quinchao y Apiao.
3. Cuantificación de la Demanda de Pernoctación: Presentar una Planta Funcionaria y Calendario Anual de Comisiones de Servicio. No basta con decir que se "ofrecen talleres"; se debe registrar el número de funcionarios municipales (asistentes sociales, veterinarios, inspectores de obras, médicos de rondas, etc.) y talleristas externos que efectivamente viajan al año, justificando técnicamente por qué la carga de trabajo requiere estadías de más de un día.
4. Certificación de Inexistencia de Oferta Privada: Incorporar un certificado formal de la Dirección de Turismo (DITUR) municipal o de la Oficina de Partes que declare el catastro de hospedajes formales en Isla Apiao, demostrando cuantitativamente que la oferta local privada es insuficiente, transformando la pernoctación municipal en una necesidad de fuerza mayor para la continuidad del servicio público.
PLANOS E INGENIERÍA
1. Incorporar plano de situación actual de la infraestructura existente.
2. En lámina ARQ01, se debe indicar niveles de las plantas respecto al suelo.
3. Es necesario replantear el diseño arquitectónico, debido a que no se justifica separar el proyecto en 2 infraestructuras, cada una con cocina, baño, comedor. Esto en perjucio del espacio del salón multiuso, espacio de mayor relevancia dentro de la infraestructura.
ANEXOS
d) Informe técnico de emplazamiento:
- Se necesita completar informe con más antecedentes respeto a rampa DOP, servidumbres de paso y ruta enrolada.
- Se debe completar informe con un diagnóstico del estado actual de la estructura.
j) Propiedad del terreno:
- Adjuntar certificado de hipotecas y gravámenes.
- Adjuntar antecedentes servidumbre de paso indicada en inscripción de dominio.
- Adjuntar antecedentes comodato indicado en inscripción de dominio.
o) Certificado de recepción municipal.
p) Proyecto de instalaciones domiciliarias:
- Adjuntar memoria proyecto eléctrico.
- Adjuntar planos de proyecto de agua potable, certificado de factibilidad de dotación de comité de agua potable y aprobación de proyecto por autoridad sanitaria.
q) Proyecto de especialidades:
- Adjuntar estudio de mecánica de suelo con informe de laboratorio.
r) Certificado de título:
- Adjuntar Certificado SEC eléctrico.
- Adjuntar patente municipal profesional patrocinador del proyecto.</t>
  </si>
  <si>
    <t>MUNICIPALIDAD DE QUINCHAO</t>
  </si>
  <si>
    <t>CONSTRUCCION Espacio público recreativo Maratón, Puerto Montt</t>
  </si>
  <si>
    <t>Archivos disponibles en BIP no son suficientes para poder iniciar la revisión. Verificar y adjuntar antecedentes del proyecto.</t>
  </si>
  <si>
    <t>MEJORAMIENTO Espacio PÃºblico Rotonda La Paloma, Puerto Montt</t>
  </si>
  <si>
    <r>
      <rPr>
        <rFont val="Calibri"/>
        <i/>
        <color rgb="FF980000"/>
        <sz val="9.0"/>
      </rPr>
      <t>CAMBIA CODIGO BIP</t>
    </r>
    <r>
      <rPr>
        <rFont val="Calibri"/>
        <i/>
        <color theme="1"/>
        <sz val="9.0"/>
      </rPr>
      <t xml:space="preserve">                                               1. Archivos disponibles en BIP no son suficientes para poder iniciar la revisión. Verificar y adjuntar antecedentes del proyecto.
2. Corregir nombre de proyecto en BIP.</t>
    </r>
  </si>
  <si>
    <t>CONSTRUCCION ACCESO Y MEJORAMIENTO SEGURIDAD VIAL POSTA QUETALCO, COMUNA DE DALCAHUE</t>
  </si>
  <si>
    <t xml:space="preserve">GENERALES
1.	Adjuntar minuta de respuesta a las observaciones formuladas. 
PLANOS E INGENIERÍA
1.	Faltan firmas en planos.
2.	Se debe asegurar accesibilidad universal desde los paraderos hasta la edificación pública. Adjuntar plano de accesibilidad.
ANEXOS
d) Informe técnico de emplazamiento:
- Incluir en informe plano con deslindes de ambos predios.
j) Propiedad del terreno:
177-90: Adjuntar Certificado de hipotecas, prohibiciones y gravámenes.
k) Certificado coordinación SECPLAN/DOM.
r) Certificado de título: Adjuntar certificado SEC profesional eléctrico.
s) Certificado de no fraccionamiento: Debe venir firmado por alcalde y visado por unidad jurídica.
</t>
  </si>
  <si>
    <t>Dcastro     Dcastro</t>
  </si>
  <si>
    <t>1706                 2589</t>
  </si>
  <si>
    <t>03-07-2026  31-08-2026</t>
  </si>
  <si>
    <t>03-07-2026  28-08-2026</t>
  </si>
  <si>
    <t>CONSDTRUCCIÓN ESPACIO COMUNITARIO QUINCHO LA PICADA</t>
  </si>
  <si>
    <t xml:space="preserve">1.        Ajustar ficha IDI y presupuesto, ya que está por sobre el monto permitido (Valor UTM al 31-12-25).
2.        Corregir Descriptor IDI como iniciativa menor a 5000UTM. 
3.        Adjuntar Presupuesto Aito. Si corresponde.
4.        Anexar Presupuesto Equipos y Equipamiento, si corresponde.
5.        Incorporar Mecánica de Suelos.
6.        Anexar Revisores Independientes.
7.        Incorporar Modelo de Gestión.
8.        Anexar Factibilidad Eléctrica.
9.        Incorporar Planimetría Completa.
10.        Adjuntar documentación al BIP.
11.        La información solicitada resulta indispensable para llevar a cabo el análisis técnico exhaustivo del proyecto.
</t>
  </si>
  <si>
    <t>MUNICIPALIDAD DE PUERTO OCTAY</t>
  </si>
  <si>
    <t>HSolervicens</t>
  </si>
  <si>
    <t>HABILITACION PLAZA DE ADIESTRAMIENTO PARA MASCOTAS EN EL PARQUE FRANCKE</t>
  </si>
  <si>
    <t>Dcastro    Dcastro</t>
  </si>
  <si>
    <t>2115                             2796</t>
  </si>
  <si>
    <t>04-08-2026    14-09-2026</t>
  </si>
  <si>
    <t>04-08-2026   14-09-2026</t>
  </si>
  <si>
    <t xml:space="preserve"> CONSTRUCCION MÓDULO DE ESTIMULACIÓN MULTISENSORIAL, SECTOR CONTAO, COMUNA DE HUALAIHUÉ</t>
  </si>
  <si>
    <t>MUNICIPALIDAD DE HUALAIHUE</t>
  </si>
  <si>
    <t>CONSTRUCCION GALPÓN GASTRONOMICO PARQUE TEGUEL, COMUNA DE DALCAHUE</t>
  </si>
  <si>
    <t>HABILITACION ESPACIO PÚBLICO, POBLACIÓN LOS COLONOS DE ALERCE II</t>
  </si>
  <si>
    <t>S-0648</t>
  </si>
  <si>
    <t xml:space="preserve"> MEJORAMIENTO CALZADA ALMIRANTE LATORRE</t>
  </si>
  <si>
    <t>Transporte</t>
  </si>
  <si>
    <t>MUNICIPALIDAD DE CALBUCO</t>
  </si>
  <si>
    <t>MEJORAMIENTO ESPACIO PUBLICO ROTONDA LA PALOMA, PUERTO MONTT</t>
  </si>
  <si>
    <t>MEJORAMIENTO GIMNASIO MUNICIPAL DE CASTRO</t>
  </si>
  <si>
    <t>CONSTRUCCION SEDE SOCIAL LOMAS DE BELLAVISTA, OSORNO</t>
  </si>
  <si>
    <t>CONSTRUCCION CASA DE REUNIONES Y SABERES KUIFI PUÑEN, OSORNO</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</si>
</sst>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 #,##0"/>
    <numFmt numFmtId="165" formatCode="d/m/yyyy"/>
    <numFmt numFmtId="166" formatCode="_-&quot;$&quot;\ * #,##0_-;\-&quot;$&quot;\ * #,##0_-;_-&quot;$&quot;\ * &quot;-&quot;??_-;_-@"/>
    <numFmt numFmtId="167" formatCode="_-* #,##0_-;\-* #,##0_-;_-* &quot;-&quot;??_-;_-@"/>
    <numFmt numFmtId="168" formatCode="dd-mm-yyyy"/>
    <numFmt numFmtId="169" formatCode="d/M/yyyy"/>
    <numFmt numFmtId="170" formatCode="d&quot;/&quot;m&quot;/&quot;yyyy&quot; ::&quot;"/>
    <numFmt numFmtId="171" formatCode="d-m-yyyy"/>
    <numFmt numFmtId="172" formatCode="dd&quot;-&quot;mm&quot;-&quot;yyyy"/>
    <numFmt numFmtId="173" formatCode="d-m-yy"/>
    <numFmt numFmtId="174" formatCode="dd-mm-yy"/>
  </numFmts>
  <fonts count="14">
    <font>
      <sz val="11.0"/>
      <color theme="1"/>
      <name val="Calibri"/>
      <scheme val="minor"/>
    </font>
    <font>
      <sz val="11.0"/>
      <color theme="1"/>
      <name val="Calibri"/>
    </font>
    <font>
      <b/>
      <i/>
      <sz val="9.0"/>
      <color theme="1"/>
      <name val="Calibri"/>
    </font>
    <font>
      <b/>
      <sz val="11.0"/>
      <color theme="1"/>
      <name val="Calibri"/>
    </font>
    <font>
      <color theme="1"/>
      <name val="Calibri"/>
      <scheme val="minor"/>
    </font>
    <font>
      <b/>
      <i/>
      <sz val="9.0"/>
      <color theme="0"/>
      <name val="Calibri"/>
    </font>
    <font>
      <b/>
      <i/>
      <sz val="9.0"/>
      <color rgb="FF44546A"/>
      <name val="Calibri"/>
    </font>
    <font>
      <b/>
      <color theme="1"/>
      <name val="Calibri"/>
      <scheme val="minor"/>
    </font>
    <font>
      <b/>
      <i/>
      <sz val="9.0"/>
      <color rgb="FFFFFFFF"/>
      <name val="Calibri"/>
    </font>
    <font>
      <i/>
      <sz val="9.0"/>
      <color theme="1"/>
      <name val="Calibri"/>
    </font>
    <font>
      <i/>
      <sz val="9.0"/>
      <color theme="0"/>
      <name val="Calibri"/>
    </font>
    <font>
      <sz val="11.0"/>
      <color rgb="FF434343"/>
      <name val="Roboto"/>
    </font>
    <font>
      <sz val="11.0"/>
      <color rgb="FF473821"/>
      <name val="Roboto"/>
    </font>
    <font/>
  </fonts>
  <fills count="22">
    <fill>
      <patternFill patternType="none"/>
    </fill>
    <fill>
      <patternFill patternType="lightGray"/>
    </fill>
    <fill>
      <patternFill patternType="solid">
        <fgColor rgb="FFD8D8D8"/>
        <bgColor rgb="FFD8D8D8"/>
      </patternFill>
    </fill>
    <fill>
      <patternFill patternType="solid">
        <fgColor rgb="FFADB9CA"/>
        <bgColor rgb="FFADB9CA"/>
      </patternFill>
    </fill>
    <fill>
      <patternFill patternType="solid">
        <fgColor rgb="FFFF66FF"/>
        <bgColor rgb="FFFF66FF"/>
      </patternFill>
    </fill>
    <fill>
      <patternFill patternType="solid">
        <fgColor rgb="FF548135"/>
        <bgColor rgb="FF548135"/>
      </patternFill>
    </fill>
    <fill>
      <patternFill patternType="solid">
        <fgColor theme="1"/>
        <bgColor theme="1"/>
      </patternFill>
    </fill>
    <fill>
      <patternFill patternType="solid">
        <fgColor rgb="FFFFC000"/>
        <bgColor rgb="FFFFC000"/>
      </patternFill>
    </fill>
    <fill>
      <patternFill patternType="solid">
        <fgColor theme="0"/>
        <bgColor theme="0"/>
      </patternFill>
    </fill>
    <fill>
      <patternFill patternType="solid">
        <fgColor rgb="FFC00000"/>
        <bgColor rgb="FFC00000"/>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rgb="FF38761D"/>
        <bgColor rgb="FF38761D"/>
      </patternFill>
    </fill>
    <fill>
      <patternFill patternType="solid">
        <fgColor rgb="FFFFFFFF"/>
        <bgColor rgb="FFFFFFFF"/>
      </patternFill>
    </fill>
    <fill>
      <patternFill patternType="solid">
        <fgColor rgb="FFB7E1CD"/>
        <bgColor rgb="FFB7E1CD"/>
      </patternFill>
    </fill>
    <fill>
      <patternFill patternType="solid">
        <fgColor theme="7"/>
        <bgColor theme="7"/>
      </patternFill>
    </fill>
    <fill>
      <patternFill patternType="solid">
        <fgColor rgb="FFCCCCCC"/>
        <bgColor rgb="FFCCCCCC"/>
      </patternFill>
    </fill>
    <fill>
      <patternFill patternType="solid">
        <fgColor rgb="FFD9EAD3"/>
        <bgColor rgb="FFD9EAD3"/>
      </patternFill>
    </fill>
    <fill>
      <patternFill patternType="solid">
        <fgColor rgb="FFFF9900"/>
        <bgColor rgb="FFFF9900"/>
      </patternFill>
    </fill>
    <fill>
      <patternFill patternType="solid">
        <fgColor theme="4"/>
        <bgColor theme="4"/>
      </patternFill>
    </fill>
    <fill>
      <patternFill patternType="solid">
        <fgColor rgb="FFF6F8F9"/>
        <bgColor rgb="FFF6F8F9"/>
      </patternFill>
    </fill>
  </fills>
  <borders count="13">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hair">
        <color rgb="FF000000"/>
      </left>
      <right/>
      <top style="hair">
        <color rgb="FF000000"/>
      </top>
      <bottom style="hair">
        <color rgb="FF000000"/>
      </bottom>
    </border>
    <border>
      <right/>
      <top/>
      <bottom/>
    </border>
    <border>
      <left/>
      <right/>
      <top/>
      <bottom/>
    </border>
    <border>
      <left style="thin">
        <color rgb="FF000000"/>
      </left>
      <right style="thin">
        <color rgb="FF000000"/>
      </right>
      <top style="thin">
        <color rgb="FF000000"/>
      </top>
    </border>
    <border>
      <top style="thin">
        <color rgb="FF000000"/>
      </top>
    </border>
    <border>
      <left style="hair">
        <color rgb="FF000000"/>
      </left>
      <right style="hair">
        <color rgb="FF000000"/>
      </right>
      <top style="hair">
        <color rgb="FF000000"/>
      </top>
    </border>
    <border>
      <left/>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1" fillId="2" fontId="2" numFmtId="0" xfId="0" applyAlignment="1" applyBorder="1" applyFill="1" applyFont="1">
      <alignment horizontal="left" shrinkToFit="0" vertical="center" wrapText="1"/>
    </xf>
    <xf borderId="0" fillId="0" fontId="1" numFmtId="14" xfId="0" applyFont="1" applyNumberFormat="1"/>
    <xf borderId="1" fillId="2" fontId="2" numFmtId="164" xfId="0" applyAlignment="1" applyBorder="1" applyFill="1" applyFont="1" applyNumberFormat="1">
      <alignment horizontal="center" shrinkToFit="0" vertical="center" wrapText="1"/>
    </xf>
    <xf borderId="1" fillId="2" fontId="2" numFmtId="165" xfId="0" applyAlignment="1" applyBorder="1" applyFill="1" applyFont="1" applyNumberFormat="1">
      <alignment horizontal="center" shrinkToFit="0" vertical="center" wrapText="1"/>
    </xf>
    <xf borderId="1" fillId="2" fontId="2" numFmtId="166"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left" shrinkToFit="0" vertical="center" wrapText="1"/>
    </xf>
    <xf borderId="1" fillId="2" fontId="2" numFmtId="0" xfId="0" applyAlignment="1" applyBorder="1" applyFill="1" applyFont="1">
      <alignment shrinkToFit="0" vertical="center" wrapText="1"/>
    </xf>
    <xf borderId="0" fillId="0" fontId="4" numFmtId="0" xfId="0" applyAlignment="1" applyFont="1">
      <alignment shrinkToFit="0" wrapText="1"/>
    </xf>
    <xf borderId="1" fillId="2" fontId="2" numFmtId="164" xfId="0" applyAlignment="1" applyBorder="1" applyFill="1" applyFont="1" applyNumberFormat="1">
      <alignment horizontal="center" readingOrder="0" shrinkToFit="0" vertical="center" wrapText="1"/>
    </xf>
    <xf borderId="1" fillId="3" fontId="2" numFmtId="167" xfId="0" applyAlignment="1" applyBorder="1" applyFill="1" applyFont="1" applyNumberFormat="1">
      <alignment horizontal="center" shrinkToFit="0" vertical="center" wrapText="1"/>
    </xf>
    <xf borderId="0" fillId="0" fontId="4" numFmtId="0" xfId="0" applyAlignment="1" applyFont="1">
      <alignment readingOrder="0"/>
    </xf>
    <xf borderId="1" fillId="4" fontId="2" numFmtId="167" xfId="0" applyAlignment="1" applyBorder="1" applyFill="1" applyFont="1" applyNumberFormat="1">
      <alignment horizontal="center" shrinkToFit="0" vertical="center" wrapText="1"/>
    </xf>
    <xf borderId="1" fillId="5" fontId="2" numFmtId="167" xfId="0" applyAlignment="1" applyBorder="1" applyFill="1" applyFont="1" applyNumberFormat="1">
      <alignment horizontal="center" shrinkToFit="0" vertical="center" wrapText="1"/>
    </xf>
    <xf borderId="1" fillId="6" fontId="5" numFmtId="164" xfId="0" applyAlignment="1" applyBorder="1" applyFill="1" applyFont="1" applyNumberFormat="1">
      <alignment horizontal="center" shrinkToFit="0" vertical="center" wrapText="1"/>
    </xf>
    <xf borderId="1" fillId="6" fontId="5" numFmtId="14" xfId="0" applyAlignment="1" applyBorder="1" applyFill="1" applyFont="1" applyNumberFormat="1">
      <alignment horizontal="center" shrinkToFit="0" vertical="center" wrapText="1"/>
    </xf>
    <xf borderId="1" fillId="6" fontId="5" numFmtId="0" xfId="0" applyAlignment="1" applyBorder="1" applyFill="1" applyFont="1">
      <alignment horizontal="center" shrinkToFit="0" vertical="center" wrapText="1"/>
    </xf>
    <xf borderId="1" fillId="7" fontId="6" numFmtId="0" xfId="0" applyAlignment="1" applyBorder="1" applyFill="1" applyFont="1">
      <alignment horizontal="center" shrinkToFit="0" vertical="center" wrapText="1"/>
    </xf>
    <xf borderId="0" fillId="0" fontId="7" numFmtId="0" xfId="0" applyAlignment="1" applyFont="1">
      <alignment horizontal="left" readingOrder="0" shrinkToFit="0" vertical="center" wrapText="0"/>
    </xf>
    <xf borderId="1" fillId="8" fontId="8" numFmtId="0" xfId="0" applyAlignment="1" applyBorder="1" applyFill="1" applyFont="1">
      <alignment horizontal="center" shrinkToFit="0" vertical="center" wrapText="1"/>
    </xf>
    <xf borderId="0" fillId="0" fontId="7" numFmtId="0" xfId="0" applyAlignment="1" applyFont="1">
      <alignment horizontal="center" readingOrder="0" shrinkToFit="0" vertical="center" wrapText="1"/>
    </xf>
    <xf borderId="1" fillId="9" fontId="5" numFmtId="0" xfId="0" applyAlignment="1" applyBorder="1" applyFill="1" applyFont="1">
      <alignment horizontal="center" shrinkToFit="0" vertical="center" wrapText="1"/>
    </xf>
    <xf borderId="1" fillId="9" fontId="5" numFmtId="14" xfId="0" applyAlignment="1" applyBorder="1" applyFill="1" applyFont="1" applyNumberFormat="1">
      <alignment horizontal="center" shrinkToFit="0" vertical="center" wrapText="1"/>
    </xf>
    <xf borderId="1" fillId="10" fontId="2" numFmtId="0" xfId="0" applyAlignment="1" applyBorder="1" applyFill="1" applyFont="1">
      <alignment horizontal="center" shrinkToFit="0" vertical="center" wrapText="1"/>
    </xf>
    <xf borderId="0" fillId="0" fontId="7" numFmtId="0" xfId="0" applyAlignment="1" applyFont="1">
      <alignment horizontal="center" readingOrder="0" shrinkToFit="0" vertical="center" wrapText="1"/>
    </xf>
    <xf borderId="1" fillId="10" fontId="2" numFmtId="14" xfId="0" applyAlignment="1" applyBorder="1" applyFill="1" applyFont="1" applyNumberFormat="1">
      <alignment horizontal="center" shrinkToFit="0" vertical="center" wrapText="1"/>
    </xf>
    <xf borderId="1" fillId="11" fontId="9" numFmtId="0" xfId="0" applyAlignment="1" applyBorder="1" applyFill="1" applyFont="1">
      <alignment horizontal="center" shrinkToFit="0" vertical="center" wrapText="1"/>
    </xf>
    <xf borderId="1" fillId="11" fontId="9" numFmtId="14" xfId="0" applyAlignment="1" applyBorder="1" applyFill="1" applyFont="1" applyNumberFormat="1">
      <alignment horizontal="center" shrinkToFit="0" vertical="center" wrapText="1"/>
    </xf>
    <xf borderId="1" fillId="12" fontId="5" numFmtId="0" xfId="0" applyAlignment="1" applyBorder="1" applyFill="1" applyFont="1">
      <alignment horizontal="center" shrinkToFit="0" vertical="center" wrapText="1"/>
    </xf>
    <xf borderId="2" fillId="0" fontId="4" numFmtId="0" xfId="0" applyAlignment="1" applyBorder="1" applyFont="1">
      <alignment horizontal="left" readingOrder="0" shrinkToFit="0" vertical="center" wrapText="0"/>
    </xf>
    <xf borderId="1" fillId="12" fontId="5" numFmtId="14" xfId="0" applyAlignment="1" applyBorder="1" applyFill="1" applyFont="1" applyNumberFormat="1">
      <alignment horizontal="center" shrinkToFit="0" vertical="center" wrapText="1"/>
    </xf>
    <xf borderId="1" fillId="13" fontId="8" numFmtId="0" xfId="0" applyAlignment="1" applyBorder="1" applyFill="1" applyFont="1">
      <alignment horizontal="center" readingOrder="0" shrinkToFit="0" vertical="center" wrapText="1"/>
    </xf>
    <xf borderId="1" fillId="7" fontId="2" numFmtId="0" xfId="0" applyAlignment="1" applyBorder="1" applyFill="1" applyFont="1">
      <alignment horizontal="center" shrinkToFit="0" vertical="center" wrapText="1"/>
    </xf>
    <xf borderId="2" fillId="0" fontId="4" numFmtId="0" xfId="0" applyAlignment="1" applyBorder="1" applyFont="1">
      <alignment horizontal="left" readingOrder="0" shrinkToFit="0" vertical="center" wrapText="0"/>
    </xf>
    <xf borderId="3" fillId="2" fontId="9" numFmtId="0" xfId="0" applyAlignment="1" applyBorder="1" applyFill="1" applyFont="1">
      <alignment horizontal="center" shrinkToFit="0" vertical="center" wrapText="1"/>
    </xf>
    <xf borderId="1" fillId="2" fontId="9" numFmtId="0" xfId="0" applyAlignment="1" applyBorder="1" applyFill="1" applyFont="1">
      <alignment horizontal="center" shrinkToFit="0" vertical="center" wrapText="1"/>
    </xf>
    <xf borderId="1" fillId="14" fontId="9" numFmtId="0" xfId="0" applyBorder="1" applyFill="1" applyFont="1"/>
    <xf borderId="2" fillId="0" fontId="4" numFmtId="0" xfId="0" applyAlignment="1" applyBorder="1" applyFont="1">
      <alignment horizontal="center" readingOrder="0" shrinkToFit="0" vertical="center" wrapText="0"/>
    </xf>
    <xf borderId="1" fillId="14" fontId="9" numFmtId="0" xfId="0" applyAlignment="1" applyBorder="1" applyFill="1" applyFont="1">
      <alignment horizontal="right" vertical="bottom"/>
    </xf>
    <xf borderId="1" fillId="0" fontId="9" numFmtId="0" xfId="0" applyAlignment="1" applyBorder="1" applyFont="1">
      <alignment horizontal="right" vertical="bottom"/>
    </xf>
    <xf borderId="2" fillId="0" fontId="4" numFmtId="0" xfId="0" applyAlignment="1" applyBorder="1" applyFont="1">
      <alignment readingOrder="0" shrinkToFit="0" vertical="center" wrapText="0"/>
    </xf>
    <xf borderId="1" fillId="10" fontId="9" numFmtId="0" xfId="0" applyAlignment="1" applyBorder="1" applyFill="1" applyFont="1">
      <alignment vertical="bottom"/>
    </xf>
    <xf borderId="1" fillId="0" fontId="9" numFmtId="0" xfId="0" applyAlignment="1" applyBorder="1" applyFont="1">
      <alignment shrinkToFit="0" vertical="bottom" wrapText="1"/>
    </xf>
    <xf borderId="2" fillId="0" fontId="4" numFmtId="168" xfId="0" applyAlignment="1" applyBorder="1" applyFont="1" applyNumberFormat="1">
      <alignment readingOrder="0" shrinkToFit="0" vertical="center" wrapText="0"/>
    </xf>
    <xf borderId="2" fillId="0" fontId="4" numFmtId="0" xfId="0" applyAlignment="1" applyBorder="1" applyFont="1">
      <alignment horizontal="center" readingOrder="0" shrinkToFit="0" vertical="center" wrapText="0"/>
    </xf>
    <xf borderId="1" fillId="0" fontId="9" numFmtId="164" xfId="0" applyAlignment="1" applyBorder="1" applyFont="1" applyNumberFormat="1">
      <alignment shrinkToFit="0" vertical="bottom" wrapText="1"/>
    </xf>
    <xf borderId="1" fillId="0" fontId="9" numFmtId="14" xfId="0" applyAlignment="1" applyBorder="1" applyFont="1" applyNumberFormat="1">
      <alignment horizontal="right" vertical="bottom"/>
    </xf>
    <xf borderId="1" fillId="14" fontId="9" numFmtId="166" xfId="0" applyAlignment="1" applyBorder="1" applyFill="1" applyFont="1" applyNumberFormat="1">
      <alignment horizontal="right" vertical="bottom"/>
    </xf>
    <xf borderId="1" fillId="0" fontId="9" numFmtId="0" xfId="0" applyAlignment="1" applyBorder="1" applyFont="1">
      <alignment vertical="bottom"/>
    </xf>
    <xf borderId="1" fillId="15" fontId="9" numFmtId="0" xfId="0" applyAlignment="1" applyBorder="1" applyFill="1" applyFont="1">
      <alignment shrinkToFit="0" vertical="bottom" wrapText="1"/>
    </xf>
    <xf borderId="1" fillId="14" fontId="9" numFmtId="0" xfId="0" applyAlignment="1" applyBorder="1" applyFill="1" applyFont="1">
      <alignment horizontal="center" shrinkToFit="0" vertical="bottom" wrapText="1"/>
    </xf>
    <xf borderId="1" fillId="14" fontId="9" numFmtId="0" xfId="0" applyAlignment="1" applyBorder="1" applyFill="1" applyFont="1">
      <alignment horizontal="center" readingOrder="0" shrinkToFit="0" vertical="bottom" wrapText="1"/>
    </xf>
    <xf borderId="1" fillId="14" fontId="9" numFmtId="0" xfId="0" applyAlignment="1" applyBorder="1" applyFill="1" applyFont="1">
      <alignment shrinkToFit="0" vertical="top" wrapText="1"/>
    </xf>
    <xf borderId="1" fillId="0" fontId="9" numFmtId="0" xfId="0" applyAlignment="1" applyBorder="1" applyFont="1">
      <alignment shrinkToFit="0" vertical="top" wrapText="1"/>
    </xf>
    <xf borderId="1" fillId="0" fontId="9" numFmtId="169" xfId="0" applyAlignment="1" applyBorder="1" applyFont="1" applyNumberFormat="1">
      <alignment horizontal="right" vertical="bottom"/>
    </xf>
    <xf borderId="2" fillId="0" fontId="4" numFmtId="14" xfId="0" applyAlignment="1" applyBorder="1" applyFont="1" applyNumberFormat="1">
      <alignment readingOrder="0" shrinkToFit="0" vertical="center" wrapText="0"/>
    </xf>
    <xf borderId="1" fillId="0" fontId="1" numFmtId="14" xfId="0" applyAlignment="1" applyBorder="1" applyFont="1" applyNumberFormat="1">
      <alignment vertical="bottom"/>
    </xf>
    <xf borderId="2" fillId="0" fontId="4" numFmtId="0" xfId="0" applyAlignment="1" applyBorder="1" applyFont="1">
      <alignment horizontal="center" readingOrder="0" shrinkToFit="0" vertical="center" wrapText="0"/>
    </xf>
    <xf borderId="1" fillId="16" fontId="9" numFmtId="169" xfId="0" applyAlignment="1" applyBorder="1" applyFill="1" applyFont="1" applyNumberFormat="1">
      <alignment horizontal="right" vertical="bottom"/>
    </xf>
    <xf borderId="2" fillId="0" fontId="7" numFmtId="0" xfId="0" applyAlignment="1" applyBorder="1" applyFont="1">
      <alignment horizontal="center" readingOrder="0" shrinkToFit="0" vertical="center" wrapText="0"/>
    </xf>
    <xf borderId="1" fillId="0" fontId="9" numFmtId="0" xfId="0" applyAlignment="1" applyBorder="1" applyFont="1">
      <alignment horizontal="left" shrinkToFit="0" wrapText="1"/>
    </xf>
    <xf borderId="1" fillId="14" fontId="9" numFmtId="14" xfId="0" applyBorder="1" applyFill="1" applyFont="1" applyNumberFormat="1"/>
    <xf borderId="2" fillId="0" fontId="4" numFmtId="0" xfId="0" applyAlignment="1" applyBorder="1" applyFont="1">
      <alignment horizontal="center" readingOrder="0" shrinkToFit="0" vertical="center" wrapText="0"/>
    </xf>
    <xf borderId="1" fillId="14" fontId="9" numFmtId="170" xfId="0" applyBorder="1" applyFill="1" applyFont="1" applyNumberFormat="1"/>
    <xf borderId="0" fillId="0" fontId="7" numFmtId="0" xfId="0" applyAlignment="1" applyFont="1">
      <alignment horizontal="center" readingOrder="0"/>
    </xf>
    <xf borderId="1" fillId="0" fontId="9" numFmtId="0" xfId="0" applyAlignment="1" applyBorder="1" applyFont="1">
      <alignment horizontal="right" readingOrder="0" shrinkToFit="0" vertical="bottom" wrapText="1"/>
    </xf>
    <xf borderId="2" fillId="17" fontId="7" numFmtId="0" xfId="0" applyAlignment="1" applyBorder="1" applyFill="1" applyFont="1">
      <alignment horizontal="center" readingOrder="0"/>
    </xf>
    <xf borderId="1" fillId="0" fontId="9" numFmtId="0" xfId="0" applyAlignment="1" applyBorder="1" applyFont="1">
      <alignment readingOrder="0" shrinkToFit="0" vertical="bottom" wrapText="1"/>
    </xf>
    <xf borderId="1" fillId="0" fontId="1" numFmtId="169" xfId="0" applyAlignment="1" applyBorder="1" applyFont="1" applyNumberFormat="1">
      <alignment vertical="bottom"/>
    </xf>
    <xf borderId="1" fillId="14" fontId="9" numFmtId="0" xfId="0" applyAlignment="1" applyBorder="1" applyFill="1" applyFont="1">
      <alignment horizontal="right" shrinkToFit="0" wrapText="1"/>
    </xf>
    <xf borderId="1" fillId="0" fontId="9" numFmtId="171" xfId="0" applyAlignment="1" applyBorder="1" applyFont="1" applyNumberFormat="1">
      <alignment horizontal="right" readingOrder="0" shrinkToFit="0" vertical="center" wrapText="1"/>
    </xf>
    <xf borderId="1" fillId="0" fontId="9" numFmtId="0" xfId="0" applyAlignment="1" applyBorder="1" applyFont="1">
      <alignment horizontal="center" readingOrder="0" shrinkToFit="0" vertical="center" wrapText="1"/>
    </xf>
    <xf borderId="1" fillId="0" fontId="1" numFmtId="0" xfId="0" applyAlignment="1" applyBorder="1" applyFont="1">
      <alignment horizontal="right" vertical="bottom"/>
    </xf>
    <xf borderId="0" fillId="14" fontId="1" numFmtId="0" xfId="0" applyFill="1" applyFont="1"/>
    <xf borderId="1" fillId="0" fontId="1" numFmtId="0" xfId="0" applyAlignment="1" applyBorder="1" applyFont="1">
      <alignment horizontal="right" readingOrder="0" vertical="bottom"/>
    </xf>
    <xf borderId="1" fillId="0" fontId="1" numFmtId="169" xfId="0" applyAlignment="1" applyBorder="1" applyFont="1" applyNumberFormat="1">
      <alignment horizontal="right" readingOrder="0" vertical="bottom"/>
    </xf>
    <xf borderId="1" fillId="0" fontId="1" numFmtId="169" xfId="0" applyAlignment="1" applyBorder="1" applyFont="1" applyNumberFormat="1">
      <alignment horizontal="right" vertical="bottom"/>
    </xf>
    <xf borderId="1" fillId="15" fontId="9" numFmtId="0" xfId="0" applyAlignment="1" applyBorder="1" applyFill="1" applyFont="1">
      <alignment readingOrder="0" shrinkToFit="0" vertical="bottom" wrapText="1"/>
    </xf>
    <xf borderId="1" fillId="0" fontId="9" numFmtId="169" xfId="0" applyAlignment="1" applyBorder="1" applyFont="1" applyNumberFormat="1">
      <alignment horizontal="right" readingOrder="0" vertical="bottom"/>
    </xf>
    <xf borderId="1" fillId="14" fontId="9" numFmtId="0" xfId="0" applyAlignment="1" applyBorder="1" applyFill="1" applyFont="1">
      <alignment horizontal="right" readingOrder="0" shrinkToFit="0" wrapText="1"/>
    </xf>
    <xf borderId="1" fillId="14" fontId="9" numFmtId="172" xfId="0" applyAlignment="1" applyBorder="1" applyFill="1" applyFont="1" applyNumberFormat="1">
      <alignment horizontal="right" readingOrder="0" shrinkToFit="0" wrapText="1"/>
    </xf>
    <xf borderId="1" fillId="14" fontId="9" numFmtId="169" xfId="0" applyAlignment="1" applyBorder="1" applyFill="1" applyFont="1" applyNumberFormat="1">
      <alignment horizontal="right" readingOrder="0" shrinkToFit="0" wrapText="1"/>
    </xf>
    <xf borderId="1" fillId="14" fontId="9" numFmtId="0" xfId="0" applyAlignment="1" applyBorder="1" applyFill="1" applyFont="1">
      <alignment horizontal="left" readingOrder="0" shrinkToFit="0" wrapText="1"/>
    </xf>
    <xf borderId="1" fillId="14" fontId="9" numFmtId="169" xfId="0" applyBorder="1" applyFill="1" applyFont="1" applyNumberFormat="1"/>
    <xf borderId="1" fillId="0" fontId="1" numFmtId="0" xfId="0" applyAlignment="1" applyBorder="1" applyFont="1">
      <alignment vertical="bottom"/>
    </xf>
    <xf borderId="1" fillId="0" fontId="1" numFmtId="0" xfId="0" applyAlignment="1" applyBorder="1" applyFont="1">
      <alignment readingOrder="0" vertical="bottom"/>
    </xf>
    <xf borderId="2" fillId="0" fontId="4" numFmtId="0" xfId="0" applyAlignment="1" applyBorder="1" applyFont="1">
      <alignment horizontal="center" readingOrder="0" shrinkToFit="0" vertical="center" wrapText="0"/>
    </xf>
    <xf borderId="1" fillId="14" fontId="9" numFmtId="0" xfId="0" applyAlignment="1" applyBorder="1" applyFill="1" applyFont="1">
      <alignment horizontal="left" shrinkToFit="0" wrapText="1"/>
    </xf>
    <xf borderId="2" fillId="0" fontId="4" numFmtId="0" xfId="0" applyAlignment="1" applyBorder="1" applyFont="1">
      <alignment readingOrder="0"/>
    </xf>
    <xf borderId="2" fillId="0" fontId="4" numFmtId="0" xfId="0" applyAlignment="1" applyBorder="1" applyFont="1">
      <alignment horizontal="center" readingOrder="0"/>
    </xf>
    <xf borderId="1" fillId="14" fontId="9" numFmtId="164" xfId="0" applyAlignment="1" applyBorder="1" applyFill="1" applyFont="1" applyNumberFormat="1">
      <alignment horizontal="left" shrinkToFit="0" wrapText="1"/>
    </xf>
    <xf borderId="1" fillId="14" fontId="9" numFmtId="165" xfId="0" applyBorder="1" applyFill="1" applyFont="1" applyNumberFormat="1"/>
    <xf borderId="1" fillId="14" fontId="9" numFmtId="166" xfId="0" applyBorder="1" applyFill="1" applyFont="1" applyNumberFormat="1"/>
    <xf borderId="1" fillId="14" fontId="9" numFmtId="0" xfId="0" applyAlignment="1" applyBorder="1" applyFill="1" applyFont="1">
      <alignment shrinkToFit="0" wrapText="1"/>
    </xf>
    <xf borderId="1" fillId="18" fontId="9" numFmtId="0" xfId="0" applyAlignment="1" applyBorder="1" applyFill="1" applyFont="1">
      <alignment readingOrder="0" shrinkToFit="0" wrapText="1"/>
    </xf>
    <xf borderId="1" fillId="14" fontId="9" numFmtId="168" xfId="0" applyAlignment="1" applyBorder="1" applyFill="1" applyFont="1" applyNumberFormat="1">
      <alignment horizontal="center" readingOrder="0" shrinkToFit="0" vertical="bottom" wrapText="1"/>
    </xf>
    <xf borderId="1" fillId="16" fontId="9" numFmtId="165" xfId="0" applyBorder="1" applyFill="1" applyFont="1" applyNumberFormat="1"/>
    <xf borderId="1" fillId="14" fontId="9" numFmtId="172" xfId="0" applyAlignment="1" applyBorder="1" applyFill="1" applyFont="1" applyNumberFormat="1">
      <alignment horizontal="right" shrinkToFit="0" wrapText="1"/>
    </xf>
    <xf borderId="1" fillId="14" fontId="9" numFmtId="172" xfId="0" applyBorder="1" applyFill="1" applyFont="1" applyNumberFormat="1"/>
    <xf borderId="1" fillId="0" fontId="9" numFmtId="168" xfId="0" applyAlignment="1" applyBorder="1" applyFont="1" applyNumberFormat="1">
      <alignment horizontal="right" readingOrder="0" shrinkToFit="0" vertical="center" wrapText="1"/>
    </xf>
    <xf borderId="1" fillId="0" fontId="9" numFmtId="0" xfId="0" applyAlignment="1" applyBorder="1" applyFont="1">
      <alignment horizontal="center" shrinkToFit="0" vertical="center" wrapText="1"/>
    </xf>
    <xf borderId="4" fillId="14" fontId="1" numFmtId="0" xfId="0" applyBorder="1" applyFill="1" applyFont="1"/>
    <xf borderId="5" fillId="14" fontId="1" numFmtId="0" xfId="0" applyBorder="1" applyFill="1" applyFont="1"/>
    <xf borderId="1" fillId="14" fontId="9" numFmtId="0" xfId="0" applyAlignment="1" applyBorder="1" applyFill="1" applyFont="1">
      <alignment readingOrder="0" shrinkToFit="0" wrapText="1"/>
    </xf>
    <xf borderId="1" fillId="14" fontId="9" numFmtId="14" xfId="0" applyAlignment="1" applyBorder="1" applyFill="1" applyFont="1" applyNumberFormat="1">
      <alignment horizontal="right" shrinkToFit="0" wrapText="1"/>
    </xf>
    <xf borderId="1" fillId="0" fontId="9" numFmtId="0" xfId="0" applyBorder="1" applyFont="1"/>
    <xf borderId="1" fillId="0" fontId="9" numFmtId="164" xfId="0" applyAlignment="1" applyBorder="1" applyFont="1" applyNumberFormat="1">
      <alignment horizontal="left" shrinkToFit="0" wrapText="1"/>
    </xf>
    <xf borderId="1" fillId="0" fontId="9" numFmtId="165" xfId="0" applyBorder="1" applyFont="1" applyNumberFormat="1"/>
    <xf borderId="1" fillId="0" fontId="9" numFmtId="166" xfId="0" applyBorder="1" applyFont="1" applyNumberFormat="1"/>
    <xf borderId="1" fillId="0" fontId="9" numFmtId="0" xfId="0" applyAlignment="1" applyBorder="1" applyFont="1">
      <alignment shrinkToFit="0" wrapText="1"/>
    </xf>
    <xf borderId="1" fillId="0" fontId="9" numFmtId="168" xfId="0" applyAlignment="1" applyBorder="1" applyFont="1" applyNumberFormat="1">
      <alignment horizontal="center" readingOrder="0" shrinkToFit="0" vertical="bottom" wrapText="1"/>
    </xf>
    <xf borderId="1" fillId="0" fontId="9" numFmtId="0" xfId="0" applyAlignment="1" applyBorder="1" applyFont="1">
      <alignment horizontal="center" readingOrder="0" shrinkToFit="0" vertical="bottom" wrapText="1"/>
    </xf>
    <xf borderId="1" fillId="8" fontId="9" numFmtId="170" xfId="0" applyBorder="1" applyFill="1" applyFont="1" applyNumberFormat="1"/>
    <xf borderId="1" fillId="0" fontId="9" numFmtId="0" xfId="0" applyAlignment="1" applyBorder="1" applyFont="1">
      <alignment horizontal="right" shrinkToFit="0" wrapText="1"/>
    </xf>
    <xf borderId="1" fillId="8" fontId="9" numFmtId="0" xfId="0" applyAlignment="1" applyBorder="1" applyFill="1" applyFont="1">
      <alignment horizontal="left" shrinkToFit="0" wrapText="1"/>
    </xf>
    <xf borderId="1" fillId="0" fontId="9" numFmtId="172" xfId="0" applyBorder="1" applyFont="1" applyNumberFormat="1"/>
    <xf borderId="1" fillId="0" fontId="9" numFmtId="14" xfId="0" applyBorder="1" applyFont="1" applyNumberFormat="1"/>
    <xf borderId="1" fillId="14" fontId="9" numFmtId="0" xfId="0" applyAlignment="1" applyBorder="1" applyFill="1" applyFont="1">
      <alignment readingOrder="0"/>
    </xf>
    <xf borderId="1" fillId="19" fontId="9" numFmtId="0" xfId="0" applyBorder="1" applyFill="1" applyFont="1"/>
    <xf borderId="1" fillId="14" fontId="9" numFmtId="166" xfId="0" applyAlignment="1" applyBorder="1" applyFill="1" applyFont="1" applyNumberFormat="1">
      <alignment readingOrder="0"/>
    </xf>
    <xf borderId="1" fillId="14" fontId="9" numFmtId="0" xfId="0" applyAlignment="1" applyBorder="1" applyFill="1" applyFont="1">
      <alignment readingOrder="0" shrinkToFit="0" vertical="bottom" wrapText="1"/>
    </xf>
    <xf borderId="1" fillId="0" fontId="9" numFmtId="0" xfId="0" applyAlignment="1" applyBorder="1" applyFont="1">
      <alignment horizontal="right" readingOrder="0" shrinkToFit="0" wrapText="1"/>
    </xf>
    <xf borderId="1" fillId="0" fontId="9" numFmtId="0" xfId="0" applyAlignment="1" applyBorder="1" applyFont="1">
      <alignment horizontal="left" readingOrder="0" shrinkToFit="0" wrapText="1"/>
    </xf>
    <xf borderId="1" fillId="8" fontId="9" numFmtId="0" xfId="0" applyBorder="1" applyFill="1" applyFont="1"/>
    <xf borderId="1" fillId="8" fontId="9" numFmtId="164" xfId="0" applyAlignment="1" applyBorder="1" applyFill="1" applyFont="1" applyNumberFormat="1">
      <alignment horizontal="left" shrinkToFit="0" wrapText="1"/>
    </xf>
    <xf borderId="1" fillId="8" fontId="9" numFmtId="165" xfId="0" applyBorder="1" applyFill="1" applyFont="1" applyNumberFormat="1"/>
    <xf borderId="1" fillId="8" fontId="9" numFmtId="166" xfId="0" applyBorder="1" applyFill="1" applyFont="1" applyNumberFormat="1"/>
    <xf borderId="1" fillId="8" fontId="9" numFmtId="166" xfId="0" applyAlignment="1" applyBorder="1" applyFill="1" applyFont="1" applyNumberFormat="1">
      <alignment readingOrder="0"/>
    </xf>
    <xf borderId="1" fillId="8" fontId="9" numFmtId="0" xfId="0" applyAlignment="1" applyBorder="1" applyFill="1" applyFont="1">
      <alignment shrinkToFit="0" wrapText="1"/>
    </xf>
    <xf borderId="1" fillId="8" fontId="9" numFmtId="168" xfId="0" applyAlignment="1" applyBorder="1" applyFill="1" applyFont="1" applyNumberFormat="1">
      <alignment horizontal="center" readingOrder="0" shrinkToFit="0" vertical="bottom" wrapText="1"/>
    </xf>
    <xf borderId="1" fillId="8" fontId="9" numFmtId="0" xfId="0" applyAlignment="1" applyBorder="1" applyFill="1" applyFont="1">
      <alignment shrinkToFit="0" vertical="top" wrapText="1"/>
    </xf>
    <xf borderId="1" fillId="7" fontId="9" numFmtId="165" xfId="0" applyBorder="1" applyFill="1" applyFont="1" applyNumberFormat="1"/>
    <xf borderId="1" fillId="8" fontId="9" numFmtId="14" xfId="0" applyBorder="1" applyFill="1" applyFont="1" applyNumberFormat="1"/>
    <xf borderId="1" fillId="8" fontId="9" numFmtId="0" xfId="0" applyAlignment="1" applyBorder="1" applyFill="1" applyFont="1">
      <alignment horizontal="right" readingOrder="0" shrinkToFit="0" wrapText="1"/>
    </xf>
    <xf borderId="1" fillId="8" fontId="9" numFmtId="0" xfId="0" applyAlignment="1" applyBorder="1" applyFill="1" applyFont="1">
      <alignment horizontal="left" readingOrder="0" shrinkToFit="0" wrapText="1"/>
    </xf>
    <xf borderId="1" fillId="8" fontId="9" numFmtId="172" xfId="0" applyBorder="1" applyFill="1" applyFont="1" applyNumberFormat="1"/>
    <xf borderId="1" fillId="8" fontId="9" numFmtId="0" xfId="0" applyAlignment="1" applyBorder="1" applyFill="1" applyFont="1">
      <alignment horizontal="right" shrinkToFit="0" wrapText="1"/>
    </xf>
    <xf borderId="4" fillId="8" fontId="1" numFmtId="0" xfId="0" applyBorder="1" applyFill="1" applyFont="1"/>
    <xf borderId="5" fillId="8" fontId="1" numFmtId="0" xfId="0" applyBorder="1" applyFill="1" applyFont="1"/>
    <xf borderId="1" fillId="0" fontId="9" numFmtId="166" xfId="0" applyAlignment="1" applyBorder="1" applyFont="1" applyNumberFormat="1">
      <alignment readingOrder="0"/>
    </xf>
    <xf borderId="1" fillId="20" fontId="9" numFmtId="14" xfId="0" applyBorder="1" applyFill="1" applyFont="1" applyNumberFormat="1"/>
    <xf borderId="1" fillId="20" fontId="9" numFmtId="0" xfId="0" applyBorder="1" applyFill="1" applyFont="1"/>
    <xf borderId="1" fillId="20" fontId="9" numFmtId="170" xfId="0" applyBorder="1" applyFill="1" applyFont="1" applyNumberFormat="1"/>
    <xf borderId="1" fillId="0" fontId="9" numFmtId="14" xfId="0" applyAlignment="1" applyBorder="1" applyFont="1" applyNumberFormat="1">
      <alignment horizontal="right" shrinkToFit="0" wrapText="1"/>
    </xf>
    <xf borderId="1" fillId="0" fontId="9" numFmtId="0" xfId="0" applyAlignment="1" applyBorder="1" applyFont="1">
      <alignment readingOrder="0" shrinkToFit="0" wrapText="1"/>
    </xf>
    <xf borderId="1" fillId="0" fontId="9" numFmtId="0" xfId="0" applyAlignment="1" applyBorder="1" applyFont="1">
      <alignment readingOrder="0"/>
    </xf>
    <xf borderId="1" fillId="0" fontId="9" numFmtId="165" xfId="0" applyAlignment="1" applyBorder="1" applyFont="1" applyNumberFormat="1">
      <alignment readingOrder="0"/>
    </xf>
    <xf borderId="1" fillId="8" fontId="9" numFmtId="170" xfId="0" applyAlignment="1" applyBorder="1" applyFill="1" applyFont="1" applyNumberFormat="1">
      <alignment shrinkToFit="0" wrapText="1"/>
    </xf>
    <xf borderId="1" fillId="0" fontId="9" numFmtId="165" xfId="0" applyAlignment="1" applyBorder="1" applyFont="1" applyNumberFormat="1">
      <alignment horizontal="right" shrinkToFit="0" wrapText="1"/>
    </xf>
    <xf borderId="1" fillId="0" fontId="9" numFmtId="0" xfId="0" applyAlignment="1" applyBorder="1" applyFont="1">
      <alignment readingOrder="0" shrinkToFit="0" vertical="top" wrapText="1"/>
    </xf>
    <xf borderId="1" fillId="0" fontId="9" numFmtId="173" xfId="0" applyAlignment="1" applyBorder="1" applyFont="1" applyNumberFormat="1">
      <alignment horizontal="center" readingOrder="0" shrinkToFit="0" vertical="bottom" wrapText="1"/>
    </xf>
    <xf borderId="1" fillId="0" fontId="9" numFmtId="0" xfId="0" applyAlignment="1" applyBorder="1" applyFont="1">
      <alignment horizontal="center" shrinkToFit="0" vertical="bottom" wrapText="1"/>
    </xf>
    <xf borderId="1" fillId="0" fontId="9" numFmtId="172" xfId="0" applyAlignment="1" applyBorder="1" applyFont="1" applyNumberFormat="1">
      <alignment horizontal="right" shrinkToFit="0" wrapText="1"/>
    </xf>
    <xf borderId="1" fillId="0" fontId="9" numFmtId="0" xfId="0" applyAlignment="1" applyBorder="1" applyFont="1">
      <alignment horizontal="right" shrinkToFit="0" vertical="center" wrapText="1"/>
    </xf>
    <xf borderId="1" fillId="0" fontId="9" numFmtId="166" xfId="0" applyAlignment="1" applyBorder="1" applyFont="1" applyNumberFormat="1">
      <alignment horizontal="left" shrinkToFit="0" wrapText="1"/>
    </xf>
    <xf borderId="1" fillId="0" fontId="9" numFmtId="0" xfId="0" applyAlignment="1" applyBorder="1" applyFont="1">
      <alignment horizontal="left" readingOrder="0" shrinkToFit="0" vertical="top" wrapText="1"/>
    </xf>
    <xf borderId="1" fillId="0" fontId="9" numFmtId="174" xfId="0" applyAlignment="1" applyBorder="1" applyFont="1" applyNumberFormat="1">
      <alignment horizontal="center" readingOrder="0" shrinkToFit="0" vertical="bottom" wrapText="1"/>
    </xf>
    <xf borderId="1" fillId="0" fontId="9" numFmtId="164" xfId="0" applyAlignment="1" applyBorder="1" applyFont="1" applyNumberFormat="1">
      <alignment horizontal="center" shrinkToFit="0" vertical="bottom" wrapText="1"/>
    </xf>
    <xf borderId="1" fillId="0" fontId="9" numFmtId="164" xfId="0" applyAlignment="1" applyBorder="1" applyFont="1" applyNumberFormat="1">
      <alignment horizontal="left" shrinkToFit="0" vertical="top" wrapText="1"/>
    </xf>
    <xf borderId="1" fillId="0" fontId="9" numFmtId="167" xfId="0" applyAlignment="1" applyBorder="1" applyFont="1" applyNumberFormat="1">
      <alignment horizontal="left" shrinkToFit="0" wrapText="1"/>
    </xf>
    <xf borderId="1" fillId="0" fontId="9" numFmtId="165" xfId="0" applyAlignment="1" applyBorder="1" applyFont="1" applyNumberFormat="1">
      <alignment horizontal="left" shrinkToFit="0" wrapText="1"/>
    </xf>
    <xf borderId="1" fillId="20" fontId="9" numFmtId="14" xfId="0" applyAlignment="1" applyBorder="1" applyFill="1" applyFont="1" applyNumberFormat="1">
      <alignment horizontal="left" shrinkToFit="0" wrapText="1"/>
    </xf>
    <xf borderId="1" fillId="20" fontId="10" numFmtId="14" xfId="0" applyAlignment="1" applyBorder="1" applyFill="1" applyFont="1" applyNumberFormat="1">
      <alignment horizontal="left" shrinkToFit="0" wrapText="1"/>
    </xf>
    <xf borderId="1" fillId="20" fontId="10" numFmtId="170" xfId="0" applyAlignment="1" applyBorder="1" applyFill="1" applyFont="1" applyNumberFormat="1">
      <alignment horizontal="left" shrinkToFit="0" wrapText="1"/>
    </xf>
    <xf borderId="1" fillId="0" fontId="9" numFmtId="172" xfId="0" applyAlignment="1" applyBorder="1" applyFont="1" applyNumberFormat="1">
      <alignment horizontal="left" shrinkToFit="0" wrapText="1"/>
    </xf>
    <xf borderId="1" fillId="0" fontId="9" numFmtId="172" xfId="0" applyAlignment="1" applyBorder="1" applyFont="1" applyNumberFormat="1">
      <alignment horizontal="right" readingOrder="0" shrinkToFit="0" wrapText="1"/>
    </xf>
    <xf borderId="2" fillId="21" fontId="11" numFmtId="0" xfId="0" applyAlignment="1" applyBorder="1" applyFill="1" applyFont="1">
      <alignment horizontal="center" readingOrder="0" shrinkToFit="0" vertical="center" wrapText="0"/>
    </xf>
    <xf borderId="2" fillId="18" fontId="11" numFmtId="0" xfId="0" applyAlignment="1" applyBorder="1" applyFill="1" applyFont="1">
      <alignment shrinkToFit="0" vertical="center" wrapText="0"/>
    </xf>
    <xf borderId="2" fillId="21" fontId="11" numFmtId="0" xfId="0" applyAlignment="1" applyBorder="1" applyFill="1" applyFont="1">
      <alignment horizontal="right" readingOrder="0" shrinkToFit="0" vertical="center" wrapText="0"/>
    </xf>
    <xf borderId="2" fillId="21" fontId="11" numFmtId="0" xfId="0" applyAlignment="1" applyBorder="1" applyFill="1" applyFont="1">
      <alignment readingOrder="0" shrinkToFit="0" vertical="center" wrapText="0"/>
    </xf>
    <xf borderId="2" fillId="21" fontId="11" numFmtId="0" xfId="0" applyAlignment="1" applyBorder="1" applyFill="1" applyFont="1">
      <alignment horizontal="center" shrinkToFit="0" vertical="center" wrapText="0"/>
    </xf>
    <xf borderId="2" fillId="21" fontId="11" numFmtId="14" xfId="0" applyAlignment="1" applyBorder="1" applyFill="1" applyFont="1" applyNumberFormat="1">
      <alignment horizontal="right" shrinkToFit="0" vertical="center" wrapText="0"/>
    </xf>
    <xf borderId="2" fillId="18" fontId="11" numFmtId="0" xfId="0" applyAlignment="1" applyBorder="1" applyFill="1" applyFont="1">
      <alignment horizontal="center" shrinkToFit="0" vertical="center" wrapText="0"/>
    </xf>
    <xf borderId="2" fillId="21" fontId="12" numFmtId="0" xfId="0" applyAlignment="1" applyBorder="1" applyFill="1" applyFont="1">
      <alignment horizontal="center" shrinkToFit="0" vertical="center" wrapText="0"/>
    </xf>
    <xf borderId="1" fillId="8" fontId="9" numFmtId="0" xfId="0" applyAlignment="1" applyBorder="1" applyFill="1" applyFont="1">
      <alignment readingOrder="0" shrinkToFit="0" vertical="top" wrapText="1"/>
    </xf>
    <xf borderId="1" fillId="8" fontId="9" numFmtId="0" xfId="0" applyAlignment="1" applyBorder="1" applyFill="1" applyFont="1">
      <alignment horizontal="center" shrinkToFit="0" vertical="bottom" wrapText="1"/>
    </xf>
    <xf borderId="1" fillId="8" fontId="9" numFmtId="164" xfId="0" applyAlignment="1" applyBorder="1" applyFill="1" applyFont="1" applyNumberFormat="1">
      <alignment horizontal="left" shrinkToFit="0" vertical="top" wrapText="1"/>
    </xf>
    <xf borderId="1" fillId="8" fontId="9" numFmtId="172" xfId="0" applyAlignment="1" applyBorder="1" applyFill="1" applyFont="1" applyNumberFormat="1">
      <alignment horizontal="right" shrinkToFit="0" wrapText="1"/>
    </xf>
    <xf borderId="2" fillId="21" fontId="11" numFmtId="168" xfId="0" applyAlignment="1" applyBorder="1" applyFill="1" applyFont="1" applyNumberFormat="1">
      <alignment horizontal="right" readingOrder="0" shrinkToFit="0" vertical="center" wrapText="0"/>
    </xf>
    <xf borderId="1" fillId="8" fontId="9" numFmtId="14" xfId="0" applyAlignment="1" applyBorder="1" applyFill="1" applyFont="1" applyNumberFormat="1">
      <alignment horizontal="right" shrinkToFit="0" wrapText="1"/>
    </xf>
    <xf borderId="1" fillId="8" fontId="9" numFmtId="174" xfId="0" applyAlignment="1" applyBorder="1" applyFill="1" applyFont="1" applyNumberFormat="1">
      <alignment horizontal="center" readingOrder="0" shrinkToFit="0" vertical="bottom" wrapText="1"/>
    </xf>
    <xf borderId="1" fillId="8" fontId="9" numFmtId="0" xfId="0" applyAlignment="1" applyBorder="1" applyFill="1" applyFont="1">
      <alignment readingOrder="0" shrinkToFit="0" wrapText="1"/>
    </xf>
    <xf borderId="2" fillId="18" fontId="11" numFmtId="0" xfId="0" applyAlignment="1" applyBorder="1" applyFill="1" applyFont="1">
      <alignment readingOrder="0" shrinkToFit="0" vertical="center" wrapText="0"/>
    </xf>
    <xf borderId="1" fillId="8" fontId="9" numFmtId="0" xfId="0" applyAlignment="1" applyBorder="1" applyFill="1" applyFont="1">
      <alignment readingOrder="0"/>
    </xf>
    <xf borderId="1" fillId="8" fontId="9" numFmtId="172" xfId="0" applyAlignment="1" applyBorder="1" applyFill="1" applyFont="1" applyNumberFormat="1">
      <alignment readingOrder="0"/>
    </xf>
    <xf borderId="1" fillId="8" fontId="9" numFmtId="168" xfId="0" applyAlignment="1" applyBorder="1" applyFill="1" applyFont="1" applyNumberFormat="1">
      <alignment readingOrder="0"/>
    </xf>
    <xf borderId="1" fillId="0" fontId="9" numFmtId="0" xfId="0" applyAlignment="1" applyBorder="1" applyFont="1">
      <alignment horizontal="right"/>
    </xf>
    <xf borderId="1" fillId="0" fontId="9" numFmtId="172" xfId="0" applyAlignment="1" applyBorder="1" applyFont="1" applyNumberFormat="1">
      <alignment readingOrder="0"/>
    </xf>
    <xf borderId="6" fillId="21" fontId="12" numFmtId="0" xfId="0" applyAlignment="1" applyBorder="1" applyFill="1" applyFont="1">
      <alignment horizontal="center" shrinkToFit="0" vertical="center" wrapText="0"/>
    </xf>
    <xf borderId="6" fillId="0" fontId="4" numFmtId="0" xfId="0" applyAlignment="1" applyBorder="1" applyFont="1">
      <alignment horizontal="center" readingOrder="0" shrinkToFit="0" vertical="center" wrapText="0"/>
    </xf>
    <xf borderId="1" fillId="0" fontId="9" numFmtId="169" xfId="0" applyBorder="1" applyFont="1" applyNumberFormat="1"/>
    <xf borderId="0" fillId="0" fontId="4" numFmtId="0" xfId="0" applyAlignment="1" applyFont="1">
      <alignment horizontal="center"/>
    </xf>
    <xf borderId="1" fillId="0" fontId="9" numFmtId="172" xfId="0" applyAlignment="1" applyBorder="1" applyFont="1" applyNumberFormat="1">
      <alignment shrinkToFit="0" wrapText="1"/>
    </xf>
    <xf borderId="2" fillId="18" fontId="11" numFmtId="0" xfId="0" applyAlignment="1" applyBorder="1" applyFill="1" applyFont="1">
      <alignment horizontal="center" shrinkToFit="0" wrapText="0"/>
    </xf>
    <xf borderId="0" fillId="0" fontId="4" numFmtId="0" xfId="0" applyAlignment="1" applyFont="1">
      <alignment horizontal="center" readingOrder="0"/>
    </xf>
    <xf borderId="1" fillId="0" fontId="9" numFmtId="0" xfId="0" applyAlignment="1" applyBorder="1" applyFont="1">
      <alignment horizontal="right" readingOrder="0"/>
    </xf>
    <xf borderId="0" fillId="0" fontId="7" numFmtId="0" xfId="0" applyAlignment="1" applyFont="1">
      <alignment horizontal="center"/>
    </xf>
    <xf borderId="2" fillId="18" fontId="11" numFmtId="0" xfId="0" applyAlignment="1" applyBorder="1" applyFill="1" applyFont="1">
      <alignment readingOrder="0" shrinkToFit="0" wrapText="0"/>
    </xf>
    <xf borderId="7" fillId="0" fontId="7" numFmtId="0" xfId="0" applyAlignment="1" applyBorder="1" applyFont="1">
      <alignment horizontal="center"/>
    </xf>
    <xf borderId="1" fillId="0" fontId="9" numFmtId="0" xfId="0" applyAlignment="1" applyBorder="1" applyFont="1">
      <alignment horizontal="right" vertical="center"/>
    </xf>
    <xf borderId="8" fillId="0" fontId="9" numFmtId="166" xfId="0" applyAlignment="1" applyBorder="1" applyFont="1" applyNumberFormat="1">
      <alignment readingOrder="0"/>
    </xf>
    <xf borderId="8" fillId="0" fontId="9" numFmtId="166" xfId="0" applyBorder="1" applyFont="1" applyNumberFormat="1"/>
    <xf borderId="8" fillId="0" fontId="9" numFmtId="0" xfId="0" applyAlignment="1" applyBorder="1" applyFont="1">
      <alignment horizontal="center" shrinkToFit="0" vertical="bottom" wrapText="1"/>
    </xf>
    <xf borderId="8" fillId="0" fontId="9" numFmtId="165" xfId="0" applyBorder="1" applyFont="1" applyNumberFormat="1"/>
    <xf borderId="8" fillId="0" fontId="9" numFmtId="0" xfId="0" applyBorder="1" applyFont="1"/>
    <xf borderId="8" fillId="0" fontId="9" numFmtId="14" xfId="0" applyBorder="1" applyFont="1" applyNumberFormat="1"/>
    <xf borderId="8" fillId="0" fontId="9" numFmtId="0" xfId="0" applyAlignment="1" applyBorder="1" applyFont="1">
      <alignment horizontal="right" vertical="center"/>
    </xf>
    <xf borderId="8" fillId="0" fontId="9" numFmtId="0" xfId="0" applyAlignment="1" applyBorder="1" applyFont="1">
      <alignment shrinkToFit="0" vertical="top" wrapText="1"/>
    </xf>
    <xf borderId="8" fillId="0" fontId="9" numFmtId="0" xfId="0" applyAlignment="1" applyBorder="1" applyFont="1">
      <alignment horizontal="center" vertical="center"/>
    </xf>
    <xf borderId="0" fillId="0" fontId="1" numFmtId="165" xfId="0" applyFont="1" applyNumberFormat="1"/>
    <xf borderId="2" fillId="0" fontId="3" numFmtId="166" xfId="0" applyAlignment="1" applyBorder="1" applyFont="1" applyNumberFormat="1">
      <alignment horizontal="right"/>
    </xf>
    <xf borderId="2" fillId="0" fontId="4" numFmtId="0" xfId="0" applyAlignment="1" applyBorder="1" applyFont="1">
      <alignment horizontal="center"/>
    </xf>
    <xf borderId="0" fillId="0" fontId="4" numFmtId="0" xfId="0" applyAlignment="1" applyFont="1">
      <alignment horizontal="center" vertical="bottom"/>
    </xf>
    <xf borderId="0" fillId="0" fontId="1" numFmtId="0" xfId="0" applyAlignment="1" applyFont="1">
      <alignment shrinkToFit="0" wrapText="1"/>
    </xf>
    <xf borderId="9" fillId="8" fontId="1" numFmtId="170" xfId="0" applyBorder="1" applyFill="1" applyFont="1" applyNumberFormat="1"/>
    <xf borderId="10" fillId="0" fontId="1" numFmtId="0" xfId="0" applyAlignment="1" applyBorder="1" applyFont="1">
      <alignment readingOrder="0"/>
    </xf>
    <xf borderId="11" fillId="0" fontId="13" numFmtId="0" xfId="0" applyBorder="1" applyFont="1"/>
    <xf borderId="12" fillId="0" fontId="13" numFmtId="0" xfId="0" applyBorder="1" applyFont="1"/>
    <xf borderId="2" fillId="0" fontId="4" numFmtId="0" xfId="0" applyBorder="1" applyFont="1"/>
    <xf borderId="5" fillId="8" fontId="1" numFmtId="170" xfId="0" applyBorder="1" applyFill="1" applyFont="1" applyNumberFormat="1"/>
    <xf borderId="0" fillId="0" fontId="1" numFmtId="0" xfId="0" applyAlignment="1" applyFont="1">
      <alignment horizontal="center" vertical="center"/>
    </xf>
    <xf borderId="0" fillId="0" fontId="4" numFmtId="0" xfId="0" applyAlignment="1" applyFont="1">
      <alignment horizontal="center" vertical="center"/>
    </xf>
  </cellXfs>
  <cellStyles count="1">
    <cellStyle xfId="0" name="Normal" builtinId="0"/>
  </cellStyles>
  <dxfs count="11">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
      <font/>
      <fill>
        <patternFill patternType="solid">
          <fgColor rgb="FFD9EAD3"/>
          <bgColor rgb="FFD9EAD3"/>
        </patternFill>
      </fill>
      <border/>
    </dxf>
    <dxf>
      <font/>
      <fill>
        <patternFill patternType="solid">
          <fgColor rgb="FF9FC5E8"/>
          <bgColor rgb="FF9FC5E8"/>
        </patternFill>
      </fill>
      <border/>
    </dxf>
    <dxf>
      <font/>
      <fill>
        <patternFill patternType="solid">
          <fgColor rgb="FFDD7E6B"/>
          <bgColor rgb="FFDD7E6B"/>
        </patternFill>
      </fill>
      <border/>
    </dxf>
    <dxf>
      <font/>
      <fill>
        <patternFill patternType="solid">
          <fgColor rgb="FFB7E1CD"/>
          <bgColor rgb="FFB7E1CD"/>
        </patternFill>
      </fill>
      <border/>
    </dxf>
    <dxf>
      <font/>
      <fill>
        <patternFill patternType="solid">
          <fgColor rgb="FFD9D9D9"/>
          <bgColor rgb="FFD9D9D9"/>
        </patternFill>
      </fill>
      <border/>
    </dxf>
    <dxf>
      <font>
        <color rgb="FFFF0000"/>
      </font>
      <fill>
        <patternFill patternType="solid">
          <fgColor rgb="FFFFF2CC"/>
          <bgColor rgb="FFFFF2CC"/>
        </patternFill>
      </fill>
      <border/>
    </dxf>
  </dxfs>
  <tableStyles count="1">
    <tableStyle count="4" pivot="0" name="Ingres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M26" displayName="Ingresos" name="Ingresos" id="1">
  <tableColumns count="12">
    <tableColumn name="N°" id="1"/>
    <tableColumn name="Estado" id="2"/>
    <tableColumn name="BIP" id="3"/>
    <tableColumn name="Proyecto" id="4"/>
    <tableColumn name="Comuna" id="5"/>
    <tableColumn name="Oficio" id="6"/>
    <tableColumn name="Recepción of. partes" id="7"/>
    <tableColumn name="ARI" id="8"/>
    <tableColumn name="Plazo Máx" id="9"/>
    <tableColumn name="Estado plazo" id="10"/>
    <tableColumn name="Estado Revisión" id="11"/>
    <tableColumn name="Resultado" id="12"/>
  </tableColumns>
  <tableStyleInfo name="Ingres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10.29"/>
    <col customWidth="1" min="3" max="3" width="6.71"/>
    <col customWidth="1" min="4" max="4" width="62.43"/>
    <col customWidth="1" min="5" max="5" width="13.29"/>
    <col customWidth="1" min="6" max="6" width="10.71"/>
    <col customWidth="1" min="7" max="8" width="12.57"/>
    <col customWidth="1" min="9" max="9" width="14.14"/>
    <col customWidth="1" min="10" max="10" width="8.71"/>
    <col customWidth="1" min="11" max="11" width="7.0"/>
    <col customWidth="1" min="12" max="12" width="12.29"/>
    <col customWidth="1" min="13" max="13" width="30.71"/>
    <col customWidth="1" min="14" max="14" width="10.14"/>
    <col customWidth="1" min="15" max="15" width="10.43"/>
    <col customWidth="1" min="16" max="16" width="10.14"/>
    <col customWidth="1" min="17" max="18" width="30.71"/>
    <col customWidth="1" min="19" max="19" width="5.43"/>
    <col customWidth="1" min="20" max="20" width="5.86"/>
    <col customWidth="1" min="21" max="21" width="7.14"/>
    <col customWidth="1" min="22" max="22" width="13.0"/>
    <col customWidth="1" min="23" max="23" width="12.43"/>
    <col customWidth="1" min="24" max="24" width="10.86"/>
    <col customWidth="1" min="25" max="25" width="10.29"/>
    <col customWidth="1" hidden="1" min="26" max="26" width="11.29"/>
    <col customWidth="1" min="27" max="27" width="10.29"/>
    <col customWidth="1" min="28" max="28" width="11.43"/>
    <col customWidth="1" min="29" max="29" width="10.29"/>
    <col customWidth="1" min="30" max="30" width="9.86"/>
    <col customWidth="1" min="31" max="31" width="11.43"/>
    <col customWidth="1" hidden="1" min="32" max="33" width="9.14"/>
    <col customWidth="1" hidden="1" min="34" max="34" width="11.14"/>
    <col customWidth="1" hidden="1" min="35" max="35" width="9.14"/>
    <col customWidth="1" min="36" max="36" width="11.57"/>
    <col customWidth="1" min="37" max="38" width="10.29"/>
    <col customWidth="1" min="39" max="39" width="10.43"/>
    <col customWidth="1" min="40" max="40" width="7.86"/>
    <col customWidth="1" min="41" max="41" width="10.29"/>
    <col customWidth="1" hidden="1" min="42" max="42" width="10.43"/>
    <col customWidth="1" min="43" max="43" width="13.0"/>
    <col customWidth="1" hidden="1" min="44" max="44" width="11.71"/>
    <col customWidth="1" hidden="1" min="45" max="47" width="10.29"/>
    <col customWidth="1" min="48" max="48" width="15.29"/>
    <col customWidth="1" min="49" max="49" width="18.43"/>
    <col customWidth="1" min="50" max="50" width="7.57"/>
    <col customWidth="1" min="51" max="51" width="8.71"/>
  </cols>
  <sheetData>
    <row r="1">
      <c r="A1" s="2" t="s">
        <v>1</v>
      </c>
      <c r="B1" s="4" t="s">
        <v>3</v>
      </c>
      <c r="C1" s="4" t="s">
        <v>5</v>
      </c>
      <c r="D1" s="4" t="s">
        <v>7</v>
      </c>
      <c r="E1" s="2" t="s">
        <v>2</v>
      </c>
      <c r="F1" s="6" t="s">
        <v>10</v>
      </c>
      <c r="G1" s="7" t="s">
        <v>13</v>
      </c>
      <c r="H1" s="8" t="s">
        <v>15</v>
      </c>
      <c r="I1" s="8" t="s">
        <v>17</v>
      </c>
      <c r="J1" s="9" t="s">
        <v>19</v>
      </c>
      <c r="K1" s="6" t="s">
        <v>21</v>
      </c>
      <c r="L1" s="6" t="s">
        <v>23</v>
      </c>
      <c r="M1" s="10" t="s">
        <v>25</v>
      </c>
      <c r="N1" s="12" t="s">
        <v>29</v>
      </c>
      <c r="O1" s="12" t="s">
        <v>33</v>
      </c>
      <c r="P1" s="6" t="s">
        <v>34</v>
      </c>
      <c r="Q1" s="6" t="s">
        <v>35</v>
      </c>
      <c r="R1" s="6" t="s">
        <v>37</v>
      </c>
      <c r="S1" s="13" t="s">
        <v>38</v>
      </c>
      <c r="T1" s="15" t="s">
        <v>40</v>
      </c>
      <c r="U1" s="16" t="s">
        <v>42</v>
      </c>
      <c r="V1" s="17" t="s">
        <v>44</v>
      </c>
      <c r="W1" s="17" t="s">
        <v>46</v>
      </c>
      <c r="X1" s="17" t="s">
        <v>47</v>
      </c>
      <c r="Y1" s="18" t="s">
        <v>49</v>
      </c>
      <c r="Z1" s="18" t="s">
        <v>50</v>
      </c>
      <c r="AA1" s="19" t="s">
        <v>13</v>
      </c>
      <c r="AB1" s="2" t="s">
        <v>53</v>
      </c>
      <c r="AC1" s="2" t="s">
        <v>55</v>
      </c>
      <c r="AD1" s="20" t="s">
        <v>56</v>
      </c>
      <c r="AE1" s="19" t="s">
        <v>58</v>
      </c>
      <c r="AF1" s="18" t="s">
        <v>59</v>
      </c>
      <c r="AG1" s="18" t="s">
        <v>60</v>
      </c>
      <c r="AH1" s="18" t="s">
        <v>62</v>
      </c>
      <c r="AI1" s="22" t="s">
        <v>63</v>
      </c>
      <c r="AJ1" s="24" t="s">
        <v>75</v>
      </c>
      <c r="AK1" s="25" t="s">
        <v>78</v>
      </c>
      <c r="AL1" s="25" t="s">
        <v>82</v>
      </c>
      <c r="AM1" s="25" t="s">
        <v>84</v>
      </c>
      <c r="AN1" s="26" t="s">
        <v>85</v>
      </c>
      <c r="AO1" s="28" t="s">
        <v>49</v>
      </c>
      <c r="AP1" s="28" t="s">
        <v>88</v>
      </c>
      <c r="AQ1" s="28" t="s">
        <v>89</v>
      </c>
      <c r="AR1" s="29" t="s">
        <v>91</v>
      </c>
      <c r="AS1" s="30" t="s">
        <v>92</v>
      </c>
      <c r="AT1" s="31" t="s">
        <v>94</v>
      </c>
      <c r="AU1" s="33" t="s">
        <v>95</v>
      </c>
      <c r="AV1" s="34" t="s">
        <v>97</v>
      </c>
      <c r="AW1" s="35" t="s">
        <v>98</v>
      </c>
      <c r="AX1" s="37" t="s">
        <v>99</v>
      </c>
      <c r="AY1" s="38" t="s">
        <v>100</v>
      </c>
    </row>
    <row r="2" ht="60.0" customHeight="1">
      <c r="A2" s="39">
        <v>1.0</v>
      </c>
      <c r="B2" s="41">
        <v>4.0076838E7</v>
      </c>
      <c r="C2" s="42">
        <v>0.0</v>
      </c>
      <c r="D2" s="44" t="s">
        <v>102</v>
      </c>
      <c r="E2" s="45" t="s">
        <v>65</v>
      </c>
      <c r="F2" s="48" t="str">
        <f>+IFERROR(VLOOKUP(E2,'Feriados y Comunas'!$C$1:$D$36,2,FALSE),"")</f>
        <v>OSORNO</v>
      </c>
      <c r="G2" s="49">
        <v>45987.0</v>
      </c>
      <c r="H2" s="50">
        <v>222616.0</v>
      </c>
      <c r="I2" s="50">
        <v>222616.0</v>
      </c>
      <c r="J2" s="51" t="s">
        <v>105</v>
      </c>
      <c r="K2" s="42">
        <v>2026.0</v>
      </c>
      <c r="L2" s="45" t="s">
        <v>106</v>
      </c>
      <c r="M2" s="52" t="s">
        <v>107</v>
      </c>
      <c r="N2" s="53"/>
      <c r="O2" s="54" t="s">
        <v>108</v>
      </c>
      <c r="P2" s="55"/>
      <c r="Q2" s="56" t="s">
        <v>109</v>
      </c>
      <c r="R2" s="56" t="s">
        <v>110</v>
      </c>
      <c r="S2" s="42">
        <v>6388.0</v>
      </c>
      <c r="T2" s="42">
        <v>7565.0</v>
      </c>
      <c r="U2" s="42">
        <f t="shared" ref="U2:U6" si="1">SUM(S2:T2)</f>
        <v>13953</v>
      </c>
      <c r="V2" s="45" t="s">
        <v>111</v>
      </c>
      <c r="W2" s="45" t="s">
        <v>111</v>
      </c>
      <c r="X2" s="42">
        <v>687.0</v>
      </c>
      <c r="Y2" s="57">
        <v>45994.0</v>
      </c>
      <c r="Z2" s="59"/>
      <c r="AA2" s="57">
        <v>45995.0</v>
      </c>
      <c r="AB2" s="57">
        <v>45995.0</v>
      </c>
      <c r="AC2" s="57">
        <v>45995.0</v>
      </c>
      <c r="AD2" s="61">
        <f>WORKDAY(AC2,15,'Feriados y Comunas'!A$2:A$26)</f>
        <v>46020</v>
      </c>
      <c r="AE2" s="63" t="s">
        <v>113</v>
      </c>
      <c r="AF2" s="64"/>
      <c r="AG2" s="64"/>
      <c r="AH2" s="39"/>
      <c r="AI2" s="66"/>
      <c r="AJ2" s="68" t="s">
        <v>115</v>
      </c>
      <c r="AK2" s="68" t="s">
        <v>117</v>
      </c>
      <c r="AL2" s="68" t="s">
        <v>118</v>
      </c>
      <c r="AM2" s="70" t="s">
        <v>119</v>
      </c>
      <c r="AN2" s="42">
        <v>738.0</v>
      </c>
      <c r="AO2" s="57">
        <v>46020.0</v>
      </c>
      <c r="AP2" s="71"/>
      <c r="AQ2" s="57">
        <v>46021.0</v>
      </c>
      <c r="AR2" s="72"/>
      <c r="AS2" s="72"/>
      <c r="AT2" s="39"/>
      <c r="AU2" s="64"/>
      <c r="AV2" s="73">
        <v>46021.0</v>
      </c>
      <c r="AW2" s="74" t="s">
        <v>121</v>
      </c>
      <c r="AX2" s="42">
        <v>4.0</v>
      </c>
      <c r="AY2" s="75">
        <v>2.0</v>
      </c>
      <c r="AZ2" s="76"/>
      <c r="BA2" s="76"/>
      <c r="BB2" s="76"/>
      <c r="BC2" s="76"/>
      <c r="BD2" s="76"/>
    </row>
    <row r="3" ht="60.0" customHeight="1">
      <c r="A3" s="39">
        <v>2.0</v>
      </c>
      <c r="B3" s="41">
        <v>4.0077324E7</v>
      </c>
      <c r="C3" s="42">
        <v>0.0</v>
      </c>
      <c r="D3" s="44" t="s">
        <v>122</v>
      </c>
      <c r="E3" s="45" t="s">
        <v>74</v>
      </c>
      <c r="F3" s="48" t="str">
        <f>+IFERROR(VLOOKUP(E3,'Feriados y Comunas'!$C$1:$D$36,2,FALSE),"")</f>
        <v>PALENA</v>
      </c>
      <c r="G3" s="49">
        <v>46000.0</v>
      </c>
      <c r="H3" s="50">
        <v>328738.0</v>
      </c>
      <c r="I3" s="50">
        <v>328738.0</v>
      </c>
      <c r="J3" s="51" t="s">
        <v>105</v>
      </c>
      <c r="K3" s="42">
        <v>2026.0</v>
      </c>
      <c r="L3" s="45" t="s">
        <v>106</v>
      </c>
      <c r="M3" s="52" t="s">
        <v>123</v>
      </c>
      <c r="N3" s="53"/>
      <c r="O3" s="54" t="s">
        <v>108</v>
      </c>
      <c r="P3" s="55"/>
      <c r="Q3" s="56" t="s">
        <v>124</v>
      </c>
      <c r="R3" s="56" t="s">
        <v>125</v>
      </c>
      <c r="S3" s="42">
        <v>89.0</v>
      </c>
      <c r="T3" s="42">
        <v>81.0</v>
      </c>
      <c r="U3" s="42">
        <f t="shared" si="1"/>
        <v>170</v>
      </c>
      <c r="V3" s="45" t="s">
        <v>126</v>
      </c>
      <c r="W3" s="45" t="s">
        <v>126</v>
      </c>
      <c r="X3" s="42">
        <v>1585.0</v>
      </c>
      <c r="Y3" s="57">
        <v>46000.0</v>
      </c>
      <c r="Z3" s="59"/>
      <c r="AA3" s="57">
        <v>46000.0</v>
      </c>
      <c r="AB3" s="57">
        <v>46000.0</v>
      </c>
      <c r="AC3" s="57">
        <v>46000.0</v>
      </c>
      <c r="AD3" s="61">
        <f>WORKDAY(AC3,15,'Feriados y Comunas'!A$2:A$26)</f>
        <v>46022</v>
      </c>
      <c r="AE3" s="63" t="s">
        <v>113</v>
      </c>
      <c r="AF3" s="64"/>
      <c r="AG3" s="64"/>
      <c r="AH3" s="39"/>
      <c r="AI3" s="66"/>
      <c r="AJ3" s="68" t="s">
        <v>127</v>
      </c>
      <c r="AK3" s="68" t="s">
        <v>128</v>
      </c>
      <c r="AL3" s="68" t="s">
        <v>129</v>
      </c>
      <c r="AM3" s="70" t="s">
        <v>130</v>
      </c>
      <c r="AN3" s="77" t="s">
        <v>131</v>
      </c>
      <c r="AO3" s="78" t="s">
        <v>131</v>
      </c>
      <c r="AP3" s="79"/>
      <c r="AQ3" s="78" t="s">
        <v>131</v>
      </c>
      <c r="AR3" s="72"/>
      <c r="AS3" s="72"/>
      <c r="AT3" s="39"/>
      <c r="AU3" s="64"/>
      <c r="AV3" s="73">
        <v>46021.0</v>
      </c>
      <c r="AW3" s="74" t="s">
        <v>121</v>
      </c>
      <c r="AX3" s="42">
        <v>2.0</v>
      </c>
      <c r="AY3" s="77">
        <v>2.0</v>
      </c>
      <c r="AZ3" s="76"/>
      <c r="BA3" s="76"/>
      <c r="BB3" s="76"/>
      <c r="BC3" s="76"/>
      <c r="BD3" s="76"/>
    </row>
    <row r="4" ht="60.0" customHeight="1">
      <c r="A4" s="39">
        <v>3.0</v>
      </c>
      <c r="B4" s="41">
        <v>4.0041153E7</v>
      </c>
      <c r="C4" s="42">
        <v>0.0</v>
      </c>
      <c r="D4" s="44" t="s">
        <v>133</v>
      </c>
      <c r="E4" s="45" t="s">
        <v>41</v>
      </c>
      <c r="F4" s="48" t="s">
        <v>27</v>
      </c>
      <c r="G4" s="49">
        <v>46000.0</v>
      </c>
      <c r="H4" s="50">
        <v>325000.0</v>
      </c>
      <c r="I4" s="50">
        <v>325000.0</v>
      </c>
      <c r="J4" s="51" t="s">
        <v>105</v>
      </c>
      <c r="K4" s="42">
        <v>2026.0</v>
      </c>
      <c r="L4" s="45" t="s">
        <v>106</v>
      </c>
      <c r="M4" s="80" t="s">
        <v>134</v>
      </c>
      <c r="N4" s="53"/>
      <c r="O4" s="54" t="s">
        <v>108</v>
      </c>
      <c r="P4" s="55"/>
      <c r="Q4" s="56" t="s">
        <v>124</v>
      </c>
      <c r="R4" s="56" t="s">
        <v>125</v>
      </c>
      <c r="S4" s="42">
        <v>2798.0</v>
      </c>
      <c r="T4" s="42">
        <v>2745.0</v>
      </c>
      <c r="U4" s="42">
        <f t="shared" si="1"/>
        <v>5543</v>
      </c>
      <c r="V4" s="45" t="s">
        <v>135</v>
      </c>
      <c r="W4" s="45" t="s">
        <v>135</v>
      </c>
      <c r="X4" s="42">
        <v>1201.0</v>
      </c>
      <c r="Y4" s="81">
        <v>45996.0</v>
      </c>
      <c r="Z4" s="59"/>
      <c r="AA4" s="81">
        <v>45996.0</v>
      </c>
      <c r="AB4" s="81">
        <v>45996.0</v>
      </c>
      <c r="AC4" s="57">
        <v>46002.0</v>
      </c>
      <c r="AD4" s="61">
        <f>WORKDAY(AC4,15,'Feriados y Comunas'!A$2:A$26)</f>
        <v>46024</v>
      </c>
      <c r="AE4" s="63" t="s">
        <v>113</v>
      </c>
      <c r="AF4" s="64"/>
      <c r="AG4" s="64"/>
      <c r="AH4" s="39"/>
      <c r="AI4" s="66"/>
      <c r="AJ4" s="82">
        <v>251.0</v>
      </c>
      <c r="AK4" s="83">
        <v>46058.0</v>
      </c>
      <c r="AL4" s="84">
        <v>46007.0</v>
      </c>
      <c r="AM4" s="85" t="s">
        <v>136</v>
      </c>
      <c r="AN4" s="82" t="s">
        <v>131</v>
      </c>
      <c r="AO4" s="84" t="s">
        <v>131</v>
      </c>
      <c r="AP4" s="86"/>
      <c r="AQ4" s="84" t="s">
        <v>131</v>
      </c>
      <c r="AR4" s="72"/>
      <c r="AS4" s="72"/>
      <c r="AT4" s="39"/>
      <c r="AU4" s="64"/>
      <c r="AV4" s="73">
        <v>46007.0</v>
      </c>
      <c r="AW4" s="74" t="s">
        <v>121</v>
      </c>
      <c r="AX4" s="87"/>
      <c r="AY4" s="88">
        <v>1.0</v>
      </c>
      <c r="AZ4" s="76"/>
      <c r="BA4" s="76"/>
      <c r="BB4" s="76"/>
      <c r="BC4" s="76"/>
      <c r="BD4" s="76"/>
    </row>
    <row r="5" ht="60.0" customHeight="1">
      <c r="A5" s="39">
        <v>4.0</v>
      </c>
      <c r="B5" s="39">
        <v>4.0055485E7</v>
      </c>
      <c r="C5" s="39">
        <v>0.0</v>
      </c>
      <c r="D5" s="39" t="s">
        <v>137</v>
      </c>
      <c r="E5" s="90" t="s">
        <v>54</v>
      </c>
      <c r="F5" s="93" t="str">
        <f>+IFERROR(VLOOKUP(E5,'Feriados y Comunas'!$C$1:$D$36,2,FALSE),"")</f>
        <v>OSORNO</v>
      </c>
      <c r="G5" s="94">
        <v>45917.0</v>
      </c>
      <c r="H5" s="95">
        <v>300000.0</v>
      </c>
      <c r="I5" s="95">
        <v>300000.0</v>
      </c>
      <c r="J5" s="39" t="s">
        <v>105</v>
      </c>
      <c r="K5" s="39">
        <v>2026.0</v>
      </c>
      <c r="L5" s="96" t="s">
        <v>139</v>
      </c>
      <c r="M5" s="97" t="s">
        <v>140</v>
      </c>
      <c r="N5" s="98">
        <v>46091.0</v>
      </c>
      <c r="O5" s="54" t="s">
        <v>108</v>
      </c>
      <c r="P5" s="55"/>
      <c r="Q5" s="55" t="s">
        <v>141</v>
      </c>
      <c r="R5" s="55" t="s">
        <v>142</v>
      </c>
      <c r="S5" s="39">
        <v>5345.0</v>
      </c>
      <c r="T5" s="39">
        <v>5364.0</v>
      </c>
      <c r="U5" s="39">
        <f t="shared" si="1"/>
        <v>10709</v>
      </c>
      <c r="V5" s="96" t="s">
        <v>143</v>
      </c>
      <c r="W5" s="96" t="s">
        <v>143</v>
      </c>
      <c r="X5" s="39">
        <v>656.0</v>
      </c>
      <c r="Y5" s="94">
        <v>45915.0</v>
      </c>
      <c r="Z5" s="94"/>
      <c r="AA5" s="94">
        <v>45917.0</v>
      </c>
      <c r="AB5" s="94">
        <v>45917.0</v>
      </c>
      <c r="AC5" s="94">
        <v>45917.0</v>
      </c>
      <c r="AD5" s="99">
        <f>WORKDAY(AC5,15,'Feriados y Comunas'!A$2:A$26)</f>
        <v>45940</v>
      </c>
      <c r="AE5" s="63" t="s">
        <v>113</v>
      </c>
      <c r="AF5" s="64"/>
      <c r="AG5" s="64"/>
      <c r="AH5" s="39"/>
      <c r="AI5" s="66"/>
      <c r="AJ5" s="72" t="s">
        <v>145</v>
      </c>
      <c r="AK5" s="100" t="s">
        <v>146</v>
      </c>
      <c r="AL5" s="100" t="s">
        <v>147</v>
      </c>
      <c r="AM5" s="90" t="s">
        <v>148</v>
      </c>
      <c r="AN5" s="72" t="s">
        <v>149</v>
      </c>
      <c r="AO5" s="100" t="s">
        <v>150</v>
      </c>
      <c r="AP5" s="101"/>
      <c r="AQ5" s="100" t="s">
        <v>151</v>
      </c>
      <c r="AR5" s="72" t="s">
        <v>152</v>
      </c>
      <c r="AS5" s="72" t="s">
        <v>146</v>
      </c>
      <c r="AT5" s="39"/>
      <c r="AU5" s="64"/>
      <c r="AV5" s="102">
        <v>46059.0</v>
      </c>
      <c r="AW5" s="103" t="s">
        <v>121</v>
      </c>
      <c r="AX5" s="39">
        <v>10.0</v>
      </c>
      <c r="AY5" s="39">
        <f>IFERROR(__xludf.DUMMYFUNCTION("IFERROR(COUNTA(SPLIT(AK5, "" "")), 0)"),4.0)</f>
        <v>4</v>
      </c>
      <c r="AZ5" s="104"/>
      <c r="BA5" s="105"/>
      <c r="BB5" s="105"/>
      <c r="BC5" s="105"/>
      <c r="BD5" s="105"/>
    </row>
    <row r="6" ht="60.0" customHeight="1">
      <c r="A6" s="39">
        <v>5.0</v>
      </c>
      <c r="B6" s="39">
        <v>4.007344E7</v>
      </c>
      <c r="C6" s="39">
        <v>0.0</v>
      </c>
      <c r="D6" s="39" t="s">
        <v>154</v>
      </c>
      <c r="E6" s="90" t="s">
        <v>76</v>
      </c>
      <c r="F6" s="93" t="str">
        <f>+IFERROR(VLOOKUP(E6,'Feriados y Comunas'!$C$1:$D$36,2,FALSE),"")</f>
        <v>PALENA</v>
      </c>
      <c r="G6" s="94">
        <v>45903.0</v>
      </c>
      <c r="H6" s="95">
        <v>230000.0</v>
      </c>
      <c r="I6" s="95">
        <v>230000.0</v>
      </c>
      <c r="J6" s="39" t="s">
        <v>105</v>
      </c>
      <c r="K6" s="39">
        <v>2026.0</v>
      </c>
      <c r="L6" s="106" t="s">
        <v>155</v>
      </c>
      <c r="M6" s="97" t="s">
        <v>157</v>
      </c>
      <c r="N6" s="98">
        <v>46091.0</v>
      </c>
      <c r="O6" s="54" t="s">
        <v>108</v>
      </c>
      <c r="P6" s="55"/>
      <c r="Q6" s="55" t="s">
        <v>158</v>
      </c>
      <c r="R6" s="55" t="s">
        <v>159</v>
      </c>
      <c r="S6" s="39">
        <v>1542.0</v>
      </c>
      <c r="T6" s="39">
        <v>1520.0</v>
      </c>
      <c r="U6" s="39">
        <f t="shared" si="1"/>
        <v>3062</v>
      </c>
      <c r="V6" s="96" t="s">
        <v>161</v>
      </c>
      <c r="W6" s="96" t="s">
        <v>161</v>
      </c>
      <c r="X6" s="39">
        <v>406.0</v>
      </c>
      <c r="Y6" s="94">
        <v>45902.0</v>
      </c>
      <c r="Z6" s="94"/>
      <c r="AA6" s="94">
        <v>45903.0</v>
      </c>
      <c r="AB6" s="94">
        <v>45903.0</v>
      </c>
      <c r="AC6" s="94">
        <v>45903.0</v>
      </c>
      <c r="AD6" s="99">
        <f>WORKDAY(AC6,15,'Feriados y Comunas'!A$2:A$26)</f>
        <v>45926</v>
      </c>
      <c r="AE6" s="63" t="s">
        <v>113</v>
      </c>
      <c r="AF6" s="64"/>
      <c r="AG6" s="64"/>
      <c r="AH6" s="39"/>
      <c r="AI6" s="66"/>
      <c r="AJ6" s="72" t="s">
        <v>163</v>
      </c>
      <c r="AK6" s="100" t="s">
        <v>164</v>
      </c>
      <c r="AL6" s="100" t="s">
        <v>165</v>
      </c>
      <c r="AM6" s="90" t="s">
        <v>166</v>
      </c>
      <c r="AN6" s="72" t="s">
        <v>167</v>
      </c>
      <c r="AO6" s="72" t="s">
        <v>168</v>
      </c>
      <c r="AP6" s="101"/>
      <c r="AQ6" s="72" t="s">
        <v>169</v>
      </c>
      <c r="AR6" s="72" t="s">
        <v>170</v>
      </c>
      <c r="AS6" s="107" t="s">
        <v>171</v>
      </c>
      <c r="AT6" s="39"/>
      <c r="AU6" s="64"/>
      <c r="AV6" s="73">
        <v>45975.0</v>
      </c>
      <c r="AW6" s="103" t="s">
        <v>121</v>
      </c>
      <c r="AX6" s="39">
        <v>19.0</v>
      </c>
      <c r="AY6" s="39">
        <f>IFERROR(__xludf.DUMMYFUNCTION("IFERROR(COUNTA(SPLIT(AK6, "" "")), 0)"),3.0)</f>
        <v>3</v>
      </c>
      <c r="AZ6" s="104"/>
      <c r="BA6" s="105"/>
      <c r="BB6" s="105"/>
      <c r="BC6" s="105"/>
      <c r="BD6" s="105"/>
    </row>
    <row r="7" ht="60.0" customHeight="1">
      <c r="A7" s="39">
        <v>6.0</v>
      </c>
      <c r="B7" s="108">
        <v>4.0071265E7</v>
      </c>
      <c r="C7" s="108">
        <v>0.0</v>
      </c>
      <c r="D7" s="108" t="s">
        <v>172</v>
      </c>
      <c r="E7" s="63" t="s">
        <v>39</v>
      </c>
      <c r="F7" s="109" t="s">
        <v>27</v>
      </c>
      <c r="G7" s="110">
        <v>46104.0</v>
      </c>
      <c r="H7" s="111">
        <v>337129.0</v>
      </c>
      <c r="I7" s="111">
        <v>337129.0</v>
      </c>
      <c r="J7" s="108" t="s">
        <v>105</v>
      </c>
      <c r="K7" s="108">
        <v>2026.0</v>
      </c>
      <c r="L7" s="112" t="s">
        <v>174</v>
      </c>
      <c r="M7" s="97" t="s">
        <v>175</v>
      </c>
      <c r="N7" s="113">
        <v>46178.0</v>
      </c>
      <c r="O7" s="114" t="s">
        <v>108</v>
      </c>
      <c r="P7" s="56"/>
      <c r="Q7" s="56" t="s">
        <v>177</v>
      </c>
      <c r="R7" s="56" t="s">
        <v>178</v>
      </c>
      <c r="S7" s="108">
        <v>145.0</v>
      </c>
      <c r="T7" s="108">
        <v>140.0</v>
      </c>
      <c r="U7" s="108">
        <v>285.0</v>
      </c>
      <c r="V7" s="112" t="s">
        <v>179</v>
      </c>
      <c r="W7" s="112" t="s">
        <v>179</v>
      </c>
      <c r="X7" s="108">
        <v>90.0</v>
      </c>
      <c r="Y7" s="110">
        <v>46101.0</v>
      </c>
      <c r="Z7" s="110"/>
      <c r="AA7" s="110">
        <v>46104.0</v>
      </c>
      <c r="AB7" s="110">
        <v>46105.0</v>
      </c>
      <c r="AC7" s="110">
        <v>46105.0</v>
      </c>
      <c r="AD7" s="99">
        <f>WORKDAY(AC7,15,'Feriados y Comunas'!A$2:A$26)</f>
        <v>46126</v>
      </c>
      <c r="AE7" s="63" t="s">
        <v>180</v>
      </c>
      <c r="AF7" s="108"/>
      <c r="AG7" s="108"/>
      <c r="AH7" s="108"/>
      <c r="AI7" s="115"/>
      <c r="AJ7" s="116" t="s">
        <v>181</v>
      </c>
      <c r="AK7" s="112" t="s">
        <v>182</v>
      </c>
      <c r="AL7" s="112" t="s">
        <v>183</v>
      </c>
      <c r="AM7" s="117" t="s">
        <v>119</v>
      </c>
      <c r="AN7" s="108">
        <v>143.0</v>
      </c>
      <c r="AO7" s="118">
        <v>46140.0</v>
      </c>
      <c r="AP7" s="118"/>
      <c r="AQ7" s="118">
        <v>46141.0</v>
      </c>
      <c r="AR7" s="108"/>
      <c r="AS7" s="119"/>
      <c r="AT7" s="108"/>
      <c r="AU7" s="119"/>
      <c r="AV7" s="102">
        <v>46153.0</v>
      </c>
      <c r="AW7" s="103" t="s">
        <v>121</v>
      </c>
      <c r="AX7" s="108"/>
      <c r="AY7" s="39">
        <f>IFERROR(__xludf.DUMMYFUNCTION("IFERROR(COUNTA(SPLIT(AK7, "" "")), 0)"),2.0)</f>
        <v>2</v>
      </c>
    </row>
    <row r="8" ht="60.0" customHeight="1">
      <c r="A8" s="120">
        <v>7.0</v>
      </c>
      <c r="B8" s="39">
        <v>4.0073338E7</v>
      </c>
      <c r="C8" s="121">
        <v>0.0</v>
      </c>
      <c r="D8" s="39" t="s">
        <v>185</v>
      </c>
      <c r="E8" s="90" t="s">
        <v>43</v>
      </c>
      <c r="F8" s="93" t="str">
        <f>+IFERROR(VLOOKUP(E8,'Feriados y Comunas'!$C$1:$D$36,2,FALSE),"")</f>
        <v>CHILOÉ</v>
      </c>
      <c r="G8" s="94">
        <v>45813.0</v>
      </c>
      <c r="H8" s="95">
        <v>202086.0</v>
      </c>
      <c r="I8" s="122">
        <v>203117.0</v>
      </c>
      <c r="J8" s="93" t="s">
        <v>105</v>
      </c>
      <c r="K8" s="39">
        <v>2026.0</v>
      </c>
      <c r="L8" s="90" t="s">
        <v>139</v>
      </c>
      <c r="M8" s="123" t="s">
        <v>188</v>
      </c>
      <c r="N8" s="114" t="s">
        <v>160</v>
      </c>
      <c r="O8" s="54" t="s">
        <v>108</v>
      </c>
      <c r="P8" s="55"/>
      <c r="Q8" s="55" t="s">
        <v>189</v>
      </c>
      <c r="R8" s="55" t="s">
        <v>142</v>
      </c>
      <c r="S8" s="39">
        <v>184.0</v>
      </c>
      <c r="T8" s="39">
        <v>190.0</v>
      </c>
      <c r="U8" s="39">
        <f t="shared" ref="U8:U11" si="2">SUM(S8:T8)</f>
        <v>374</v>
      </c>
      <c r="V8" s="96" t="s">
        <v>190</v>
      </c>
      <c r="W8" s="96" t="s">
        <v>190</v>
      </c>
      <c r="X8" s="39">
        <v>397.0</v>
      </c>
      <c r="Y8" s="94">
        <v>45811.0</v>
      </c>
      <c r="Z8" s="94"/>
      <c r="AA8" s="94">
        <v>45813.0</v>
      </c>
      <c r="AB8" s="94">
        <v>45813.0</v>
      </c>
      <c r="AC8" s="94">
        <v>45813.0</v>
      </c>
      <c r="AD8" s="99">
        <f>WORKDAY(AC8,15,'Feriados y Comunas'!A$2:A$26)</f>
        <v>45835</v>
      </c>
      <c r="AE8" s="63" t="s">
        <v>180</v>
      </c>
      <c r="AF8" s="64"/>
      <c r="AG8" s="64"/>
      <c r="AH8" s="64"/>
      <c r="AI8" s="66"/>
      <c r="AJ8" s="124" t="s">
        <v>191</v>
      </c>
      <c r="AK8" s="124" t="s">
        <v>192</v>
      </c>
      <c r="AL8" s="124" t="s">
        <v>193</v>
      </c>
      <c r="AM8" s="125" t="s">
        <v>194</v>
      </c>
      <c r="AN8" s="82" t="s">
        <v>195</v>
      </c>
      <c r="AO8" s="82" t="s">
        <v>196</v>
      </c>
      <c r="AP8" s="101"/>
      <c r="AQ8" s="101"/>
      <c r="AR8" s="39">
        <v>1502.0</v>
      </c>
      <c r="AS8" s="64">
        <v>45838.0</v>
      </c>
      <c r="AT8" s="39"/>
      <c r="AU8" s="64"/>
      <c r="AV8" s="102">
        <v>46199.0</v>
      </c>
      <c r="AW8" s="74" t="s">
        <v>121</v>
      </c>
      <c r="AX8" s="39">
        <v>6.0</v>
      </c>
      <c r="AY8" s="39">
        <f>IFERROR(__xludf.DUMMYFUNCTION("IFERROR(COUNTA(SPLIT(AK8, "" "")), 0)"),4.0)</f>
        <v>4</v>
      </c>
      <c r="AZ8" s="104"/>
      <c r="BA8" s="105"/>
      <c r="BB8" s="105"/>
      <c r="BC8" s="105"/>
      <c r="BD8" s="105"/>
    </row>
    <row r="9" ht="66.0" customHeight="1">
      <c r="A9" s="39">
        <v>8.0</v>
      </c>
      <c r="B9" s="126">
        <v>4.0070963E7</v>
      </c>
      <c r="C9" s="126">
        <v>0.0</v>
      </c>
      <c r="D9" s="126" t="s">
        <v>198</v>
      </c>
      <c r="E9" s="117" t="s">
        <v>28</v>
      </c>
      <c r="F9" s="127" t="str">
        <f>+IFERROR(VLOOKUP(E9,'Feriados y Comunas'!$C$1:$D$36,2,FALSE),"")</f>
        <v>CHILOÉ</v>
      </c>
      <c r="G9" s="128">
        <v>45922.0</v>
      </c>
      <c r="H9" s="129">
        <v>313141.0</v>
      </c>
      <c r="I9" s="130">
        <v>326592.0</v>
      </c>
      <c r="J9" s="126" t="s">
        <v>105</v>
      </c>
      <c r="K9" s="126">
        <v>2026.0</v>
      </c>
      <c r="L9" s="131" t="s">
        <v>200</v>
      </c>
      <c r="M9" s="70" t="s">
        <v>201</v>
      </c>
      <c r="N9" s="132">
        <v>46178.0</v>
      </c>
      <c r="O9" s="114" t="s">
        <v>108</v>
      </c>
      <c r="P9" s="133"/>
      <c r="Q9" s="133" t="s">
        <v>202</v>
      </c>
      <c r="R9" s="133" t="s">
        <v>203</v>
      </c>
      <c r="S9" s="126">
        <v>1900.0</v>
      </c>
      <c r="T9" s="126">
        <v>2001.0</v>
      </c>
      <c r="U9" s="126">
        <f t="shared" si="2"/>
        <v>3901</v>
      </c>
      <c r="V9" s="131" t="s">
        <v>204</v>
      </c>
      <c r="W9" s="131" t="s">
        <v>204</v>
      </c>
      <c r="X9" s="126">
        <v>946.0</v>
      </c>
      <c r="Y9" s="128">
        <v>45909.0</v>
      </c>
      <c r="Z9" s="128"/>
      <c r="AA9" s="128">
        <v>45922.0</v>
      </c>
      <c r="AB9" s="128">
        <v>45922.0</v>
      </c>
      <c r="AC9" s="128">
        <v>45922.0</v>
      </c>
      <c r="AD9" s="134">
        <f>WORKDAY(AC9,15,'Feriados y Comunas'!A$2:A$26)</f>
        <v>45943</v>
      </c>
      <c r="AE9" s="63" t="s">
        <v>180</v>
      </c>
      <c r="AF9" s="135"/>
      <c r="AG9" s="135"/>
      <c r="AH9" s="126"/>
      <c r="AI9" s="115"/>
      <c r="AJ9" s="136" t="s">
        <v>205</v>
      </c>
      <c r="AK9" s="136" t="s">
        <v>206</v>
      </c>
      <c r="AL9" s="136" t="s">
        <v>207</v>
      </c>
      <c r="AM9" s="137" t="s">
        <v>208</v>
      </c>
      <c r="AN9" s="136" t="s">
        <v>209</v>
      </c>
      <c r="AO9" s="136" t="s">
        <v>210</v>
      </c>
      <c r="AP9" s="138"/>
      <c r="AQ9" s="136" t="s">
        <v>211</v>
      </c>
      <c r="AR9" s="139" t="s">
        <v>212</v>
      </c>
      <c r="AS9" s="139" t="s">
        <v>213</v>
      </c>
      <c r="AT9" s="126"/>
      <c r="AU9" s="135"/>
      <c r="AV9" s="102">
        <v>46224.0</v>
      </c>
      <c r="AW9" s="74" t="s">
        <v>121</v>
      </c>
      <c r="AX9" s="126">
        <v>23.0</v>
      </c>
      <c r="AY9" s="39">
        <f>IFERROR(__xludf.DUMMYFUNCTION("IFERROR(COUNTA(SPLIT(AK9, "" "")), 0)"),6.0)</f>
        <v>6</v>
      </c>
      <c r="AZ9" s="140"/>
      <c r="BA9" s="141"/>
      <c r="BB9" s="141"/>
      <c r="BC9" s="141"/>
      <c r="BD9" s="141"/>
    </row>
    <row r="10" ht="60.0" customHeight="1">
      <c r="A10" s="39">
        <v>9.0</v>
      </c>
      <c r="B10" s="108">
        <v>4.0075634E7</v>
      </c>
      <c r="C10" s="108">
        <v>0.0</v>
      </c>
      <c r="D10" s="108" t="s">
        <v>215</v>
      </c>
      <c r="E10" s="63" t="s">
        <v>18</v>
      </c>
      <c r="F10" s="109" t="str">
        <f>+IFERROR(VLOOKUP(E10,'Feriados y Comunas'!$C$1:$D$36,2,FALSE),"")</f>
        <v>LLANQUIHUE</v>
      </c>
      <c r="G10" s="110">
        <v>45930.0</v>
      </c>
      <c r="H10" s="111">
        <v>332400.0</v>
      </c>
      <c r="I10" s="142">
        <v>269828.0</v>
      </c>
      <c r="J10" s="108" t="s">
        <v>105</v>
      </c>
      <c r="K10" s="108">
        <v>2026.0</v>
      </c>
      <c r="L10" s="112" t="s">
        <v>106</v>
      </c>
      <c r="M10" s="70" t="s">
        <v>216</v>
      </c>
      <c r="N10" s="114" t="s">
        <v>160</v>
      </c>
      <c r="O10" s="114" t="s">
        <v>108</v>
      </c>
      <c r="P10" s="56"/>
      <c r="Q10" s="56" t="s">
        <v>217</v>
      </c>
      <c r="R10" s="56" t="s">
        <v>218</v>
      </c>
      <c r="S10" s="108">
        <v>3830.0</v>
      </c>
      <c r="T10" s="108">
        <v>4039.0</v>
      </c>
      <c r="U10" s="108">
        <f t="shared" si="2"/>
        <v>7869</v>
      </c>
      <c r="V10" s="112" t="s">
        <v>219</v>
      </c>
      <c r="W10" s="112" t="s">
        <v>219</v>
      </c>
      <c r="X10" s="108">
        <v>786.0</v>
      </c>
      <c r="Y10" s="110">
        <v>45929.0</v>
      </c>
      <c r="Z10" s="110"/>
      <c r="AA10" s="110">
        <v>45930.0</v>
      </c>
      <c r="AB10" s="110">
        <v>45930.0</v>
      </c>
      <c r="AC10" s="110">
        <v>45930.0</v>
      </c>
      <c r="AD10" s="134">
        <f>WORKDAY(AC10,15,'Feriados y Comunas'!A$2:A$26)</f>
        <v>45951</v>
      </c>
      <c r="AE10" s="63" t="s">
        <v>180</v>
      </c>
      <c r="AF10" s="143"/>
      <c r="AG10" s="144"/>
      <c r="AH10" s="144"/>
      <c r="AI10" s="145"/>
      <c r="AJ10" s="124" t="s">
        <v>220</v>
      </c>
      <c r="AK10" s="124" t="s">
        <v>221</v>
      </c>
      <c r="AL10" s="124" t="s">
        <v>222</v>
      </c>
      <c r="AM10" s="125" t="s">
        <v>223</v>
      </c>
      <c r="AN10" s="124" t="s">
        <v>224</v>
      </c>
      <c r="AO10" s="124" t="s">
        <v>225</v>
      </c>
      <c r="AP10" s="118"/>
      <c r="AQ10" s="124" t="s">
        <v>226</v>
      </c>
      <c r="AR10" s="116" t="s">
        <v>227</v>
      </c>
      <c r="AS10" s="146" t="s">
        <v>228</v>
      </c>
      <c r="AT10" s="108"/>
      <c r="AU10" s="119"/>
      <c r="AV10" s="102">
        <v>46204.0</v>
      </c>
      <c r="AW10" s="74" t="s">
        <v>121</v>
      </c>
      <c r="AX10" s="108">
        <v>17.0</v>
      </c>
      <c r="AY10" s="39">
        <f>IFERROR(__xludf.DUMMYFUNCTION("IFERROR(COUNTA(SPLIT(AK10, "" "")), 0)"),4.0)</f>
        <v>4</v>
      </c>
    </row>
    <row r="11" ht="60.0" customHeight="1">
      <c r="A11" s="39">
        <v>10.0</v>
      </c>
      <c r="B11" s="108">
        <v>4.0073904E7</v>
      </c>
      <c r="C11" s="108">
        <v>0.0</v>
      </c>
      <c r="D11" s="108" t="s">
        <v>229</v>
      </c>
      <c r="E11" s="63" t="s">
        <v>31</v>
      </c>
      <c r="F11" s="109" t="str">
        <f>+IFERROR(VLOOKUP(E11,'Feriados y Comunas'!$C$1:$D$36,2,FALSE),"")</f>
        <v>CHILOÉ</v>
      </c>
      <c r="G11" s="110">
        <v>45975.0</v>
      </c>
      <c r="H11" s="111">
        <v>336000.0</v>
      </c>
      <c r="I11" s="142">
        <v>320000.0</v>
      </c>
      <c r="J11" s="108" t="s">
        <v>105</v>
      </c>
      <c r="K11" s="108">
        <v>2026.0</v>
      </c>
      <c r="L11" s="112" t="s">
        <v>106</v>
      </c>
      <c r="M11" s="70" t="s">
        <v>231</v>
      </c>
      <c r="N11" s="114" t="s">
        <v>160</v>
      </c>
      <c r="O11" s="114" t="s">
        <v>108</v>
      </c>
      <c r="P11" s="56"/>
      <c r="Q11" s="56" t="s">
        <v>217</v>
      </c>
      <c r="R11" s="56" t="s">
        <v>218</v>
      </c>
      <c r="S11" s="108">
        <v>2865.0</v>
      </c>
      <c r="T11" s="108">
        <v>2854.0</v>
      </c>
      <c r="U11" s="108">
        <f t="shared" si="2"/>
        <v>5719</v>
      </c>
      <c r="V11" s="112" t="s">
        <v>232</v>
      </c>
      <c r="W11" s="112" t="s">
        <v>232</v>
      </c>
      <c r="X11" s="108">
        <v>1018.0</v>
      </c>
      <c r="Y11" s="110">
        <v>45975.0</v>
      </c>
      <c r="Z11" s="110"/>
      <c r="AA11" s="110"/>
      <c r="AB11" s="118"/>
      <c r="AC11" s="110">
        <v>45975.0</v>
      </c>
      <c r="AD11" s="134">
        <f>WORKDAY(AC11,15,'Feriados y Comunas'!A$2:A$26)</f>
        <v>45996</v>
      </c>
      <c r="AE11" s="63" t="s">
        <v>180</v>
      </c>
      <c r="AF11" s="143"/>
      <c r="AG11" s="144"/>
      <c r="AH11" s="144"/>
      <c r="AI11" s="145"/>
      <c r="AJ11" s="124" t="s">
        <v>233</v>
      </c>
      <c r="AK11" s="147" t="s">
        <v>234</v>
      </c>
      <c r="AL11" s="147" t="s">
        <v>235</v>
      </c>
      <c r="AM11" s="125" t="s">
        <v>236</v>
      </c>
      <c r="AN11" s="124" t="s">
        <v>237</v>
      </c>
      <c r="AO11" s="124" t="s">
        <v>238</v>
      </c>
      <c r="AP11" s="118"/>
      <c r="AQ11" s="124" t="s">
        <v>239</v>
      </c>
      <c r="AR11" s="108">
        <v>3355.0</v>
      </c>
      <c r="AS11" s="119">
        <v>46009.0</v>
      </c>
      <c r="AT11" s="108"/>
      <c r="AU11" s="119"/>
      <c r="AV11" s="102">
        <v>46224.0</v>
      </c>
      <c r="AW11" s="74" t="s">
        <v>121</v>
      </c>
      <c r="AX11" s="108">
        <v>20.0</v>
      </c>
      <c r="AY11" s="39">
        <f>IFERROR(__xludf.DUMMYFUNCTION("IFERROR(COUNTA(SPLIT(AK11, "" "")), 0)"),4.0)</f>
        <v>4</v>
      </c>
    </row>
    <row r="12" ht="72.0" customHeight="1">
      <c r="A12" s="39">
        <v>11.0</v>
      </c>
      <c r="B12" s="148">
        <v>4.0078509E7</v>
      </c>
      <c r="C12" s="148">
        <v>0.0</v>
      </c>
      <c r="D12" s="148" t="s">
        <v>240</v>
      </c>
      <c r="E12" s="125" t="s">
        <v>57</v>
      </c>
      <c r="F12" s="109" t="str">
        <f>+IFERROR(VLOOKUP(E12,'Feriados y Comunas'!$C$1:$D$36,2,FALSE),"")</f>
        <v>OSORNO</v>
      </c>
      <c r="G12" s="149">
        <v>46231.0</v>
      </c>
      <c r="H12" s="142">
        <v>163832.0</v>
      </c>
      <c r="I12" s="142">
        <v>193063.0</v>
      </c>
      <c r="J12" s="148" t="s">
        <v>105</v>
      </c>
      <c r="K12" s="148">
        <v>2026.0</v>
      </c>
      <c r="L12" s="147" t="s">
        <v>241</v>
      </c>
      <c r="M12" s="70" t="s">
        <v>242</v>
      </c>
      <c r="N12" s="114" t="s">
        <v>160</v>
      </c>
      <c r="O12" s="114" t="s">
        <v>108</v>
      </c>
      <c r="P12" s="56"/>
      <c r="Q12" s="56"/>
      <c r="R12" s="56"/>
      <c r="S12" s="148">
        <v>330.0</v>
      </c>
      <c r="T12" s="148">
        <v>340.0</v>
      </c>
      <c r="U12" s="148">
        <v>670.0</v>
      </c>
      <c r="V12" s="147" t="s">
        <v>243</v>
      </c>
      <c r="W12" s="147" t="s">
        <v>243</v>
      </c>
      <c r="X12" s="148">
        <v>880.0</v>
      </c>
      <c r="Y12" s="149">
        <v>46230.0</v>
      </c>
      <c r="Z12" s="110"/>
      <c r="AA12" s="149">
        <v>46231.0</v>
      </c>
      <c r="AB12" s="149">
        <v>46231.0</v>
      </c>
      <c r="AC12" s="149">
        <v>46231.0</v>
      </c>
      <c r="AD12" s="134">
        <f>WORKDAY(AC12,15,'Feriados y Comunas'!A$2:A$26)</f>
        <v>46252</v>
      </c>
      <c r="AE12" s="147" t="s">
        <v>244</v>
      </c>
      <c r="AF12" s="112"/>
      <c r="AG12" s="112"/>
      <c r="AH12" s="112"/>
      <c r="AI12" s="150"/>
      <c r="AJ12" s="124" t="s">
        <v>246</v>
      </c>
      <c r="AK12" s="124" t="s">
        <v>247</v>
      </c>
      <c r="AL12" s="124" t="s">
        <v>248</v>
      </c>
      <c r="AM12" s="136" t="s">
        <v>249</v>
      </c>
      <c r="AN12" s="124" t="s">
        <v>250</v>
      </c>
      <c r="AO12" s="124" t="s">
        <v>251</v>
      </c>
      <c r="AP12" s="151"/>
      <c r="AQ12" s="124" t="s">
        <v>252</v>
      </c>
      <c r="AR12" s="116"/>
      <c r="AS12" s="146"/>
      <c r="AT12" s="116"/>
      <c r="AU12" s="146"/>
      <c r="AV12" s="102">
        <v>46262.0</v>
      </c>
      <c r="AW12" s="74" t="s">
        <v>121</v>
      </c>
      <c r="AX12" s="108"/>
      <c r="AY12" s="39">
        <f>IFERROR(__xludf.DUMMYFUNCTION("IFERROR(COUNTA(SPLIT(AK12, "" "")), 0)"),6.0)</f>
        <v>6</v>
      </c>
    </row>
    <row r="13" ht="60.0" customHeight="1">
      <c r="A13" s="39">
        <v>12.0</v>
      </c>
      <c r="B13" s="108">
        <v>4.007355E7</v>
      </c>
      <c r="C13" s="108">
        <v>0.0</v>
      </c>
      <c r="D13" s="108" t="s">
        <v>253</v>
      </c>
      <c r="E13" s="63" t="s">
        <v>18</v>
      </c>
      <c r="F13" s="109" t="str">
        <f>+IFERROR(VLOOKUP(E13,'Feriados y Comunas'!$C$1:$D$36,2,FALSE),"")</f>
        <v>LLANQUIHUE</v>
      </c>
      <c r="G13" s="110">
        <v>45923.0</v>
      </c>
      <c r="H13" s="111">
        <v>213266.0</v>
      </c>
      <c r="I13" s="111"/>
      <c r="J13" s="108" t="s">
        <v>105</v>
      </c>
      <c r="K13" s="108">
        <v>2026.0</v>
      </c>
      <c r="L13" s="112" t="s">
        <v>106</v>
      </c>
      <c r="M13" s="152" t="s">
        <v>254</v>
      </c>
      <c r="N13" s="153">
        <v>45953.0</v>
      </c>
      <c r="O13" s="154"/>
      <c r="P13" s="56"/>
      <c r="Q13" s="56" t="s">
        <v>255</v>
      </c>
      <c r="R13" s="56" t="s">
        <v>256</v>
      </c>
      <c r="S13" s="108">
        <v>128.0</v>
      </c>
      <c r="T13" s="108">
        <v>110.0</v>
      </c>
      <c r="U13" s="108">
        <f t="shared" ref="U13:U17" si="3">SUM(S13:T13)</f>
        <v>238</v>
      </c>
      <c r="V13" s="112" t="s">
        <v>219</v>
      </c>
      <c r="W13" s="112" t="s">
        <v>219</v>
      </c>
      <c r="X13" s="108">
        <v>756.0</v>
      </c>
      <c r="Y13" s="110">
        <v>45915.0</v>
      </c>
      <c r="Z13" s="110"/>
      <c r="AA13" s="110">
        <v>45923.0</v>
      </c>
      <c r="AB13" s="110">
        <v>45923.0</v>
      </c>
      <c r="AC13" s="110">
        <v>45923.0</v>
      </c>
      <c r="AD13" s="134">
        <f>WORKDAY(AC13,15,'Feriados y Comunas'!A$2:A$26)</f>
        <v>45944</v>
      </c>
      <c r="AE13" s="63" t="s">
        <v>180</v>
      </c>
      <c r="AF13" s="143"/>
      <c r="AG13" s="143"/>
      <c r="AH13" s="144"/>
      <c r="AI13" s="145"/>
      <c r="AJ13" s="116" t="s">
        <v>259</v>
      </c>
      <c r="AK13" s="116" t="s">
        <v>260</v>
      </c>
      <c r="AL13" s="155" t="s">
        <v>261</v>
      </c>
      <c r="AM13" s="63" t="s">
        <v>262</v>
      </c>
      <c r="AN13" s="108">
        <v>899.0</v>
      </c>
      <c r="AO13" s="118">
        <v>45972.0</v>
      </c>
      <c r="AP13" s="118"/>
      <c r="AQ13" s="118">
        <v>45972.0</v>
      </c>
      <c r="AR13" s="108">
        <v>2828.0</v>
      </c>
      <c r="AS13" s="119">
        <v>45957.0</v>
      </c>
      <c r="AT13" s="108"/>
      <c r="AU13" s="119"/>
      <c r="AV13" s="156"/>
      <c r="AW13" s="103" t="s">
        <v>263</v>
      </c>
      <c r="AX13" s="108">
        <v>22.0</v>
      </c>
      <c r="AY13" s="39">
        <f>IFERROR(__xludf.DUMMYFUNCTION("IFERROR(COUNTA(SPLIT(AK13, "" "")), 0)"),2.0)</f>
        <v>2</v>
      </c>
    </row>
    <row r="14" ht="60.0" customHeight="1">
      <c r="A14" s="39">
        <v>13.0</v>
      </c>
      <c r="B14" s="108">
        <v>4.0073716E7</v>
      </c>
      <c r="C14" s="108">
        <v>0.0</v>
      </c>
      <c r="D14" s="108" t="s">
        <v>264</v>
      </c>
      <c r="E14" s="63" t="s">
        <v>9</v>
      </c>
      <c r="F14" s="109" t="str">
        <f>+IFERROR(VLOOKUP(E14,'Feriados y Comunas'!$C$1:$D$36,2,FALSE),"")</f>
        <v>LLANQUIHUE</v>
      </c>
      <c r="G14" s="110">
        <v>45960.0</v>
      </c>
      <c r="H14" s="111">
        <v>140909.0</v>
      </c>
      <c r="I14" s="111"/>
      <c r="J14" s="108" t="s">
        <v>105</v>
      </c>
      <c r="K14" s="108">
        <v>2026.0</v>
      </c>
      <c r="L14" s="112" t="s">
        <v>174</v>
      </c>
      <c r="M14" s="152" t="s">
        <v>265</v>
      </c>
      <c r="N14" s="153">
        <v>45975.0</v>
      </c>
      <c r="O14" s="154"/>
      <c r="P14" s="56"/>
      <c r="Q14" s="56" t="s">
        <v>266</v>
      </c>
      <c r="R14" s="56" t="s">
        <v>267</v>
      </c>
      <c r="S14" s="108">
        <v>1059.0</v>
      </c>
      <c r="T14" s="108">
        <v>1159.0</v>
      </c>
      <c r="U14" s="108">
        <f t="shared" si="3"/>
        <v>2218</v>
      </c>
      <c r="V14" s="112" t="s">
        <v>268</v>
      </c>
      <c r="W14" s="112" t="s">
        <v>268</v>
      </c>
      <c r="X14" s="108">
        <v>72.0</v>
      </c>
      <c r="Y14" s="110">
        <v>45960.0</v>
      </c>
      <c r="Z14" s="110"/>
      <c r="AA14" s="110">
        <v>45964.0</v>
      </c>
      <c r="AB14" s="110">
        <v>45964.0</v>
      </c>
      <c r="AC14" s="110">
        <v>45964.0</v>
      </c>
      <c r="AD14" s="134">
        <f>WORKDAY(AC14,15,'Feriados y Comunas'!A$2:A$26)</f>
        <v>45985</v>
      </c>
      <c r="AE14" s="63" t="s">
        <v>180</v>
      </c>
      <c r="AF14" s="143"/>
      <c r="AG14" s="143"/>
      <c r="AH14" s="144"/>
      <c r="AI14" s="145"/>
      <c r="AJ14" s="108">
        <v>3077.0</v>
      </c>
      <c r="AK14" s="118" t="s">
        <v>269</v>
      </c>
      <c r="AL14" s="118">
        <v>45975.0</v>
      </c>
      <c r="AM14" s="63" t="s">
        <v>270</v>
      </c>
      <c r="AN14" s="116"/>
      <c r="AO14" s="118"/>
      <c r="AP14" s="118"/>
      <c r="AQ14" s="118"/>
      <c r="AR14" s="108">
        <v>3077.0</v>
      </c>
      <c r="AS14" s="119">
        <v>45975.0</v>
      </c>
      <c r="AT14" s="108"/>
      <c r="AU14" s="119"/>
      <c r="AV14" s="156"/>
      <c r="AW14" s="103" t="s">
        <v>263</v>
      </c>
      <c r="AX14" s="108">
        <v>10.0</v>
      </c>
      <c r="AY14" s="39">
        <f>IFERROR(__xludf.DUMMYFUNCTION("IFERROR(COUNTA(SPLIT(AK14, "" "")), 0)"),1.0)</f>
        <v>1</v>
      </c>
    </row>
    <row r="15" ht="60.0" customHeight="1">
      <c r="A15" s="39">
        <v>14.0</v>
      </c>
      <c r="B15" s="116">
        <v>4.0066308E7</v>
      </c>
      <c r="C15" s="116">
        <v>0.0</v>
      </c>
      <c r="D15" s="63" t="s">
        <v>271</v>
      </c>
      <c r="E15" s="63" t="s">
        <v>41</v>
      </c>
      <c r="F15" s="109" t="str">
        <f>+IFERROR(VLOOKUP(E15,'Feriados y Comunas'!$C$1:$D$36,2,FALSE),"")</f>
        <v>CHILOÉ</v>
      </c>
      <c r="G15" s="110">
        <v>45749.0</v>
      </c>
      <c r="H15" s="157">
        <v>212093.0</v>
      </c>
      <c r="I15" s="157"/>
      <c r="J15" s="109" t="s">
        <v>105</v>
      </c>
      <c r="K15" s="108">
        <v>2026.0</v>
      </c>
      <c r="L15" s="109" t="s">
        <v>106</v>
      </c>
      <c r="M15" s="158" t="s">
        <v>272</v>
      </c>
      <c r="N15" s="159">
        <v>45806.0</v>
      </c>
      <c r="O15" s="160"/>
      <c r="P15" s="109"/>
      <c r="Q15" s="161" t="s">
        <v>255</v>
      </c>
      <c r="R15" s="161" t="s">
        <v>273</v>
      </c>
      <c r="S15" s="162">
        <v>175.0</v>
      </c>
      <c r="T15" s="162">
        <v>186.0</v>
      </c>
      <c r="U15" s="162">
        <f t="shared" si="3"/>
        <v>361</v>
      </c>
      <c r="V15" s="109" t="s">
        <v>135</v>
      </c>
      <c r="W15" s="109" t="s">
        <v>135</v>
      </c>
      <c r="X15" s="116">
        <v>207.0</v>
      </c>
      <c r="Y15" s="151">
        <v>45749.0</v>
      </c>
      <c r="Z15" s="163"/>
      <c r="AA15" s="163"/>
      <c r="AB15" s="163"/>
      <c r="AC15" s="151">
        <v>45750.0</v>
      </c>
      <c r="AD15" s="99">
        <f>WORKDAY(AC15,15,'Feriados y Comunas'!A$2:A$26)</f>
        <v>45772</v>
      </c>
      <c r="AE15" s="63" t="s">
        <v>113</v>
      </c>
      <c r="AF15" s="164"/>
      <c r="AG15" s="164"/>
      <c r="AH15" s="165"/>
      <c r="AI15" s="166"/>
      <c r="AJ15" s="108">
        <v>1165.0</v>
      </c>
      <c r="AK15" s="118">
        <v>45811.0</v>
      </c>
      <c r="AL15" s="118">
        <v>45806.0</v>
      </c>
      <c r="AM15" s="63" t="s">
        <v>270</v>
      </c>
      <c r="AN15" s="63"/>
      <c r="AO15" s="167"/>
      <c r="AP15" s="167"/>
      <c r="AQ15" s="167"/>
      <c r="AR15" s="108">
        <v>1165.0</v>
      </c>
      <c r="AS15" s="119">
        <v>45811.0</v>
      </c>
      <c r="AT15" s="116"/>
      <c r="AU15" s="146"/>
      <c r="AV15" s="156"/>
      <c r="AW15" s="103" t="s">
        <v>114</v>
      </c>
      <c r="AX15" s="116">
        <v>37.0</v>
      </c>
      <c r="AY15" s="39">
        <f>IFERROR(__xludf.DUMMYFUNCTION("IFERROR(COUNTA(SPLIT(AK15, "" "")), 0)"),1.0)</f>
        <v>1</v>
      </c>
    </row>
    <row r="16" ht="60.0" customHeight="1">
      <c r="A16" s="39">
        <v>15.0</v>
      </c>
      <c r="B16" s="108">
        <v>4.006635E7</v>
      </c>
      <c r="C16" s="108">
        <v>0.0</v>
      </c>
      <c r="D16" s="108" t="s">
        <v>275</v>
      </c>
      <c r="E16" s="63" t="s">
        <v>66</v>
      </c>
      <c r="F16" s="109" t="str">
        <f>+IFERROR(VLOOKUP(E16,'Feriados y Comunas'!$C$1:$D$36,2,FALSE),"")</f>
        <v>OSORNO</v>
      </c>
      <c r="G16" s="110">
        <v>45853.0</v>
      </c>
      <c r="H16" s="111">
        <v>164000.0</v>
      </c>
      <c r="I16" s="111"/>
      <c r="J16" s="108" t="s">
        <v>105</v>
      </c>
      <c r="K16" s="108">
        <v>2026.0</v>
      </c>
      <c r="L16" s="63" t="s">
        <v>106</v>
      </c>
      <c r="M16" s="152" t="s">
        <v>276</v>
      </c>
      <c r="N16" s="114" t="s">
        <v>277</v>
      </c>
      <c r="O16" s="154"/>
      <c r="P16" s="56"/>
      <c r="Q16" s="161" t="s">
        <v>255</v>
      </c>
      <c r="R16" s="161" t="s">
        <v>273</v>
      </c>
      <c r="S16" s="108">
        <v>68.0</v>
      </c>
      <c r="T16" s="108">
        <v>80.0</v>
      </c>
      <c r="U16" s="108">
        <f t="shared" si="3"/>
        <v>148</v>
      </c>
      <c r="V16" s="112" t="s">
        <v>278</v>
      </c>
      <c r="W16" s="112" t="s">
        <v>278</v>
      </c>
      <c r="X16" s="108">
        <v>50.0</v>
      </c>
      <c r="Y16" s="110">
        <v>45852.0</v>
      </c>
      <c r="Z16" s="110"/>
      <c r="AA16" s="110">
        <v>45853.0</v>
      </c>
      <c r="AB16" s="110">
        <v>45853.0</v>
      </c>
      <c r="AC16" s="110">
        <v>45853.0</v>
      </c>
      <c r="AD16" s="134">
        <f>WORKDAY(AC16,15,'Feriados y Comunas'!A$2:A$26)</f>
        <v>45875</v>
      </c>
      <c r="AE16" s="63"/>
      <c r="AF16" s="143"/>
      <c r="AG16" s="143"/>
      <c r="AH16" s="144"/>
      <c r="AI16" s="145"/>
      <c r="AJ16" s="108">
        <v>1669.0</v>
      </c>
      <c r="AK16" s="118">
        <v>45860.0</v>
      </c>
      <c r="AL16" s="118">
        <v>45856.0</v>
      </c>
      <c r="AM16" s="63" t="s">
        <v>270</v>
      </c>
      <c r="AN16" s="108"/>
      <c r="AO16" s="118"/>
      <c r="AP16" s="118"/>
      <c r="AQ16" s="118"/>
      <c r="AR16" s="108">
        <v>1669.0</v>
      </c>
      <c r="AS16" s="119">
        <v>45860.0</v>
      </c>
      <c r="AT16" s="108"/>
      <c r="AU16" s="119"/>
      <c r="AV16" s="156"/>
      <c r="AW16" s="103" t="s">
        <v>114</v>
      </c>
      <c r="AX16" s="108">
        <v>2.0</v>
      </c>
      <c r="AY16" s="39">
        <f>IFERROR(__xludf.DUMMYFUNCTION("IFERROR(COUNTA(SPLIT(AK16, "" "")), 0)"),1.0)</f>
        <v>1</v>
      </c>
    </row>
    <row r="17" ht="60.0" customHeight="1">
      <c r="A17" s="39">
        <v>16.0</v>
      </c>
      <c r="B17" s="108">
        <v>4.0066406E7</v>
      </c>
      <c r="C17" s="108">
        <v>0.0</v>
      </c>
      <c r="D17" s="108" t="s">
        <v>279</v>
      </c>
      <c r="E17" s="63" t="s">
        <v>66</v>
      </c>
      <c r="F17" s="109" t="str">
        <f>+IFERROR(VLOOKUP(E17,'Feriados y Comunas'!$C$1:$D$36,2,FALSE),"")</f>
        <v>OSORNO</v>
      </c>
      <c r="G17" s="110">
        <v>45853.0</v>
      </c>
      <c r="H17" s="111">
        <v>159000.0</v>
      </c>
      <c r="I17" s="111"/>
      <c r="J17" s="108" t="s">
        <v>105</v>
      </c>
      <c r="K17" s="108">
        <v>2026.0</v>
      </c>
      <c r="L17" s="63" t="s">
        <v>106</v>
      </c>
      <c r="M17" s="152" t="s">
        <v>280</v>
      </c>
      <c r="N17" s="159">
        <v>45856.0</v>
      </c>
      <c r="O17" s="154"/>
      <c r="P17" s="56"/>
      <c r="Q17" s="161" t="s">
        <v>255</v>
      </c>
      <c r="R17" s="161" t="s">
        <v>273</v>
      </c>
      <c r="S17" s="108">
        <v>197.0</v>
      </c>
      <c r="T17" s="108">
        <v>204.0</v>
      </c>
      <c r="U17" s="108">
        <f t="shared" si="3"/>
        <v>401</v>
      </c>
      <c r="V17" s="112" t="s">
        <v>278</v>
      </c>
      <c r="W17" s="112" t="s">
        <v>278</v>
      </c>
      <c r="X17" s="108">
        <v>51.0</v>
      </c>
      <c r="Y17" s="110">
        <v>45853.0</v>
      </c>
      <c r="Z17" s="110"/>
      <c r="AA17" s="110">
        <v>45853.0</v>
      </c>
      <c r="AB17" s="110">
        <v>45853.0</v>
      </c>
      <c r="AC17" s="110">
        <v>45853.0</v>
      </c>
      <c r="AD17" s="134">
        <f>WORKDAY(AC17,15,'Feriados y Comunas'!A$2:A$26)</f>
        <v>45875</v>
      </c>
      <c r="AE17" s="63"/>
      <c r="AF17" s="143"/>
      <c r="AG17" s="143"/>
      <c r="AH17" s="144"/>
      <c r="AI17" s="145"/>
      <c r="AJ17" s="108">
        <v>1670.0</v>
      </c>
      <c r="AK17" s="118">
        <v>45860.0</v>
      </c>
      <c r="AL17" s="118">
        <v>45856.0</v>
      </c>
      <c r="AM17" s="63" t="s">
        <v>270</v>
      </c>
      <c r="AN17" s="108"/>
      <c r="AO17" s="118"/>
      <c r="AP17" s="118"/>
      <c r="AQ17" s="118"/>
      <c r="AR17" s="108">
        <v>1670.0</v>
      </c>
      <c r="AS17" s="119">
        <v>45860.0</v>
      </c>
      <c r="AT17" s="108"/>
      <c r="AU17" s="119"/>
      <c r="AV17" s="156"/>
      <c r="AW17" s="103" t="s">
        <v>114</v>
      </c>
      <c r="AX17" s="108">
        <v>2.0</v>
      </c>
      <c r="AY17" s="39">
        <f>IFERROR(__xludf.DUMMYFUNCTION("IFERROR(COUNTA(SPLIT(AK17, "" "")), 0)"),1.0)</f>
        <v>1</v>
      </c>
    </row>
    <row r="18" ht="60.0" customHeight="1">
      <c r="A18" s="39">
        <v>17.0</v>
      </c>
      <c r="B18" s="108">
        <v>4.0074807E7</v>
      </c>
      <c r="C18" s="108">
        <v>0.0</v>
      </c>
      <c r="D18" s="108" t="s">
        <v>283</v>
      </c>
      <c r="E18" s="63" t="s">
        <v>14</v>
      </c>
      <c r="F18" s="109" t="str">
        <f>+IFERROR(VLOOKUP(E18,'Feriados y Comunas'!$C$1:$D$36,2,FALSE),"")</f>
        <v>LLANQUIHUE</v>
      </c>
      <c r="G18" s="110">
        <v>45873.0</v>
      </c>
      <c r="H18" s="111">
        <v>160000.0</v>
      </c>
      <c r="I18" s="111"/>
      <c r="J18" s="108" t="s">
        <v>105</v>
      </c>
      <c r="K18" s="108">
        <v>2026.0</v>
      </c>
      <c r="L18" s="112" t="s">
        <v>241</v>
      </c>
      <c r="M18" s="152" t="s">
        <v>284</v>
      </c>
      <c r="N18" s="159">
        <v>45877.0</v>
      </c>
      <c r="O18" s="154"/>
      <c r="P18" s="56"/>
      <c r="Q18" s="161" t="s">
        <v>255</v>
      </c>
      <c r="R18" s="161" t="s">
        <v>273</v>
      </c>
      <c r="S18" s="108"/>
      <c r="T18" s="108"/>
      <c r="U18" s="108"/>
      <c r="V18" s="112" t="s">
        <v>285</v>
      </c>
      <c r="W18" s="112" t="s">
        <v>285</v>
      </c>
      <c r="X18" s="108">
        <v>691.0</v>
      </c>
      <c r="Y18" s="110">
        <v>45869.0</v>
      </c>
      <c r="Z18" s="110"/>
      <c r="AA18" s="110">
        <v>45873.0</v>
      </c>
      <c r="AB18" s="110">
        <v>45873.0</v>
      </c>
      <c r="AC18" s="110">
        <v>45873.0</v>
      </c>
      <c r="AD18" s="134">
        <f>WORKDAY(AC18,15,'Feriados y Comunas'!A$2:A$26)</f>
        <v>45895</v>
      </c>
      <c r="AE18" s="63"/>
      <c r="AF18" s="143"/>
      <c r="AG18" s="143"/>
      <c r="AH18" s="144"/>
      <c r="AI18" s="145"/>
      <c r="AJ18" s="108">
        <v>1968.0</v>
      </c>
      <c r="AK18" s="118">
        <v>45881.0</v>
      </c>
      <c r="AL18" s="118">
        <v>45877.0</v>
      </c>
      <c r="AM18" s="63" t="s">
        <v>270</v>
      </c>
      <c r="AN18" s="108"/>
      <c r="AO18" s="118"/>
      <c r="AP18" s="118"/>
      <c r="AQ18" s="118"/>
      <c r="AR18" s="108">
        <v>1968.0</v>
      </c>
      <c r="AS18" s="119">
        <v>45881.0</v>
      </c>
      <c r="AT18" s="108"/>
      <c r="AU18" s="119"/>
      <c r="AV18" s="156"/>
      <c r="AW18" s="103" t="s">
        <v>114</v>
      </c>
      <c r="AX18" s="108">
        <v>4.0</v>
      </c>
      <c r="AY18" s="39">
        <f>IFERROR(__xludf.DUMMYFUNCTION("IFERROR(COUNTA(SPLIT(AK18, "" "")), 0)"),1.0)</f>
        <v>1</v>
      </c>
    </row>
    <row r="19" ht="60.0" customHeight="1">
      <c r="A19" s="39">
        <v>18.0</v>
      </c>
      <c r="B19" s="108">
        <v>4.0073344E7</v>
      </c>
      <c r="C19" s="108">
        <v>0.0</v>
      </c>
      <c r="D19" s="108" t="s">
        <v>286</v>
      </c>
      <c r="E19" s="63" t="s">
        <v>26</v>
      </c>
      <c r="F19" s="109" t="str">
        <f>+IFERROR(VLOOKUP(E19,'Feriados y Comunas'!$C$1:$D$36,2,FALSE),"")</f>
        <v>CHILOÉ</v>
      </c>
      <c r="G19" s="110">
        <v>45876.0</v>
      </c>
      <c r="H19" s="111">
        <v>215349.0</v>
      </c>
      <c r="I19" s="111"/>
      <c r="J19" s="108" t="s">
        <v>105</v>
      </c>
      <c r="K19" s="108">
        <v>2026.0</v>
      </c>
      <c r="L19" s="112" t="s">
        <v>241</v>
      </c>
      <c r="M19" s="152" t="s">
        <v>287</v>
      </c>
      <c r="N19" s="159">
        <v>45898.0</v>
      </c>
      <c r="O19" s="154"/>
      <c r="P19" s="56"/>
      <c r="Q19" s="161" t="s">
        <v>288</v>
      </c>
      <c r="R19" s="161" t="s">
        <v>289</v>
      </c>
      <c r="S19" s="108">
        <v>288.0</v>
      </c>
      <c r="T19" s="108">
        <v>312.0</v>
      </c>
      <c r="U19" s="108">
        <f t="shared" ref="U19:U33" si="4">SUM(S19:T19)</f>
        <v>600</v>
      </c>
      <c r="V19" s="112" t="s">
        <v>290</v>
      </c>
      <c r="W19" s="112" t="s">
        <v>290</v>
      </c>
      <c r="X19" s="108">
        <v>1079.0</v>
      </c>
      <c r="Y19" s="110">
        <v>45874.0</v>
      </c>
      <c r="Z19" s="110"/>
      <c r="AA19" s="110">
        <v>45876.0</v>
      </c>
      <c r="AB19" s="110">
        <v>45876.0</v>
      </c>
      <c r="AC19" s="110">
        <v>45876.0</v>
      </c>
      <c r="AD19" s="134">
        <f>WORKDAY(AC19,15,'Feriados y Comunas'!A$2:A$26)</f>
        <v>45898</v>
      </c>
      <c r="AE19" s="63"/>
      <c r="AF19" s="143"/>
      <c r="AG19" s="143"/>
      <c r="AH19" s="144"/>
      <c r="AI19" s="145"/>
      <c r="AJ19" s="108">
        <v>2276.0</v>
      </c>
      <c r="AK19" s="118">
        <v>45902.0</v>
      </c>
      <c r="AL19" s="118">
        <v>45898.0</v>
      </c>
      <c r="AM19" s="63" t="s">
        <v>270</v>
      </c>
      <c r="AN19" s="108"/>
      <c r="AO19" s="118"/>
      <c r="AP19" s="118"/>
      <c r="AQ19" s="118"/>
      <c r="AR19" s="108">
        <v>2276.0</v>
      </c>
      <c r="AS19" s="119">
        <v>45902.0</v>
      </c>
      <c r="AT19" s="108"/>
      <c r="AU19" s="119"/>
      <c r="AV19" s="156"/>
      <c r="AW19" s="103" t="s">
        <v>114</v>
      </c>
      <c r="AX19" s="108">
        <v>15.0</v>
      </c>
      <c r="AY19" s="39">
        <f>IFERROR(__xludf.DUMMYFUNCTION("IFERROR(COUNTA(SPLIT(AK19, "" "")), 0)"),1.0)</f>
        <v>1</v>
      </c>
    </row>
    <row r="20" ht="60.0" customHeight="1">
      <c r="A20" s="120">
        <v>19.0</v>
      </c>
      <c r="B20" s="108">
        <v>4.0070936E7</v>
      </c>
      <c r="C20" s="108">
        <v>0.0</v>
      </c>
      <c r="D20" s="108" t="s">
        <v>291</v>
      </c>
      <c r="E20" s="63" t="s">
        <v>45</v>
      </c>
      <c r="F20" s="109" t="str">
        <f>+IFERROR(VLOOKUP(E20,'Feriados y Comunas'!$C$1:$D$36,2,FALSE),"")</f>
        <v>CHILOÉ</v>
      </c>
      <c r="G20" s="110">
        <v>45883.0</v>
      </c>
      <c r="H20" s="111">
        <v>326436.0</v>
      </c>
      <c r="I20" s="111"/>
      <c r="J20" s="108" t="s">
        <v>105</v>
      </c>
      <c r="K20" s="108">
        <v>2026.0</v>
      </c>
      <c r="L20" s="112" t="s">
        <v>292</v>
      </c>
      <c r="M20" s="152" t="s">
        <v>294</v>
      </c>
      <c r="N20" s="159">
        <v>45898.0</v>
      </c>
      <c r="O20" s="154"/>
      <c r="P20" s="56"/>
      <c r="Q20" s="56" t="s">
        <v>295</v>
      </c>
      <c r="R20" s="56" t="s">
        <v>296</v>
      </c>
      <c r="S20" s="108">
        <v>20.0</v>
      </c>
      <c r="T20" s="108">
        <v>28.0</v>
      </c>
      <c r="U20" s="108">
        <f t="shared" si="4"/>
        <v>48</v>
      </c>
      <c r="V20" s="112" t="s">
        <v>297</v>
      </c>
      <c r="W20" s="112" t="s">
        <v>297</v>
      </c>
      <c r="X20" s="108">
        <v>329.0</v>
      </c>
      <c r="Y20" s="110">
        <v>45859.0</v>
      </c>
      <c r="Z20" s="110"/>
      <c r="AA20" s="110">
        <v>45883.0</v>
      </c>
      <c r="AB20" s="110">
        <v>45883.0</v>
      </c>
      <c r="AC20" s="110">
        <v>45883.0</v>
      </c>
      <c r="AD20" s="134">
        <f>WORKDAY(AC20,15,'Feriados y Comunas'!A$2:A$26)</f>
        <v>45905</v>
      </c>
      <c r="AE20" s="63" t="s">
        <v>180</v>
      </c>
      <c r="AF20" s="143"/>
      <c r="AG20" s="143"/>
      <c r="AH20" s="144"/>
      <c r="AI20" s="145"/>
      <c r="AJ20" s="108">
        <v>2271.0</v>
      </c>
      <c r="AK20" s="118">
        <v>45902.0</v>
      </c>
      <c r="AL20" s="118">
        <v>45898.0</v>
      </c>
      <c r="AM20" s="63" t="s">
        <v>270</v>
      </c>
      <c r="AN20" s="108"/>
      <c r="AO20" s="118"/>
      <c r="AP20" s="118"/>
      <c r="AQ20" s="118"/>
      <c r="AR20" s="108">
        <v>2271.0</v>
      </c>
      <c r="AS20" s="119">
        <v>45902.0</v>
      </c>
      <c r="AT20" s="108"/>
      <c r="AU20" s="119"/>
      <c r="AV20" s="156"/>
      <c r="AW20" s="103" t="s">
        <v>114</v>
      </c>
      <c r="AX20" s="108">
        <v>12.0</v>
      </c>
      <c r="AY20" s="39">
        <f>IFERROR(__xludf.DUMMYFUNCTION("IFERROR(COUNTA(SPLIT(AK20, "" "")), 0)"),1.0)</f>
        <v>1</v>
      </c>
    </row>
    <row r="21" ht="60.0" customHeight="1">
      <c r="A21" s="39">
        <v>20.0</v>
      </c>
      <c r="B21" s="108">
        <v>4.0071284E7</v>
      </c>
      <c r="C21" s="108">
        <v>0.0</v>
      </c>
      <c r="D21" s="108" t="s">
        <v>298</v>
      </c>
      <c r="E21" s="63" t="s">
        <v>45</v>
      </c>
      <c r="F21" s="109" t="str">
        <f>+IFERROR(VLOOKUP(E21,'Feriados y Comunas'!$C$1:$D$36,2,FALSE),"")</f>
        <v>CHILOÉ</v>
      </c>
      <c r="G21" s="110">
        <v>45901.0</v>
      </c>
      <c r="H21" s="111">
        <v>323060.0</v>
      </c>
      <c r="I21" s="111"/>
      <c r="J21" s="108" t="s">
        <v>105</v>
      </c>
      <c r="K21" s="108">
        <v>2026.0</v>
      </c>
      <c r="L21" s="112" t="s">
        <v>174</v>
      </c>
      <c r="M21" s="152" t="s">
        <v>299</v>
      </c>
      <c r="N21" s="159">
        <v>45926.0</v>
      </c>
      <c r="O21" s="154"/>
      <c r="P21" s="56"/>
      <c r="Q21" s="56" t="s">
        <v>300</v>
      </c>
      <c r="R21" s="56" t="s">
        <v>301</v>
      </c>
      <c r="S21" s="108">
        <v>180.0</v>
      </c>
      <c r="T21" s="108">
        <v>220.0</v>
      </c>
      <c r="U21" s="108">
        <f t="shared" si="4"/>
        <v>400</v>
      </c>
      <c r="V21" s="112" t="s">
        <v>297</v>
      </c>
      <c r="W21" s="112" t="s">
        <v>297</v>
      </c>
      <c r="X21" s="108">
        <v>328.0</v>
      </c>
      <c r="Y21" s="110">
        <v>45859.0</v>
      </c>
      <c r="Z21" s="110"/>
      <c r="AA21" s="110">
        <v>45901.0</v>
      </c>
      <c r="AB21" s="110">
        <v>45901.0</v>
      </c>
      <c r="AC21" s="110">
        <v>45901.0</v>
      </c>
      <c r="AD21" s="134">
        <f>WORKDAY(AC21,15,'Feriados y Comunas'!A$2:A$26)</f>
        <v>45924</v>
      </c>
      <c r="AE21" s="63" t="s">
        <v>180</v>
      </c>
      <c r="AF21" s="143"/>
      <c r="AG21" s="143"/>
      <c r="AH21" s="144"/>
      <c r="AI21" s="145"/>
      <c r="AJ21" s="116">
        <v>2519.0</v>
      </c>
      <c r="AK21" s="155">
        <v>45930.0</v>
      </c>
      <c r="AL21" s="155">
        <v>45926.0</v>
      </c>
      <c r="AM21" s="63" t="s">
        <v>270</v>
      </c>
      <c r="AN21" s="116"/>
      <c r="AO21" s="155"/>
      <c r="AP21" s="155"/>
      <c r="AQ21" s="155"/>
      <c r="AR21" s="116">
        <v>2519.0</v>
      </c>
      <c r="AS21" s="146">
        <v>45930.0</v>
      </c>
      <c r="AT21" s="108"/>
      <c r="AU21" s="119"/>
      <c r="AV21" s="156"/>
      <c r="AW21" s="103" t="s">
        <v>114</v>
      </c>
      <c r="AX21" s="108">
        <v>17.0</v>
      </c>
      <c r="AY21" s="39">
        <f>IFERROR(__xludf.DUMMYFUNCTION("IFERROR(COUNTA(SPLIT(AK21, "" "")), 0)"),1.0)</f>
        <v>1</v>
      </c>
    </row>
    <row r="22" ht="60.0" customHeight="1">
      <c r="A22" s="39">
        <v>21.0</v>
      </c>
      <c r="B22" s="108">
        <v>4.0072776E7</v>
      </c>
      <c r="C22" s="108">
        <v>0.0</v>
      </c>
      <c r="D22" s="108" t="s">
        <v>304</v>
      </c>
      <c r="E22" s="63" t="s">
        <v>12</v>
      </c>
      <c r="F22" s="109" t="str">
        <f>+IFERROR(VLOOKUP(E22,'Feriados y Comunas'!$C$1:$D$36,2,FALSE),"")</f>
        <v>LLANQUIHUE</v>
      </c>
      <c r="G22" s="110">
        <v>45901.0</v>
      </c>
      <c r="H22" s="111">
        <v>303000.0</v>
      </c>
      <c r="I22" s="111"/>
      <c r="J22" s="108" t="s">
        <v>105</v>
      </c>
      <c r="K22" s="108">
        <v>2026.0</v>
      </c>
      <c r="L22" s="112" t="s">
        <v>305</v>
      </c>
      <c r="M22" s="152" t="s">
        <v>306</v>
      </c>
      <c r="N22" s="159">
        <v>45933.0</v>
      </c>
      <c r="O22" s="154"/>
      <c r="P22" s="56"/>
      <c r="Q22" s="56" t="s">
        <v>307</v>
      </c>
      <c r="R22" s="56" t="s">
        <v>308</v>
      </c>
      <c r="S22" s="108">
        <v>1537.0</v>
      </c>
      <c r="T22" s="108">
        <v>1742.0</v>
      </c>
      <c r="U22" s="108">
        <f t="shared" si="4"/>
        <v>3279</v>
      </c>
      <c r="V22" s="112" t="s">
        <v>309</v>
      </c>
      <c r="W22" s="112" t="s">
        <v>309</v>
      </c>
      <c r="X22" s="108">
        <v>562.0</v>
      </c>
      <c r="Y22" s="110">
        <v>45897.0</v>
      </c>
      <c r="Z22" s="110"/>
      <c r="AA22" s="110">
        <v>45901.0</v>
      </c>
      <c r="AB22" s="110">
        <v>45901.0</v>
      </c>
      <c r="AC22" s="110">
        <v>45901.0</v>
      </c>
      <c r="AD22" s="134">
        <f>WORKDAY(AC22,15,'Feriados y Comunas'!A$2:A$26)</f>
        <v>45924</v>
      </c>
      <c r="AE22" s="63" t="s">
        <v>180</v>
      </c>
      <c r="AF22" s="143"/>
      <c r="AG22" s="143"/>
      <c r="AH22" s="144"/>
      <c r="AI22" s="145"/>
      <c r="AJ22" s="116" t="s">
        <v>310</v>
      </c>
      <c r="AK22" s="155" t="s">
        <v>311</v>
      </c>
      <c r="AL22" s="155" t="s">
        <v>312</v>
      </c>
      <c r="AM22" s="63" t="s">
        <v>313</v>
      </c>
      <c r="AN22" s="108">
        <v>764.0</v>
      </c>
      <c r="AO22" s="118">
        <v>45930.0</v>
      </c>
      <c r="AP22" s="118"/>
      <c r="AQ22" s="118">
        <v>45932.0</v>
      </c>
      <c r="AR22" s="116" t="s">
        <v>310</v>
      </c>
      <c r="AS22" s="146" t="s">
        <v>311</v>
      </c>
      <c r="AT22" s="108"/>
      <c r="AU22" s="119"/>
      <c r="AV22" s="156"/>
      <c r="AW22" s="103" t="s">
        <v>114</v>
      </c>
      <c r="AX22" s="108">
        <v>17.0</v>
      </c>
      <c r="AY22" s="39">
        <f>IFERROR(__xludf.DUMMYFUNCTION("IFERROR(COUNTA(SPLIT(AK22, "" "")), 0)"),2.0)</f>
        <v>2</v>
      </c>
    </row>
    <row r="23" ht="60.0" customHeight="1">
      <c r="A23" s="39">
        <v>22.0</v>
      </c>
      <c r="B23" s="108">
        <v>4.0072916E7</v>
      </c>
      <c r="C23" s="108">
        <v>0.0</v>
      </c>
      <c r="D23" s="108" t="s">
        <v>314</v>
      </c>
      <c r="E23" s="63" t="s">
        <v>9</v>
      </c>
      <c r="F23" s="109" t="str">
        <f>+IFERROR(VLOOKUP(E23,'Feriados y Comunas'!$C$1:$D$36,2,FALSE),"")</f>
        <v>LLANQUIHUE</v>
      </c>
      <c r="G23" s="110">
        <v>45903.0</v>
      </c>
      <c r="H23" s="111">
        <v>201000.0</v>
      </c>
      <c r="I23" s="111"/>
      <c r="J23" s="108" t="s">
        <v>105</v>
      </c>
      <c r="K23" s="108">
        <v>2026.0</v>
      </c>
      <c r="L23" s="112" t="s">
        <v>106</v>
      </c>
      <c r="M23" s="152" t="s">
        <v>316</v>
      </c>
      <c r="N23" s="153">
        <v>45975.0</v>
      </c>
      <c r="O23" s="154"/>
      <c r="P23" s="56"/>
      <c r="Q23" s="56" t="s">
        <v>317</v>
      </c>
      <c r="R23" s="56" t="s">
        <v>159</v>
      </c>
      <c r="S23" s="108">
        <v>254.0</v>
      </c>
      <c r="T23" s="108">
        <v>332.0</v>
      </c>
      <c r="U23" s="108">
        <f t="shared" si="4"/>
        <v>586</v>
      </c>
      <c r="V23" s="112" t="s">
        <v>268</v>
      </c>
      <c r="W23" s="112"/>
      <c r="X23" s="108">
        <v>1144.0</v>
      </c>
      <c r="Y23" s="110">
        <v>45898.0</v>
      </c>
      <c r="Z23" s="110"/>
      <c r="AA23" s="110">
        <v>45903.0</v>
      </c>
      <c r="AB23" s="110">
        <v>45903.0</v>
      </c>
      <c r="AC23" s="110">
        <v>45903.0</v>
      </c>
      <c r="AD23" s="134">
        <f>WORKDAY(AC23,15,'Feriados y Comunas'!A$2:A$26)</f>
        <v>45926</v>
      </c>
      <c r="AE23" s="63" t="s">
        <v>180</v>
      </c>
      <c r="AF23" s="143"/>
      <c r="AG23" s="143"/>
      <c r="AH23" s="144"/>
      <c r="AI23" s="145"/>
      <c r="AJ23" s="116" t="s">
        <v>318</v>
      </c>
      <c r="AK23" s="155" t="s">
        <v>319</v>
      </c>
      <c r="AL23" s="155" t="s">
        <v>320</v>
      </c>
      <c r="AM23" s="63" t="s">
        <v>321</v>
      </c>
      <c r="AN23" s="108">
        <v>65.0</v>
      </c>
      <c r="AO23" s="118">
        <v>45953.0</v>
      </c>
      <c r="AP23" s="118"/>
      <c r="AQ23" s="118">
        <v>45953.0</v>
      </c>
      <c r="AR23" s="116" t="s">
        <v>318</v>
      </c>
      <c r="AS23" s="146" t="s">
        <v>319</v>
      </c>
      <c r="AT23" s="108"/>
      <c r="AU23" s="119"/>
      <c r="AV23" s="156"/>
      <c r="AW23" s="103" t="s">
        <v>114</v>
      </c>
      <c r="AX23" s="108">
        <v>15.0</v>
      </c>
      <c r="AY23" s="39">
        <f>IFERROR(__xludf.DUMMYFUNCTION("IFERROR(COUNTA(SPLIT(AK23, "" "")), 0)"),3.0)</f>
        <v>3</v>
      </c>
    </row>
    <row r="24" ht="60.0" customHeight="1">
      <c r="A24" s="39">
        <v>23.0</v>
      </c>
      <c r="B24" s="108">
        <v>4.0075003E7</v>
      </c>
      <c r="C24" s="108">
        <v>0.0</v>
      </c>
      <c r="D24" s="108" t="s">
        <v>322</v>
      </c>
      <c r="E24" s="63" t="s">
        <v>18</v>
      </c>
      <c r="F24" s="109" t="str">
        <f>+IFERROR(VLOOKUP(E24,'Feriados y Comunas'!$C$1:$D$36,2,FALSE),"")</f>
        <v>LLANQUIHUE</v>
      </c>
      <c r="G24" s="110">
        <v>45904.0</v>
      </c>
      <c r="H24" s="111">
        <v>180000.0</v>
      </c>
      <c r="I24" s="111"/>
      <c r="J24" s="108" t="s">
        <v>105</v>
      </c>
      <c r="K24" s="108">
        <v>2026.0</v>
      </c>
      <c r="L24" s="112" t="s">
        <v>106</v>
      </c>
      <c r="M24" s="152" t="s">
        <v>323</v>
      </c>
      <c r="N24" s="114" t="s">
        <v>160</v>
      </c>
      <c r="O24" s="154"/>
      <c r="P24" s="56"/>
      <c r="Q24" s="56" t="s">
        <v>324</v>
      </c>
      <c r="R24" s="56" t="s">
        <v>218</v>
      </c>
      <c r="S24" s="108">
        <v>3504.0</v>
      </c>
      <c r="T24" s="108">
        <v>3824.0</v>
      </c>
      <c r="U24" s="108">
        <f t="shared" si="4"/>
        <v>7328</v>
      </c>
      <c r="V24" s="112" t="s">
        <v>219</v>
      </c>
      <c r="W24" s="112" t="s">
        <v>219</v>
      </c>
      <c r="X24" s="108">
        <v>728.0</v>
      </c>
      <c r="Y24" s="110">
        <v>45904.0</v>
      </c>
      <c r="Z24" s="110"/>
      <c r="AA24" s="110">
        <v>45904.0</v>
      </c>
      <c r="AB24" s="110">
        <v>45904.0</v>
      </c>
      <c r="AC24" s="110">
        <v>45904.0</v>
      </c>
      <c r="AD24" s="134">
        <f>WORKDAY(AC24,15,'Feriados y Comunas'!A$2:A$26)</f>
        <v>45929</v>
      </c>
      <c r="AE24" s="63" t="s">
        <v>180</v>
      </c>
      <c r="AF24" s="143"/>
      <c r="AG24" s="143"/>
      <c r="AH24" s="144"/>
      <c r="AI24" s="145"/>
      <c r="AJ24" s="124" t="s">
        <v>326</v>
      </c>
      <c r="AK24" s="124" t="s">
        <v>327</v>
      </c>
      <c r="AL24" s="124" t="s">
        <v>328</v>
      </c>
      <c r="AM24" s="125" t="s">
        <v>329</v>
      </c>
      <c r="AN24" s="124">
        <v>503.0</v>
      </c>
      <c r="AO24" s="168">
        <v>46225.0</v>
      </c>
      <c r="AP24" s="155"/>
      <c r="AQ24" s="168">
        <v>46239.0</v>
      </c>
      <c r="AR24" s="108">
        <v>2608.0</v>
      </c>
      <c r="AS24" s="119">
        <v>45938.0</v>
      </c>
      <c r="AT24" s="108"/>
      <c r="AU24" s="119"/>
      <c r="AV24" s="156"/>
      <c r="AW24" s="103" t="s">
        <v>114</v>
      </c>
      <c r="AX24" s="108">
        <v>14.0</v>
      </c>
      <c r="AY24" s="39">
        <f>IFERROR(__xludf.DUMMYFUNCTION("IFERROR(COUNTA(SPLIT(AK24, "" "")), 0)"),2.0)</f>
        <v>2</v>
      </c>
    </row>
    <row r="25" ht="60.0" customHeight="1">
      <c r="A25" s="39">
        <v>24.0</v>
      </c>
      <c r="B25" s="108">
        <v>4.0072891E7</v>
      </c>
      <c r="C25" s="108">
        <v>0.0</v>
      </c>
      <c r="D25" s="108" t="s">
        <v>330</v>
      </c>
      <c r="E25" s="63" t="s">
        <v>9</v>
      </c>
      <c r="F25" s="109" t="str">
        <f>+IFERROR(VLOOKUP(E25,'Feriados y Comunas'!$C$1:$D$36,2,FALSE),"")</f>
        <v>LLANQUIHUE</v>
      </c>
      <c r="G25" s="110">
        <v>45911.0</v>
      </c>
      <c r="H25" s="111">
        <v>300000.0</v>
      </c>
      <c r="I25" s="111"/>
      <c r="J25" s="108" t="s">
        <v>105</v>
      </c>
      <c r="K25" s="108">
        <v>2026.0</v>
      </c>
      <c r="L25" s="112" t="s">
        <v>106</v>
      </c>
      <c r="M25" s="152" t="s">
        <v>331</v>
      </c>
      <c r="N25" s="153">
        <v>45975.0</v>
      </c>
      <c r="O25" s="154"/>
      <c r="P25" s="56"/>
      <c r="Q25" s="56" t="s">
        <v>266</v>
      </c>
      <c r="R25" s="56" t="s">
        <v>267</v>
      </c>
      <c r="S25" s="108">
        <v>885.0</v>
      </c>
      <c r="T25" s="108">
        <v>562.0</v>
      </c>
      <c r="U25" s="108">
        <f t="shared" si="4"/>
        <v>1447</v>
      </c>
      <c r="V25" s="112" t="s">
        <v>268</v>
      </c>
      <c r="W25" s="112" t="s">
        <v>268</v>
      </c>
      <c r="X25" s="108">
        <v>1197.0</v>
      </c>
      <c r="Y25" s="110">
        <v>45909.0</v>
      </c>
      <c r="Z25" s="110"/>
      <c r="AA25" s="110">
        <v>45912.0</v>
      </c>
      <c r="AB25" s="110">
        <v>45912.0</v>
      </c>
      <c r="AC25" s="110">
        <v>45912.0</v>
      </c>
      <c r="AD25" s="134">
        <f>WORKDAY(AC25,15,'Feriados y Comunas'!A$2:A$26)</f>
        <v>45937</v>
      </c>
      <c r="AE25" s="63" t="s">
        <v>180</v>
      </c>
      <c r="AF25" s="143"/>
      <c r="AG25" s="143"/>
      <c r="AH25" s="144"/>
      <c r="AI25" s="145"/>
      <c r="AJ25" s="116" t="s">
        <v>333</v>
      </c>
      <c r="AK25" s="155" t="s">
        <v>334</v>
      </c>
      <c r="AL25" s="155" t="s">
        <v>335</v>
      </c>
      <c r="AM25" s="63" t="s">
        <v>313</v>
      </c>
      <c r="AN25" s="108">
        <v>71.0</v>
      </c>
      <c r="AO25" s="118">
        <v>45960.0</v>
      </c>
      <c r="AP25" s="118"/>
      <c r="AQ25" s="118">
        <v>45964.0</v>
      </c>
      <c r="AR25" s="116" t="s">
        <v>333</v>
      </c>
      <c r="AS25" s="146" t="s">
        <v>334</v>
      </c>
      <c r="AT25" s="108"/>
      <c r="AU25" s="119"/>
      <c r="AV25" s="156"/>
      <c r="AW25" s="103" t="s">
        <v>114</v>
      </c>
      <c r="AX25" s="108">
        <v>13.0</v>
      </c>
      <c r="AY25" s="39">
        <f>IFERROR(__xludf.DUMMYFUNCTION("IFERROR(COUNTA(SPLIT(AK25, "" "")), 0)"),2.0)</f>
        <v>2</v>
      </c>
    </row>
    <row r="26" ht="60.0" customHeight="1">
      <c r="A26" s="39">
        <v>25.0</v>
      </c>
      <c r="B26" s="108">
        <v>4.0031582E7</v>
      </c>
      <c r="C26" s="108">
        <v>0.0</v>
      </c>
      <c r="D26" s="108" t="s">
        <v>336</v>
      </c>
      <c r="E26" s="63" t="s">
        <v>9</v>
      </c>
      <c r="F26" s="109" t="str">
        <f>+IFERROR(VLOOKUP(E26,'Feriados y Comunas'!$C$1:$D$36,2,FALSE),"")</f>
        <v>LLANQUIHUE</v>
      </c>
      <c r="G26" s="110">
        <v>45911.0</v>
      </c>
      <c r="H26" s="111">
        <v>220000.0</v>
      </c>
      <c r="I26" s="111"/>
      <c r="J26" s="108" t="s">
        <v>105</v>
      </c>
      <c r="K26" s="108">
        <v>2026.0</v>
      </c>
      <c r="L26" s="112" t="s">
        <v>106</v>
      </c>
      <c r="M26" s="152" t="s">
        <v>337</v>
      </c>
      <c r="N26" s="159">
        <v>45960.0</v>
      </c>
      <c r="O26" s="154"/>
      <c r="P26" s="56"/>
      <c r="Q26" s="56" t="s">
        <v>338</v>
      </c>
      <c r="R26" s="56" t="s">
        <v>256</v>
      </c>
      <c r="S26" s="108">
        <v>42.0</v>
      </c>
      <c r="T26" s="108">
        <v>63.0</v>
      </c>
      <c r="U26" s="108">
        <f t="shared" si="4"/>
        <v>105</v>
      </c>
      <c r="V26" s="112" t="s">
        <v>268</v>
      </c>
      <c r="W26" s="112" t="s">
        <v>268</v>
      </c>
      <c r="X26" s="108">
        <v>1198.0</v>
      </c>
      <c r="Y26" s="110">
        <v>45909.0</v>
      </c>
      <c r="Z26" s="110"/>
      <c r="AA26" s="110">
        <v>45912.0</v>
      </c>
      <c r="AB26" s="110">
        <v>45912.0</v>
      </c>
      <c r="AC26" s="110">
        <v>45912.0</v>
      </c>
      <c r="AD26" s="134">
        <f>WORKDAY(AC26,15,'Feriados y Comunas'!A$2:A$26)</f>
        <v>45937</v>
      </c>
      <c r="AE26" s="63" t="s">
        <v>180</v>
      </c>
      <c r="AF26" s="143"/>
      <c r="AG26" s="143"/>
      <c r="AH26" s="144"/>
      <c r="AI26" s="145"/>
      <c r="AJ26" s="116" t="s">
        <v>340</v>
      </c>
      <c r="AK26" s="155" t="s">
        <v>341</v>
      </c>
      <c r="AL26" s="155" t="s">
        <v>342</v>
      </c>
      <c r="AM26" s="63" t="s">
        <v>262</v>
      </c>
      <c r="AN26" s="108">
        <v>66.0</v>
      </c>
      <c r="AO26" s="118">
        <v>45954.0</v>
      </c>
      <c r="AP26" s="118"/>
      <c r="AQ26" s="118">
        <v>45958.0</v>
      </c>
      <c r="AR26" s="116" t="s">
        <v>340</v>
      </c>
      <c r="AS26" s="146" t="s">
        <v>341</v>
      </c>
      <c r="AT26" s="108"/>
      <c r="AU26" s="119"/>
      <c r="AV26" s="156"/>
      <c r="AW26" s="103" t="s">
        <v>114</v>
      </c>
      <c r="AX26" s="108">
        <v>13.0</v>
      </c>
      <c r="AY26" s="39">
        <f>IFERROR(__xludf.DUMMYFUNCTION("IFERROR(COUNTA(SPLIT(AK26, "" "")), 0)"),2.0)</f>
        <v>2</v>
      </c>
    </row>
    <row r="27" ht="60.0" customHeight="1">
      <c r="A27" s="39">
        <v>26.0</v>
      </c>
      <c r="B27" s="108">
        <v>4.0072914E7</v>
      </c>
      <c r="C27" s="108">
        <v>0.0</v>
      </c>
      <c r="D27" s="108" t="s">
        <v>343</v>
      </c>
      <c r="E27" s="63" t="s">
        <v>9</v>
      </c>
      <c r="F27" s="109" t="str">
        <f>+IFERROR(VLOOKUP(E27,'Feriados y Comunas'!$C$1:$D$36,2,FALSE),"")</f>
        <v>LLANQUIHUE</v>
      </c>
      <c r="G27" s="110">
        <v>45911.0</v>
      </c>
      <c r="H27" s="111">
        <v>300000.0</v>
      </c>
      <c r="I27" s="111"/>
      <c r="J27" s="108" t="s">
        <v>105</v>
      </c>
      <c r="K27" s="108">
        <v>2026.0</v>
      </c>
      <c r="L27" s="112" t="s">
        <v>106</v>
      </c>
      <c r="M27" s="152" t="s">
        <v>344</v>
      </c>
      <c r="N27" s="159">
        <v>45933.0</v>
      </c>
      <c r="O27" s="154"/>
      <c r="P27" s="56"/>
      <c r="Q27" s="56" t="s">
        <v>324</v>
      </c>
      <c r="R27" s="56" t="s">
        <v>218</v>
      </c>
      <c r="S27" s="108">
        <v>248.0</v>
      </c>
      <c r="T27" s="108">
        <v>324.0</v>
      </c>
      <c r="U27" s="108">
        <f t="shared" si="4"/>
        <v>572</v>
      </c>
      <c r="V27" s="112" t="s">
        <v>268</v>
      </c>
      <c r="W27" s="112" t="s">
        <v>268</v>
      </c>
      <c r="X27" s="108">
        <v>1195.0</v>
      </c>
      <c r="Y27" s="110">
        <v>45909.0</v>
      </c>
      <c r="Z27" s="110"/>
      <c r="AA27" s="110">
        <v>45912.0</v>
      </c>
      <c r="AB27" s="110">
        <v>45912.0</v>
      </c>
      <c r="AC27" s="110">
        <v>45912.0</v>
      </c>
      <c r="AD27" s="134">
        <f>WORKDAY(AC27,15,'Feriados y Comunas'!A$2:A$26)</f>
        <v>45937</v>
      </c>
      <c r="AE27" s="63"/>
      <c r="AF27" s="143"/>
      <c r="AG27" s="143"/>
      <c r="AH27" s="144"/>
      <c r="AI27" s="145"/>
      <c r="AJ27" s="108">
        <v>2611.0</v>
      </c>
      <c r="AK27" s="118">
        <v>45938.0</v>
      </c>
      <c r="AL27" s="118">
        <v>45933.0</v>
      </c>
      <c r="AM27" s="63" t="s">
        <v>270</v>
      </c>
      <c r="AN27" s="108"/>
      <c r="AO27" s="118"/>
      <c r="AP27" s="118"/>
      <c r="AQ27" s="118"/>
      <c r="AR27" s="108">
        <v>2611.0</v>
      </c>
      <c r="AS27" s="119">
        <v>45938.0</v>
      </c>
      <c r="AT27" s="108"/>
      <c r="AU27" s="119"/>
      <c r="AV27" s="156"/>
      <c r="AW27" s="103" t="s">
        <v>114</v>
      </c>
      <c r="AX27" s="108">
        <v>13.0</v>
      </c>
      <c r="AY27" s="39">
        <f>IFERROR(__xludf.DUMMYFUNCTION("IFERROR(COUNTA(SPLIT(AK27, "" "")), 0)"),1.0)</f>
        <v>1</v>
      </c>
    </row>
    <row r="28" ht="60.0" customHeight="1">
      <c r="A28" s="39">
        <v>27.0</v>
      </c>
      <c r="B28" s="108">
        <v>4.007288E7</v>
      </c>
      <c r="C28" s="108">
        <v>0.0</v>
      </c>
      <c r="D28" s="108" t="s">
        <v>346</v>
      </c>
      <c r="E28" s="63" t="s">
        <v>9</v>
      </c>
      <c r="F28" s="109" t="str">
        <f>+IFERROR(VLOOKUP(E28,'Feriados y Comunas'!$C$1:$D$36,2,FALSE),"")</f>
        <v>LLANQUIHUE</v>
      </c>
      <c r="G28" s="110">
        <v>45911.0</v>
      </c>
      <c r="H28" s="111">
        <v>300000.0</v>
      </c>
      <c r="I28" s="111"/>
      <c r="J28" s="108" t="s">
        <v>105</v>
      </c>
      <c r="K28" s="108">
        <v>2026.0</v>
      </c>
      <c r="L28" s="112" t="s">
        <v>106</v>
      </c>
      <c r="M28" s="152" t="s">
        <v>347</v>
      </c>
      <c r="N28" s="159">
        <v>45933.0</v>
      </c>
      <c r="O28" s="154"/>
      <c r="P28" s="56"/>
      <c r="Q28" s="56" t="s">
        <v>266</v>
      </c>
      <c r="R28" s="56" t="s">
        <v>267</v>
      </c>
      <c r="S28" s="108">
        <v>645.0</v>
      </c>
      <c r="T28" s="108">
        <v>387.0</v>
      </c>
      <c r="U28" s="108">
        <f t="shared" si="4"/>
        <v>1032</v>
      </c>
      <c r="V28" s="112" t="s">
        <v>268</v>
      </c>
      <c r="W28" s="112" t="s">
        <v>268</v>
      </c>
      <c r="X28" s="108">
        <v>1196.0</v>
      </c>
      <c r="Y28" s="110">
        <v>45909.0</v>
      </c>
      <c r="Z28" s="110"/>
      <c r="AA28" s="110">
        <v>45912.0</v>
      </c>
      <c r="AB28" s="110">
        <v>45912.0</v>
      </c>
      <c r="AC28" s="110">
        <v>45912.0</v>
      </c>
      <c r="AD28" s="134">
        <f>WORKDAY(AC28,15,'Feriados y Comunas'!A$2:A$26)</f>
        <v>45937</v>
      </c>
      <c r="AE28" s="63" t="s">
        <v>180</v>
      </c>
      <c r="AF28" s="143"/>
      <c r="AG28" s="143"/>
      <c r="AH28" s="144"/>
      <c r="AI28" s="145"/>
      <c r="AJ28" s="108">
        <v>2612.0</v>
      </c>
      <c r="AK28" s="118">
        <v>45938.0</v>
      </c>
      <c r="AL28" s="118">
        <v>45933.0</v>
      </c>
      <c r="AM28" s="63" t="s">
        <v>270</v>
      </c>
      <c r="AN28" s="108"/>
      <c r="AO28" s="118"/>
      <c r="AP28" s="118"/>
      <c r="AQ28" s="118"/>
      <c r="AR28" s="108">
        <v>2612.0</v>
      </c>
      <c r="AS28" s="119">
        <v>45938.0</v>
      </c>
      <c r="AT28" s="108"/>
      <c r="AU28" s="119"/>
      <c r="AV28" s="156"/>
      <c r="AW28" s="103" t="s">
        <v>114</v>
      </c>
      <c r="AX28" s="108">
        <v>13.0</v>
      </c>
      <c r="AY28" s="39">
        <f>IFERROR(__xludf.DUMMYFUNCTION("IFERROR(COUNTA(SPLIT(AK28, "" "")), 0)"),1.0)</f>
        <v>1</v>
      </c>
    </row>
    <row r="29" ht="60.0" customHeight="1">
      <c r="A29" s="39">
        <v>28.0</v>
      </c>
      <c r="B29" s="108">
        <v>4.0071625E7</v>
      </c>
      <c r="C29" s="108">
        <v>0.0</v>
      </c>
      <c r="D29" s="108" t="s">
        <v>349</v>
      </c>
      <c r="E29" s="63" t="s">
        <v>54</v>
      </c>
      <c r="F29" s="109" t="str">
        <f>+IFERROR(VLOOKUP(E29,'Feriados y Comunas'!$C$1:$D$36,2,FALSE),"")</f>
        <v>OSORNO</v>
      </c>
      <c r="G29" s="110">
        <v>45917.0</v>
      </c>
      <c r="H29" s="111">
        <v>312894.0</v>
      </c>
      <c r="I29" s="111"/>
      <c r="J29" s="108" t="s">
        <v>105</v>
      </c>
      <c r="K29" s="108">
        <v>2026.0</v>
      </c>
      <c r="L29" s="112" t="s">
        <v>174</v>
      </c>
      <c r="M29" s="152" t="s">
        <v>350</v>
      </c>
      <c r="N29" s="153">
        <v>45953.0</v>
      </c>
      <c r="O29" s="154"/>
      <c r="P29" s="56"/>
      <c r="Q29" s="56" t="s">
        <v>266</v>
      </c>
      <c r="R29" s="56" t="s">
        <v>267</v>
      </c>
      <c r="S29" s="108">
        <v>154.0</v>
      </c>
      <c r="T29" s="108">
        <v>205.0</v>
      </c>
      <c r="U29" s="108">
        <f t="shared" si="4"/>
        <v>359</v>
      </c>
      <c r="V29" s="112" t="s">
        <v>143</v>
      </c>
      <c r="W29" s="112" t="s">
        <v>143</v>
      </c>
      <c r="X29" s="108">
        <v>657.0</v>
      </c>
      <c r="Y29" s="110">
        <v>45915.0</v>
      </c>
      <c r="Z29" s="110"/>
      <c r="AA29" s="110">
        <v>45917.0</v>
      </c>
      <c r="AB29" s="110">
        <v>45917.0</v>
      </c>
      <c r="AC29" s="110">
        <v>45917.0</v>
      </c>
      <c r="AD29" s="134">
        <f>WORKDAY(AC29,15,'Feriados y Comunas'!A$2:A$26)</f>
        <v>45940</v>
      </c>
      <c r="AE29" s="63"/>
      <c r="AF29" s="143"/>
      <c r="AG29" s="143"/>
      <c r="AH29" s="144"/>
      <c r="AI29" s="145"/>
      <c r="AJ29" s="108">
        <v>2825.0</v>
      </c>
      <c r="AK29" s="118">
        <v>45957.0</v>
      </c>
      <c r="AL29" s="118">
        <v>45953.0</v>
      </c>
      <c r="AM29" s="63" t="s">
        <v>270</v>
      </c>
      <c r="AN29" s="108"/>
      <c r="AO29" s="118"/>
      <c r="AP29" s="118"/>
      <c r="AQ29" s="118"/>
      <c r="AR29" s="108">
        <v>2825.0</v>
      </c>
      <c r="AS29" s="119">
        <v>45957.0</v>
      </c>
      <c r="AT29" s="108"/>
      <c r="AU29" s="119"/>
      <c r="AV29" s="156"/>
      <c r="AW29" s="103" t="s">
        <v>114</v>
      </c>
      <c r="AX29" s="108">
        <v>24.0</v>
      </c>
      <c r="AY29" s="39">
        <f>IFERROR(__xludf.DUMMYFUNCTION("IFERROR(COUNTA(SPLIT(AK29, "" "")), 0)"),1.0)</f>
        <v>1</v>
      </c>
    </row>
    <row r="30" ht="60.0" customHeight="1">
      <c r="A30" s="39">
        <v>29.0</v>
      </c>
      <c r="B30" s="108">
        <v>4.0075706E7</v>
      </c>
      <c r="C30" s="108">
        <v>0.0</v>
      </c>
      <c r="D30" s="108" t="s">
        <v>351</v>
      </c>
      <c r="E30" s="63" t="s">
        <v>54</v>
      </c>
      <c r="F30" s="109" t="str">
        <f>+IFERROR(VLOOKUP(E30,'Feriados y Comunas'!$C$1:$D$36,2,FALSE),"")</f>
        <v>OSORNO</v>
      </c>
      <c r="G30" s="110">
        <v>45917.0</v>
      </c>
      <c r="H30" s="111">
        <v>295000.0</v>
      </c>
      <c r="I30" s="111"/>
      <c r="J30" s="108" t="s">
        <v>105</v>
      </c>
      <c r="K30" s="108">
        <v>2026.0</v>
      </c>
      <c r="L30" s="112" t="s">
        <v>139</v>
      </c>
      <c r="M30" s="152" t="s">
        <v>353</v>
      </c>
      <c r="N30" s="153">
        <v>45953.0</v>
      </c>
      <c r="O30" s="154"/>
      <c r="P30" s="56"/>
      <c r="Q30" s="56" t="s">
        <v>141</v>
      </c>
      <c r="R30" s="56" t="s">
        <v>142</v>
      </c>
      <c r="S30" s="108">
        <v>120.0</v>
      </c>
      <c r="T30" s="108">
        <v>158.0</v>
      </c>
      <c r="U30" s="108">
        <f t="shared" si="4"/>
        <v>278</v>
      </c>
      <c r="V30" s="112" t="s">
        <v>143</v>
      </c>
      <c r="W30" s="112" t="s">
        <v>143</v>
      </c>
      <c r="X30" s="108">
        <v>655.0</v>
      </c>
      <c r="Y30" s="110">
        <v>45910.0</v>
      </c>
      <c r="Z30" s="110"/>
      <c r="AA30" s="110">
        <v>45917.0</v>
      </c>
      <c r="AB30" s="110">
        <v>45917.0</v>
      </c>
      <c r="AC30" s="110">
        <v>45917.0</v>
      </c>
      <c r="AD30" s="134">
        <f>WORKDAY(AC30,15,'Feriados y Comunas'!A$2:A$26)</f>
        <v>45940</v>
      </c>
      <c r="AE30" s="63" t="s">
        <v>180</v>
      </c>
      <c r="AF30" s="143"/>
      <c r="AG30" s="143"/>
      <c r="AH30" s="144"/>
      <c r="AI30" s="145"/>
      <c r="AJ30" s="108">
        <v>2824.0</v>
      </c>
      <c r="AK30" s="118">
        <v>45957.0</v>
      </c>
      <c r="AL30" s="118">
        <v>45953.0</v>
      </c>
      <c r="AM30" s="63" t="s">
        <v>270</v>
      </c>
      <c r="AN30" s="108"/>
      <c r="AO30" s="118"/>
      <c r="AP30" s="118"/>
      <c r="AQ30" s="118"/>
      <c r="AR30" s="108">
        <v>2824.0</v>
      </c>
      <c r="AS30" s="119">
        <v>45957.0</v>
      </c>
      <c r="AT30" s="108"/>
      <c r="AU30" s="119"/>
      <c r="AV30" s="156"/>
      <c r="AW30" s="103" t="s">
        <v>114</v>
      </c>
      <c r="AX30" s="108">
        <v>24.0</v>
      </c>
      <c r="AY30" s="39">
        <f>IFERROR(__xludf.DUMMYFUNCTION("IFERROR(COUNTA(SPLIT(AK30, "" "")), 0)"),1.0)</f>
        <v>1</v>
      </c>
    </row>
    <row r="31" ht="60.0" customHeight="1">
      <c r="A31" s="39">
        <v>30.0</v>
      </c>
      <c r="B31" s="126">
        <v>4.007663E7</v>
      </c>
      <c r="C31" s="126">
        <v>0.0</v>
      </c>
      <c r="D31" s="126" t="s">
        <v>354</v>
      </c>
      <c r="E31" s="117" t="s">
        <v>6</v>
      </c>
      <c r="F31" s="127" t="str">
        <f>+IFERROR(VLOOKUP(E31,'Feriados y Comunas'!$C$1:$D$36,2,FALSE),"")</f>
        <v>LLANQUIHUE</v>
      </c>
      <c r="G31" s="128">
        <v>45958.0</v>
      </c>
      <c r="H31" s="129">
        <v>100740.0</v>
      </c>
      <c r="I31" s="129"/>
      <c r="J31" s="126" t="s">
        <v>105</v>
      </c>
      <c r="K31" s="126">
        <v>2026.0</v>
      </c>
      <c r="L31" s="131" t="s">
        <v>355</v>
      </c>
      <c r="M31" s="177" t="s">
        <v>356</v>
      </c>
      <c r="N31" s="132">
        <v>46178.0</v>
      </c>
      <c r="O31" s="178"/>
      <c r="P31" s="133"/>
      <c r="Q31" s="179" t="s">
        <v>255</v>
      </c>
      <c r="R31" s="179" t="s">
        <v>273</v>
      </c>
      <c r="S31" s="126">
        <v>5677.0</v>
      </c>
      <c r="T31" s="126">
        <v>6984.0</v>
      </c>
      <c r="U31" s="126">
        <f t="shared" si="4"/>
        <v>12661</v>
      </c>
      <c r="V31" s="131" t="s">
        <v>357</v>
      </c>
      <c r="W31" s="131" t="s">
        <v>357</v>
      </c>
      <c r="X31" s="126">
        <v>227.0</v>
      </c>
      <c r="Y31" s="128">
        <v>45957.0</v>
      </c>
      <c r="Z31" s="128"/>
      <c r="AA31" s="128">
        <v>45958.0</v>
      </c>
      <c r="AB31" s="128">
        <v>45958.0</v>
      </c>
      <c r="AC31" s="128">
        <v>45958.0</v>
      </c>
      <c r="AD31" s="134">
        <f>WORKDAY(AC31,15,'Feriados y Comunas'!A$2:A$26)</f>
        <v>45980</v>
      </c>
      <c r="AE31" s="63" t="s">
        <v>180</v>
      </c>
      <c r="AF31" s="135"/>
      <c r="AG31" s="135"/>
      <c r="AH31" s="126"/>
      <c r="AI31" s="115"/>
      <c r="AJ31" s="139" t="s">
        <v>359</v>
      </c>
      <c r="AK31" s="180" t="s">
        <v>360</v>
      </c>
      <c r="AL31" s="180" t="s">
        <v>361</v>
      </c>
      <c r="AM31" s="117" t="s">
        <v>362</v>
      </c>
      <c r="AN31" s="139" t="s">
        <v>363</v>
      </c>
      <c r="AO31" s="180" t="s">
        <v>364</v>
      </c>
      <c r="AP31" s="180"/>
      <c r="AQ31" s="180" t="s">
        <v>365</v>
      </c>
      <c r="AR31" s="139" t="s">
        <v>366</v>
      </c>
      <c r="AS31" s="182" t="s">
        <v>367</v>
      </c>
      <c r="AT31" s="126"/>
      <c r="AU31" s="135"/>
      <c r="AV31" s="156"/>
      <c r="AW31" s="103" t="s">
        <v>114</v>
      </c>
      <c r="AX31" s="126">
        <v>12.0</v>
      </c>
      <c r="AY31" s="39">
        <f>IFERROR(__xludf.DUMMYFUNCTION("IFERROR(COUNTA(SPLIT(AK31, "" "")), 0)"),3.0)</f>
        <v>3</v>
      </c>
      <c r="AZ31" s="140"/>
      <c r="BA31" s="141"/>
      <c r="BB31" s="141"/>
      <c r="BC31" s="141"/>
      <c r="BD31" s="141"/>
    </row>
    <row r="32" ht="60.0" customHeight="1">
      <c r="A32" s="120">
        <v>31.0</v>
      </c>
      <c r="B32" s="126">
        <v>4.007342E7</v>
      </c>
      <c r="C32" s="126">
        <v>0.0</v>
      </c>
      <c r="D32" s="126" t="s">
        <v>368</v>
      </c>
      <c r="E32" s="117" t="s">
        <v>76</v>
      </c>
      <c r="F32" s="127" t="str">
        <f>+IFERROR(VLOOKUP(E32,'Feriados y Comunas'!$C$1:$D$36,2,FALSE),"")</f>
        <v>PALENA</v>
      </c>
      <c r="G32" s="128">
        <v>45987.0</v>
      </c>
      <c r="H32" s="129">
        <v>300000.0</v>
      </c>
      <c r="I32" s="129"/>
      <c r="J32" s="126" t="s">
        <v>105</v>
      </c>
      <c r="K32" s="126">
        <v>2026.0</v>
      </c>
      <c r="L32" s="131" t="s">
        <v>174</v>
      </c>
      <c r="M32" s="177" t="s">
        <v>369</v>
      </c>
      <c r="N32" s="183">
        <v>46091.0</v>
      </c>
      <c r="O32" s="178"/>
      <c r="P32" s="133"/>
      <c r="Q32" s="133" t="s">
        <v>266</v>
      </c>
      <c r="R32" s="133" t="s">
        <v>267</v>
      </c>
      <c r="S32" s="126">
        <v>1300.0</v>
      </c>
      <c r="T32" s="126">
        <v>1300.0</v>
      </c>
      <c r="U32" s="126">
        <f t="shared" si="4"/>
        <v>2600</v>
      </c>
      <c r="V32" s="131" t="s">
        <v>161</v>
      </c>
      <c r="W32" s="131" t="s">
        <v>161</v>
      </c>
      <c r="X32" s="126">
        <v>562.0</v>
      </c>
      <c r="Y32" s="128">
        <v>45973.0</v>
      </c>
      <c r="Z32" s="128"/>
      <c r="AA32" s="128"/>
      <c r="AB32" s="138"/>
      <c r="AC32" s="128">
        <v>45987.0</v>
      </c>
      <c r="AD32" s="134">
        <f>WORKDAY(AC32,15,'Feriados y Comunas'!A$2:A$26)</f>
        <v>46009</v>
      </c>
      <c r="AE32" s="63" t="s">
        <v>180</v>
      </c>
      <c r="AF32" s="135"/>
      <c r="AG32" s="135"/>
      <c r="AH32" s="126"/>
      <c r="AI32" s="115"/>
      <c r="AJ32" s="139" t="s">
        <v>370</v>
      </c>
      <c r="AK32" s="180" t="s">
        <v>371</v>
      </c>
      <c r="AL32" s="180" t="s">
        <v>372</v>
      </c>
      <c r="AM32" s="117" t="s">
        <v>262</v>
      </c>
      <c r="AN32" s="126">
        <v>659.0</v>
      </c>
      <c r="AO32" s="138">
        <v>46015.0</v>
      </c>
      <c r="AP32" s="138"/>
      <c r="AQ32" s="138">
        <v>46021.0</v>
      </c>
      <c r="AR32" s="139" t="s">
        <v>370</v>
      </c>
      <c r="AS32" s="182" t="s">
        <v>371</v>
      </c>
      <c r="AT32" s="126"/>
      <c r="AU32" s="135"/>
      <c r="AV32" s="156"/>
      <c r="AW32" s="103" t="s">
        <v>114</v>
      </c>
      <c r="AX32" s="126">
        <v>9.0</v>
      </c>
      <c r="AY32" s="39">
        <f>IFERROR(__xludf.DUMMYFUNCTION("IFERROR(COUNTA(SPLIT(AK32, "" "")), 0)"),2.0)</f>
        <v>2</v>
      </c>
      <c r="AZ32" s="140"/>
      <c r="BA32" s="141"/>
      <c r="BB32" s="141"/>
      <c r="BC32" s="141"/>
      <c r="BD32" s="141"/>
    </row>
    <row r="33" ht="60.0" customHeight="1">
      <c r="A33" s="39">
        <v>32.0</v>
      </c>
      <c r="B33" s="126">
        <v>4.0065337E7</v>
      </c>
      <c r="C33" s="126">
        <v>0.0</v>
      </c>
      <c r="D33" s="108" t="s">
        <v>373</v>
      </c>
      <c r="E33" s="117" t="s">
        <v>16</v>
      </c>
      <c r="F33" s="127" t="s">
        <v>8</v>
      </c>
      <c r="G33" s="128">
        <v>46070.0</v>
      </c>
      <c r="H33" s="129">
        <v>336460.0</v>
      </c>
      <c r="I33" s="129"/>
      <c r="J33" s="126" t="s">
        <v>105</v>
      </c>
      <c r="K33" s="126">
        <v>2026.0</v>
      </c>
      <c r="L33" s="131" t="s">
        <v>106</v>
      </c>
      <c r="M33" s="152" t="s">
        <v>374</v>
      </c>
      <c r="N33" s="114" t="s">
        <v>160</v>
      </c>
      <c r="O33" s="178"/>
      <c r="P33" s="133"/>
      <c r="Q33" s="133" t="s">
        <v>255</v>
      </c>
      <c r="R33" s="133" t="s">
        <v>256</v>
      </c>
      <c r="S33" s="126">
        <v>110.0</v>
      </c>
      <c r="T33" s="126">
        <v>442.0</v>
      </c>
      <c r="U33" s="126">
        <f t="shared" si="4"/>
        <v>552</v>
      </c>
      <c r="V33" s="131" t="s">
        <v>376</v>
      </c>
      <c r="W33" s="131" t="s">
        <v>376</v>
      </c>
      <c r="X33" s="126">
        <v>268.0</v>
      </c>
      <c r="Y33" s="128">
        <v>46065.0</v>
      </c>
      <c r="Z33" s="128"/>
      <c r="AA33" s="128">
        <v>46070.0</v>
      </c>
      <c r="AB33" s="128">
        <v>46083.0</v>
      </c>
      <c r="AC33" s="128">
        <v>46083.0</v>
      </c>
      <c r="AD33" s="134">
        <f>WORKDAY(AC33,15,'Feriados y Comunas'!A$2:A$26)</f>
        <v>46104</v>
      </c>
      <c r="AE33" s="63" t="s">
        <v>180</v>
      </c>
      <c r="AF33" s="135"/>
      <c r="AG33" s="135"/>
      <c r="AH33" s="126"/>
      <c r="AI33" s="115"/>
      <c r="AJ33" s="136" t="s">
        <v>377</v>
      </c>
      <c r="AK33" s="184" t="s">
        <v>378</v>
      </c>
      <c r="AL33" s="184" t="s">
        <v>379</v>
      </c>
      <c r="AM33" s="137" t="s">
        <v>313</v>
      </c>
      <c r="AN33" s="186">
        <v>569.0</v>
      </c>
      <c r="AO33" s="187">
        <v>46149.0</v>
      </c>
      <c r="AP33" s="138"/>
      <c r="AQ33" s="188">
        <v>46177.0</v>
      </c>
      <c r="AR33" s="126"/>
      <c r="AS33" s="135"/>
      <c r="AT33" s="126"/>
      <c r="AU33" s="135"/>
      <c r="AV33" s="156"/>
      <c r="AW33" s="103" t="s">
        <v>114</v>
      </c>
      <c r="AX33" s="126">
        <v>2.0</v>
      </c>
      <c r="AY33" s="39">
        <f>IFERROR(__xludf.DUMMYFUNCTION("IFERROR(COUNTA(SPLIT(AK33, "" "")), 0)"),2.0)</f>
        <v>2</v>
      </c>
      <c r="AZ33" s="140"/>
      <c r="BA33" s="141"/>
      <c r="BB33" s="141"/>
      <c r="BC33" s="141"/>
      <c r="BD33" s="141"/>
    </row>
    <row r="34" ht="60.0" customHeight="1">
      <c r="A34" s="39">
        <v>33.0</v>
      </c>
      <c r="B34" s="108">
        <v>4.0067355E7</v>
      </c>
      <c r="C34" s="108">
        <v>0.0</v>
      </c>
      <c r="D34" s="108" t="s">
        <v>381</v>
      </c>
      <c r="E34" s="63" t="s">
        <v>51</v>
      </c>
      <c r="F34" s="109" t="str">
        <f>+IFERROR(VLOOKUP(E34,'Feriados y Comunas'!$C$1:$D$36,2,FALSE),"")</f>
        <v>OSORNO</v>
      </c>
      <c r="G34" s="110">
        <v>46114.0</v>
      </c>
      <c r="H34" s="111">
        <v>173554.0</v>
      </c>
      <c r="I34" s="111"/>
      <c r="J34" s="108" t="s">
        <v>105</v>
      </c>
      <c r="K34" s="108">
        <v>2026.0</v>
      </c>
      <c r="L34" s="112" t="s">
        <v>241</v>
      </c>
      <c r="M34" s="152" t="s">
        <v>382</v>
      </c>
      <c r="N34" s="113">
        <v>46178.0</v>
      </c>
      <c r="O34" s="154"/>
      <c r="P34" s="56"/>
      <c r="Q34" s="56" t="s">
        <v>383</v>
      </c>
      <c r="R34" s="56" t="s">
        <v>384</v>
      </c>
      <c r="S34" s="108">
        <v>132.0</v>
      </c>
      <c r="T34" s="108">
        <v>172.0</v>
      </c>
      <c r="U34" s="108">
        <v>304.0</v>
      </c>
      <c r="V34" s="112" t="s">
        <v>385</v>
      </c>
      <c r="W34" s="112" t="s">
        <v>385</v>
      </c>
      <c r="X34" s="108">
        <v>7103.0</v>
      </c>
      <c r="Y34" s="110">
        <v>46111.0</v>
      </c>
      <c r="Z34" s="110"/>
      <c r="AA34" s="110">
        <v>46114.0</v>
      </c>
      <c r="AB34" s="110">
        <v>46115.0</v>
      </c>
      <c r="AC34" s="110">
        <v>46115.0</v>
      </c>
      <c r="AD34" s="134">
        <f>WORKDAY(AC34,15,'Feriados y Comunas'!A$2:A$26)</f>
        <v>46136</v>
      </c>
      <c r="AE34" s="63" t="s">
        <v>180</v>
      </c>
      <c r="AF34" s="108"/>
      <c r="AG34" s="108"/>
      <c r="AH34" s="108"/>
      <c r="AI34" s="115"/>
      <c r="AJ34" s="108">
        <v>951.0</v>
      </c>
      <c r="AK34" s="118">
        <v>46136.0</v>
      </c>
      <c r="AL34" s="118">
        <v>46134.0</v>
      </c>
      <c r="AM34" s="117" t="s">
        <v>270</v>
      </c>
      <c r="AN34" s="108"/>
      <c r="AO34" s="118"/>
      <c r="AP34" s="118"/>
      <c r="AQ34" s="118"/>
      <c r="AR34" s="108"/>
      <c r="AS34" s="119"/>
      <c r="AT34" s="108"/>
      <c r="AU34" s="119"/>
      <c r="AV34" s="156"/>
      <c r="AW34" s="103" t="s">
        <v>114</v>
      </c>
      <c r="AX34" s="108"/>
      <c r="AY34" s="39">
        <f>IFERROR(__xludf.DUMMYFUNCTION("IFERROR(COUNTA(SPLIT(AK34, "" "")), 0)"),1.0)</f>
        <v>1</v>
      </c>
    </row>
    <row r="35" ht="65.25" customHeight="1">
      <c r="A35" s="39">
        <v>34.0</v>
      </c>
      <c r="B35" s="108">
        <v>4.0076942E7</v>
      </c>
      <c r="C35" s="108">
        <v>0.0</v>
      </c>
      <c r="D35" s="108" t="s">
        <v>386</v>
      </c>
      <c r="E35" s="63" t="s">
        <v>6</v>
      </c>
      <c r="F35" s="109" t="str">
        <f>+IFERROR(VLOOKUP(E35,'Feriados y Comunas'!$C$1:$D$36,2,FALSE),"")</f>
        <v>LLANQUIHUE</v>
      </c>
      <c r="G35" s="110">
        <v>46122.0</v>
      </c>
      <c r="H35" s="111">
        <v>347646.0</v>
      </c>
      <c r="I35" s="111"/>
      <c r="J35" s="108" t="s">
        <v>105</v>
      </c>
      <c r="K35" s="108">
        <v>2026.0</v>
      </c>
      <c r="L35" s="131" t="s">
        <v>106</v>
      </c>
      <c r="M35" s="152" t="s">
        <v>387</v>
      </c>
      <c r="N35" s="114" t="s">
        <v>160</v>
      </c>
      <c r="O35" s="154"/>
      <c r="P35" s="56"/>
      <c r="Q35" s="56" t="s">
        <v>389</v>
      </c>
      <c r="R35" s="56" t="s">
        <v>390</v>
      </c>
      <c r="S35" s="108">
        <v>906.0</v>
      </c>
      <c r="T35" s="108">
        <v>906.0</v>
      </c>
      <c r="U35" s="108">
        <v>1812.0</v>
      </c>
      <c r="V35" s="112" t="s">
        <v>391</v>
      </c>
      <c r="W35" s="112" t="s">
        <v>391</v>
      </c>
      <c r="X35" s="189" t="s">
        <v>392</v>
      </c>
      <c r="Y35" s="110">
        <v>46121.0</v>
      </c>
      <c r="Z35" s="110"/>
      <c r="AA35" s="110">
        <v>46122.0</v>
      </c>
      <c r="AB35" s="110">
        <v>46122.0</v>
      </c>
      <c r="AC35" s="110">
        <v>46122.0</v>
      </c>
      <c r="AD35" s="134">
        <f>WORKDAY(AC35,15,'Feriados y Comunas'!A$2:A$26)</f>
        <v>46143</v>
      </c>
      <c r="AE35" s="125" t="s">
        <v>393</v>
      </c>
      <c r="AF35" s="108"/>
      <c r="AG35" s="108"/>
      <c r="AH35" s="108"/>
      <c r="AI35" s="115"/>
      <c r="AJ35" s="124" t="s">
        <v>394</v>
      </c>
      <c r="AK35" s="124" t="s">
        <v>395</v>
      </c>
      <c r="AL35" s="147" t="s">
        <v>396</v>
      </c>
      <c r="AM35" s="137" t="s">
        <v>262</v>
      </c>
      <c r="AN35" s="148" t="s">
        <v>397</v>
      </c>
      <c r="AO35" s="190">
        <v>46217.0</v>
      </c>
      <c r="AP35" s="118"/>
      <c r="AQ35" s="190">
        <v>46218.0</v>
      </c>
      <c r="AR35" s="108"/>
      <c r="AS35" s="119"/>
      <c r="AT35" s="108"/>
      <c r="AU35" s="119"/>
      <c r="AV35" s="156"/>
      <c r="AW35" s="103" t="s">
        <v>114</v>
      </c>
      <c r="AX35" s="108"/>
      <c r="AY35" s="39">
        <f>IFERROR(__xludf.DUMMYFUNCTION("IFERROR(COUNTA(SPLIT(AK35, "" "")), 0)"),2.0)</f>
        <v>2</v>
      </c>
    </row>
    <row r="36" ht="60.0" customHeight="1">
      <c r="A36" s="39">
        <v>35.0</v>
      </c>
      <c r="B36" s="108">
        <v>4.0078975E7</v>
      </c>
      <c r="C36" s="108">
        <v>0.0</v>
      </c>
      <c r="D36" s="108" t="s">
        <v>398</v>
      </c>
      <c r="E36" s="63" t="s">
        <v>48</v>
      </c>
      <c r="F36" s="109" t="str">
        <f>+IFERROR(VLOOKUP(E36,'Feriados y Comunas'!$C$1:$D$36,2,FALSE),"")</f>
        <v>CHILOÉ</v>
      </c>
      <c r="G36" s="110">
        <v>46147.0</v>
      </c>
      <c r="H36" s="111">
        <v>280878.0</v>
      </c>
      <c r="I36" s="111"/>
      <c r="J36" s="108" t="s">
        <v>105</v>
      </c>
      <c r="K36" s="108">
        <v>2026.0</v>
      </c>
      <c r="L36" s="96" t="s">
        <v>155</v>
      </c>
      <c r="M36" s="56" t="s">
        <v>399</v>
      </c>
      <c r="N36" s="114" t="s">
        <v>160</v>
      </c>
      <c r="O36" s="154"/>
      <c r="P36" s="56"/>
      <c r="Q36" s="56" t="s">
        <v>400</v>
      </c>
      <c r="R36" s="56" t="s">
        <v>401</v>
      </c>
      <c r="S36" s="108"/>
      <c r="T36" s="108"/>
      <c r="U36" s="108"/>
      <c r="V36" s="112" t="s">
        <v>402</v>
      </c>
      <c r="W36" s="112" t="s">
        <v>403</v>
      </c>
      <c r="X36" s="108">
        <v>13420.0</v>
      </c>
      <c r="Y36" s="193">
        <v>46142.0</v>
      </c>
      <c r="Z36" s="193"/>
      <c r="AA36" s="193">
        <v>46147.0</v>
      </c>
      <c r="AB36" s="193">
        <v>46147.0</v>
      </c>
      <c r="AC36" s="193">
        <v>46148.0</v>
      </c>
      <c r="AD36" s="134">
        <f>WORKDAY(AC36,15,'Feriados y Comunas'!A$2:A$26)</f>
        <v>46169</v>
      </c>
      <c r="AE36" s="63" t="s">
        <v>180</v>
      </c>
      <c r="AF36" s="108"/>
      <c r="AG36" s="108"/>
      <c r="AH36" s="108"/>
      <c r="AI36" s="115"/>
      <c r="AJ36" s="148">
        <v>1402.0</v>
      </c>
      <c r="AK36" s="190">
        <v>46183.0</v>
      </c>
      <c r="AL36" s="195">
        <v>46157.0</v>
      </c>
      <c r="AM36" s="117" t="s">
        <v>270</v>
      </c>
      <c r="AN36" s="108"/>
      <c r="AO36" s="110"/>
      <c r="AP36" s="110"/>
      <c r="AQ36" s="110"/>
      <c r="AR36" s="108"/>
      <c r="AS36" s="119"/>
      <c r="AT36" s="108"/>
      <c r="AU36" s="119"/>
      <c r="AV36" s="156"/>
      <c r="AW36" s="103" t="s">
        <v>114</v>
      </c>
      <c r="AX36" s="108"/>
      <c r="AY36" s="39">
        <f>IFERROR(__xludf.DUMMYFUNCTION("IFERROR(COUNTA(SPLIT(AK36, "" "")), 0)"),1.0)</f>
        <v>1</v>
      </c>
    </row>
    <row r="37" ht="60.0" customHeight="1">
      <c r="A37" s="39">
        <v>36.0</v>
      </c>
      <c r="B37" s="148">
        <v>4.0075435E7</v>
      </c>
      <c r="C37" s="148">
        <v>0.0</v>
      </c>
      <c r="D37" s="148" t="s">
        <v>404</v>
      </c>
      <c r="E37" s="125" t="s">
        <v>11</v>
      </c>
      <c r="F37" s="109" t="str">
        <f>+IFERROR(VLOOKUP(E37,'Feriados y Comunas'!$C$1:$D$36,2,FALSE),"")</f>
        <v>LLANQUIHUE</v>
      </c>
      <c r="G37" s="149">
        <v>46177.0</v>
      </c>
      <c r="H37" s="142">
        <v>324664.0</v>
      </c>
      <c r="I37" s="111"/>
      <c r="J37" s="108" t="s">
        <v>105</v>
      </c>
      <c r="K37" s="108">
        <v>2026.0</v>
      </c>
      <c r="L37" s="112" t="s">
        <v>241</v>
      </c>
      <c r="M37" s="152" t="s">
        <v>405</v>
      </c>
      <c r="N37" s="114" t="s">
        <v>160</v>
      </c>
      <c r="O37" s="154"/>
      <c r="P37" s="56"/>
      <c r="Q37" s="56"/>
      <c r="R37" s="56"/>
      <c r="S37" s="108"/>
      <c r="T37" s="108"/>
      <c r="U37" s="108"/>
      <c r="V37" s="147" t="s">
        <v>406</v>
      </c>
      <c r="W37" s="147" t="s">
        <v>406</v>
      </c>
      <c r="X37" s="148">
        <v>402.0</v>
      </c>
      <c r="Y37" s="149">
        <v>46177.0</v>
      </c>
      <c r="Z37" s="110"/>
      <c r="AA37" s="149">
        <v>46177.0</v>
      </c>
      <c r="AB37" s="149">
        <v>46177.0</v>
      </c>
      <c r="AC37" s="149">
        <v>46177.0</v>
      </c>
      <c r="AD37" s="134">
        <f>WORKDAY(AC37,15,'Feriados y Comunas'!A$2:A$26)</f>
        <v>46198</v>
      </c>
      <c r="AE37" s="63" t="s">
        <v>180</v>
      </c>
      <c r="AF37" s="108"/>
      <c r="AG37" s="108"/>
      <c r="AH37" s="108"/>
      <c r="AI37" s="115"/>
      <c r="AJ37" s="198" t="s">
        <v>407</v>
      </c>
      <c r="AK37" s="198" t="s">
        <v>408</v>
      </c>
      <c r="AL37" s="198" t="s">
        <v>409</v>
      </c>
      <c r="AM37" s="137" t="s">
        <v>262</v>
      </c>
      <c r="AN37" s="148">
        <v>579.0</v>
      </c>
      <c r="AO37" s="149">
        <v>46231.0</v>
      </c>
      <c r="AP37" s="110"/>
      <c r="AQ37" s="149">
        <v>46232.0</v>
      </c>
      <c r="AR37" s="108"/>
      <c r="AS37" s="119"/>
      <c r="AT37" s="108"/>
      <c r="AU37" s="119"/>
      <c r="AV37" s="156"/>
      <c r="AW37" s="103" t="s">
        <v>114</v>
      </c>
      <c r="AX37" s="108"/>
      <c r="AY37" s="39">
        <f>IFERROR(__xludf.DUMMYFUNCTION("IFERROR(COUNTA(SPLIT(AK37, "" "")), 0)"),1.0)</f>
        <v>1</v>
      </c>
    </row>
    <row r="38" ht="60.0" customHeight="1">
      <c r="A38" s="39">
        <v>37.0</v>
      </c>
      <c r="B38" s="148">
        <v>4.0064838E7</v>
      </c>
      <c r="C38" s="148">
        <v>0.0</v>
      </c>
      <c r="D38" s="148" t="s">
        <v>410</v>
      </c>
      <c r="E38" s="125" t="s">
        <v>32</v>
      </c>
      <c r="F38" s="109" t="str">
        <f>+IFERROR(VLOOKUP(E38,'Feriados y Comunas'!$C$1:$D$36,2,FALSE),"")</f>
        <v>CHILOÉ</v>
      </c>
      <c r="G38" s="149">
        <v>46177.0</v>
      </c>
      <c r="H38" s="142">
        <v>327411.0</v>
      </c>
      <c r="I38" s="111"/>
      <c r="J38" s="108" t="s">
        <v>105</v>
      </c>
      <c r="K38" s="108">
        <v>2026.0</v>
      </c>
      <c r="L38" s="112" t="s">
        <v>241</v>
      </c>
      <c r="M38" s="152" t="s">
        <v>412</v>
      </c>
      <c r="N38" s="114" t="s">
        <v>160</v>
      </c>
      <c r="O38" s="154"/>
      <c r="P38" s="56"/>
      <c r="Q38" s="56"/>
      <c r="R38" s="56"/>
      <c r="S38" s="108"/>
      <c r="T38" s="108"/>
      <c r="U38" s="108"/>
      <c r="V38" s="147" t="s">
        <v>413</v>
      </c>
      <c r="W38" s="147" t="s">
        <v>413</v>
      </c>
      <c r="X38" s="148">
        <v>270.0</v>
      </c>
      <c r="Y38" s="149">
        <v>46177.0</v>
      </c>
      <c r="Z38" s="110"/>
      <c r="AA38" s="149">
        <v>46177.0</v>
      </c>
      <c r="AB38" s="149">
        <v>46177.0</v>
      </c>
      <c r="AC38" s="149">
        <v>46177.0</v>
      </c>
      <c r="AD38" s="134">
        <f>WORKDAY(AC38,15,'Feriados y Comunas'!A$2:A$26)</f>
        <v>46198</v>
      </c>
      <c r="AE38" s="63" t="s">
        <v>180</v>
      </c>
      <c r="AF38" s="108"/>
      <c r="AG38" s="108"/>
      <c r="AH38" s="108"/>
      <c r="AI38" s="115"/>
      <c r="AJ38" s="148">
        <v>1466.0</v>
      </c>
      <c r="AK38" s="190">
        <v>46189.0</v>
      </c>
      <c r="AL38" s="190">
        <v>46188.0</v>
      </c>
      <c r="AM38" s="117" t="s">
        <v>270</v>
      </c>
      <c r="AN38" s="108"/>
      <c r="AO38" s="110"/>
      <c r="AP38" s="110"/>
      <c r="AQ38" s="110"/>
      <c r="AR38" s="108"/>
      <c r="AS38" s="119"/>
      <c r="AT38" s="108"/>
      <c r="AU38" s="119"/>
      <c r="AV38" s="156"/>
      <c r="AW38" s="103" t="s">
        <v>114</v>
      </c>
      <c r="AX38" s="108"/>
      <c r="AY38" s="39">
        <f>IFERROR(__xludf.DUMMYFUNCTION("IFERROR(COUNTA(SPLIT(AK38, "" "")), 0)"),1.0)</f>
        <v>1</v>
      </c>
    </row>
    <row r="39" ht="60.0" customHeight="1">
      <c r="A39" s="39">
        <v>38.0</v>
      </c>
      <c r="B39" s="148">
        <v>5.0002094E7</v>
      </c>
      <c r="C39" s="148">
        <v>0.0</v>
      </c>
      <c r="D39" s="148" t="s">
        <v>414</v>
      </c>
      <c r="E39" s="125" t="s">
        <v>6</v>
      </c>
      <c r="F39" s="109" t="str">
        <f>+IFERROR(VLOOKUP(E39,'Feriados y Comunas'!$C$1:$D$36,2,FALSE),"")</f>
        <v>LLANQUIHUE</v>
      </c>
      <c r="G39" s="149">
        <v>46196.0</v>
      </c>
      <c r="H39" s="142">
        <v>347000.0</v>
      </c>
      <c r="I39" s="111"/>
      <c r="J39" s="108" t="s">
        <v>105</v>
      </c>
      <c r="K39" s="108">
        <v>2026.0</v>
      </c>
      <c r="L39" s="131" t="s">
        <v>106</v>
      </c>
      <c r="M39" s="152" t="s">
        <v>415</v>
      </c>
      <c r="N39" s="114" t="s">
        <v>160</v>
      </c>
      <c r="O39" s="154"/>
      <c r="P39" s="56"/>
      <c r="Q39" s="56"/>
      <c r="R39" s="56"/>
      <c r="S39" s="108"/>
      <c r="T39" s="108"/>
      <c r="U39" s="108"/>
      <c r="V39" s="112" t="s">
        <v>391</v>
      </c>
      <c r="W39" s="112" t="s">
        <v>391</v>
      </c>
      <c r="X39" s="148">
        <v>492.0</v>
      </c>
      <c r="Y39" s="149">
        <v>46195.0</v>
      </c>
      <c r="Z39" s="110"/>
      <c r="AA39" s="149">
        <v>46196.0</v>
      </c>
      <c r="AB39" s="149">
        <v>46196.0</v>
      </c>
      <c r="AC39" s="149">
        <v>46196.0</v>
      </c>
      <c r="AD39" s="134">
        <f>WORKDAY(AC39,15,'Feriados y Comunas'!A$2:A$26)</f>
        <v>46217</v>
      </c>
      <c r="AE39" s="63" t="s">
        <v>180</v>
      </c>
      <c r="AF39" s="108"/>
      <c r="AG39" s="108"/>
      <c r="AH39" s="108"/>
      <c r="AI39" s="115"/>
      <c r="AJ39" s="148">
        <v>1602.0</v>
      </c>
      <c r="AK39" s="190">
        <v>46199.0</v>
      </c>
      <c r="AL39" s="190">
        <v>46198.0</v>
      </c>
      <c r="AM39" s="117" t="s">
        <v>270</v>
      </c>
      <c r="AN39" s="108"/>
      <c r="AO39" s="110"/>
      <c r="AP39" s="110"/>
      <c r="AQ39" s="110"/>
      <c r="AR39" s="108"/>
      <c r="AS39" s="119"/>
      <c r="AT39" s="108"/>
      <c r="AU39" s="119"/>
      <c r="AV39" s="156"/>
      <c r="AW39" s="103" t="s">
        <v>114</v>
      </c>
      <c r="AX39" s="108"/>
      <c r="AY39" s="39">
        <f>IFERROR(__xludf.DUMMYFUNCTION("IFERROR(COUNTA(SPLIT(AK39, "" "")), 0)"),1.0)</f>
        <v>1</v>
      </c>
    </row>
    <row r="40" ht="60.0" customHeight="1">
      <c r="A40" s="39">
        <v>39.0</v>
      </c>
      <c r="B40" s="148">
        <v>5.000209E7</v>
      </c>
      <c r="C40" s="148">
        <v>0.0</v>
      </c>
      <c r="D40" s="148" t="s">
        <v>416</v>
      </c>
      <c r="E40" s="125" t="s">
        <v>6</v>
      </c>
      <c r="F40" s="109" t="str">
        <f>+IFERROR(VLOOKUP(E40,'Feriados y Comunas'!$C$1:$D$36,2,FALSE),"")</f>
        <v>LLANQUIHUE</v>
      </c>
      <c r="G40" s="149">
        <v>46196.0</v>
      </c>
      <c r="H40" s="142">
        <v>347000.0</v>
      </c>
      <c r="I40" s="111"/>
      <c r="J40" s="108" t="s">
        <v>105</v>
      </c>
      <c r="K40" s="108">
        <v>2026.0</v>
      </c>
      <c r="L40" s="131" t="s">
        <v>106</v>
      </c>
      <c r="M40" s="152" t="s">
        <v>417</v>
      </c>
      <c r="N40" s="114" t="s">
        <v>160</v>
      </c>
      <c r="O40" s="154"/>
      <c r="P40" s="56"/>
      <c r="Q40" s="56"/>
      <c r="R40" s="56"/>
      <c r="S40" s="108"/>
      <c r="T40" s="108"/>
      <c r="U40" s="108"/>
      <c r="V40" s="112" t="s">
        <v>391</v>
      </c>
      <c r="W40" s="112" t="s">
        <v>391</v>
      </c>
      <c r="X40" s="148">
        <v>491.0</v>
      </c>
      <c r="Y40" s="149">
        <v>46195.0</v>
      </c>
      <c r="Z40" s="110"/>
      <c r="AA40" s="149">
        <v>46196.0</v>
      </c>
      <c r="AB40" s="149">
        <v>46196.0</v>
      </c>
      <c r="AC40" s="149">
        <v>46196.0</v>
      </c>
      <c r="AD40" s="134">
        <f>WORKDAY(AC40,15,'Feriados y Comunas'!A$2:A$26)</f>
        <v>46217</v>
      </c>
      <c r="AE40" s="63" t="s">
        <v>180</v>
      </c>
      <c r="AF40" s="108"/>
      <c r="AG40" s="108"/>
      <c r="AH40" s="108"/>
      <c r="AI40" s="115"/>
      <c r="AJ40" s="148">
        <v>1601.0</v>
      </c>
      <c r="AK40" s="190">
        <v>46199.0</v>
      </c>
      <c r="AL40" s="190">
        <v>46198.0</v>
      </c>
      <c r="AM40" s="117" t="s">
        <v>270</v>
      </c>
      <c r="AN40" s="108"/>
      <c r="AO40" s="110"/>
      <c r="AP40" s="110"/>
      <c r="AQ40" s="110"/>
      <c r="AR40" s="108"/>
      <c r="AS40" s="119"/>
      <c r="AT40" s="108"/>
      <c r="AU40" s="119"/>
      <c r="AV40" s="156"/>
      <c r="AW40" s="74" t="s">
        <v>263</v>
      </c>
      <c r="AX40" s="108"/>
      <c r="AY40" s="39">
        <f>IFERROR(__xludf.DUMMYFUNCTION("IFERROR(COUNTA(SPLIT(AK40, "" "")), 0)"),1.0)</f>
        <v>1</v>
      </c>
    </row>
    <row r="41" ht="60.0" customHeight="1">
      <c r="A41" s="39">
        <v>40.0</v>
      </c>
      <c r="B41" s="148">
        <v>4.0079338E7</v>
      </c>
      <c r="C41" s="148">
        <v>0.0</v>
      </c>
      <c r="D41" s="148" t="s">
        <v>418</v>
      </c>
      <c r="E41" s="125" t="s">
        <v>39</v>
      </c>
      <c r="F41" s="109" t="str">
        <f>+IFERROR(VLOOKUP(E41,'Feriados y Comunas'!$C$1:$D$36,2,FALSE),"")</f>
        <v>CHILOÉ</v>
      </c>
      <c r="G41" s="149">
        <v>46189.0</v>
      </c>
      <c r="H41" s="142">
        <v>205940.0</v>
      </c>
      <c r="I41" s="111"/>
      <c r="J41" s="108" t="s">
        <v>105</v>
      </c>
      <c r="K41" s="108">
        <v>2026.0</v>
      </c>
      <c r="L41" s="147" t="s">
        <v>139</v>
      </c>
      <c r="M41" s="152" t="s">
        <v>419</v>
      </c>
      <c r="N41" s="114" t="s">
        <v>160</v>
      </c>
      <c r="O41" s="154"/>
      <c r="P41" s="56"/>
      <c r="Q41" s="56"/>
      <c r="R41" s="56"/>
      <c r="S41" s="148">
        <v>456.0</v>
      </c>
      <c r="T41" s="148">
        <v>435.0</v>
      </c>
      <c r="U41" s="148">
        <v>891.0</v>
      </c>
      <c r="V41" s="112" t="s">
        <v>179</v>
      </c>
      <c r="W41" s="112" t="s">
        <v>179</v>
      </c>
      <c r="X41" s="148">
        <v>199.0</v>
      </c>
      <c r="Y41" s="149">
        <v>46189.0</v>
      </c>
      <c r="Z41" s="110"/>
      <c r="AA41" s="149">
        <v>46189.0</v>
      </c>
      <c r="AB41" s="149">
        <v>46189.0</v>
      </c>
      <c r="AC41" s="149">
        <v>46189.0</v>
      </c>
      <c r="AD41" s="134">
        <f>WORKDAY(AC41,15,'Feriados y Comunas'!A$2:A$26)</f>
        <v>46210</v>
      </c>
      <c r="AE41" s="125" t="s">
        <v>420</v>
      </c>
      <c r="AF41" s="108"/>
      <c r="AG41" s="108"/>
      <c r="AH41" s="108"/>
      <c r="AI41" s="115"/>
      <c r="AJ41" s="124" t="s">
        <v>421</v>
      </c>
      <c r="AK41" s="124" t="s">
        <v>422</v>
      </c>
      <c r="AL41" s="124" t="s">
        <v>423</v>
      </c>
      <c r="AM41" s="136" t="s">
        <v>262</v>
      </c>
      <c r="AN41" s="148">
        <v>272.0</v>
      </c>
      <c r="AO41" s="149">
        <v>46206.0</v>
      </c>
      <c r="AP41" s="110"/>
      <c r="AQ41" s="149">
        <v>46238.0</v>
      </c>
      <c r="AR41" s="108"/>
      <c r="AS41" s="119"/>
      <c r="AT41" s="108"/>
      <c r="AU41" s="119"/>
      <c r="AV41" s="156"/>
      <c r="AW41" s="103" t="s">
        <v>114</v>
      </c>
      <c r="AX41" s="108"/>
      <c r="AY41" s="39">
        <f>IFERROR(__xludf.DUMMYFUNCTION("IFERROR(COUNTA(SPLIT(AK41, "" "")), 0)"),2.0)</f>
        <v>2</v>
      </c>
    </row>
    <row r="42" ht="60.0" customHeight="1">
      <c r="A42" s="39">
        <v>41.0</v>
      </c>
      <c r="B42" s="148">
        <v>4.008088E7</v>
      </c>
      <c r="C42" s="148">
        <v>0.0</v>
      </c>
      <c r="D42" s="148" t="s">
        <v>424</v>
      </c>
      <c r="E42" s="125" t="s">
        <v>61</v>
      </c>
      <c r="F42" s="109" t="str">
        <f>+IFERROR(VLOOKUP(E42,'Feriados y Comunas'!$C$1:$D$36,2,FALSE),"")</f>
        <v>OSORNO</v>
      </c>
      <c r="G42" s="149">
        <v>46232.0</v>
      </c>
      <c r="H42" s="142">
        <v>348755.0</v>
      </c>
      <c r="I42" s="111"/>
      <c r="J42" s="148" t="s">
        <v>105</v>
      </c>
      <c r="K42" s="148">
        <v>2026.0</v>
      </c>
      <c r="L42" s="147" t="s">
        <v>106</v>
      </c>
      <c r="M42" s="152" t="s">
        <v>425</v>
      </c>
      <c r="N42" s="114" t="s">
        <v>160</v>
      </c>
      <c r="O42" s="154"/>
      <c r="P42" s="56"/>
      <c r="Q42" s="56"/>
      <c r="R42" s="56"/>
      <c r="S42" s="148">
        <v>300.0</v>
      </c>
      <c r="T42" s="148">
        <v>310.0</v>
      </c>
      <c r="U42" s="148">
        <v>610.0</v>
      </c>
      <c r="V42" s="147" t="s">
        <v>426</v>
      </c>
      <c r="W42" s="147" t="s">
        <v>426</v>
      </c>
      <c r="X42" s="148">
        <v>407.0</v>
      </c>
      <c r="Y42" s="149">
        <v>46226.0</v>
      </c>
      <c r="Z42" s="110"/>
      <c r="AA42" s="149">
        <v>46232.0</v>
      </c>
      <c r="AB42" s="149">
        <v>46232.0</v>
      </c>
      <c r="AC42" s="149">
        <v>46232.0</v>
      </c>
      <c r="AD42" s="134">
        <f>WORKDAY(AC42,15,'Feriados y Comunas'!A$2:A$26)</f>
        <v>46253</v>
      </c>
      <c r="AE42" s="70" t="s">
        <v>427</v>
      </c>
      <c r="AF42" s="112"/>
      <c r="AG42" s="112"/>
      <c r="AH42" s="112"/>
      <c r="AI42" s="150"/>
      <c r="AJ42" s="124">
        <v>2060.0</v>
      </c>
      <c r="AK42" s="168">
        <v>46234.0</v>
      </c>
      <c r="AL42" s="168">
        <v>46234.0</v>
      </c>
      <c r="AM42" s="139" t="s">
        <v>270</v>
      </c>
      <c r="AN42" s="116"/>
      <c r="AO42" s="151"/>
      <c r="AP42" s="151"/>
      <c r="AQ42" s="151"/>
      <c r="AR42" s="116"/>
      <c r="AS42" s="146"/>
      <c r="AT42" s="116"/>
      <c r="AU42" s="146"/>
      <c r="AV42" s="156"/>
      <c r="AW42" s="103" t="s">
        <v>114</v>
      </c>
      <c r="AX42" s="108"/>
      <c r="AY42" s="39">
        <f>IFERROR(__xludf.DUMMYFUNCTION("IFERROR(COUNTA(SPLIT(AK42, "" "")), 0)"),1.0)</f>
        <v>1</v>
      </c>
    </row>
    <row r="43" ht="60.0" customHeight="1">
      <c r="A43" s="39">
        <v>42.0</v>
      </c>
      <c r="B43" s="148">
        <v>4.0078828E7</v>
      </c>
      <c r="C43" s="148">
        <v>0.0</v>
      </c>
      <c r="D43" s="148" t="s">
        <v>428</v>
      </c>
      <c r="E43" s="63" t="s">
        <v>51</v>
      </c>
      <c r="F43" s="109" t="str">
        <f>+IFERROR(VLOOKUP(E43,'Feriados y Comunas'!$C$1:$D$36,2,FALSE),"")</f>
        <v>OSORNO</v>
      </c>
      <c r="G43" s="149">
        <v>46184.0</v>
      </c>
      <c r="H43" s="142">
        <v>347900.0</v>
      </c>
      <c r="I43" s="111"/>
      <c r="J43" s="108" t="s">
        <v>105</v>
      </c>
      <c r="K43" s="108">
        <v>2026.0</v>
      </c>
      <c r="L43" s="147" t="s">
        <v>106</v>
      </c>
      <c r="M43" s="152"/>
      <c r="N43" s="114" t="s">
        <v>160</v>
      </c>
      <c r="O43" s="154"/>
      <c r="P43" s="56"/>
      <c r="Q43" s="56"/>
      <c r="R43" s="56"/>
      <c r="S43" s="108"/>
      <c r="T43" s="108"/>
      <c r="U43" s="108"/>
      <c r="V43" s="112" t="s">
        <v>385</v>
      </c>
      <c r="W43" s="112" t="s">
        <v>385</v>
      </c>
      <c r="X43" s="148">
        <v>2.026015391E9</v>
      </c>
      <c r="Y43" s="149">
        <v>46184.0</v>
      </c>
      <c r="Z43" s="110"/>
      <c r="AA43" s="149">
        <v>46184.0</v>
      </c>
      <c r="AB43" s="149">
        <v>46184.0</v>
      </c>
      <c r="AC43" s="149">
        <v>46184.0</v>
      </c>
      <c r="AD43" s="134">
        <f>WORKDAY(AC43,15,'Feriados y Comunas'!A$2:A$26)</f>
        <v>46205</v>
      </c>
      <c r="AE43" s="125" t="s">
        <v>429</v>
      </c>
      <c r="AF43" s="108"/>
      <c r="AG43" s="108"/>
      <c r="AH43" s="108"/>
      <c r="AI43" s="115"/>
      <c r="AJ43" s="124" t="s">
        <v>430</v>
      </c>
      <c r="AK43" s="124" t="s">
        <v>431</v>
      </c>
      <c r="AL43" s="124" t="s">
        <v>432</v>
      </c>
      <c r="AM43" s="136" t="s">
        <v>262</v>
      </c>
      <c r="AN43" s="148">
        <v>22.686</v>
      </c>
      <c r="AO43" s="190">
        <v>46248.0</v>
      </c>
      <c r="AP43" s="118"/>
      <c r="AQ43" s="190">
        <v>46248.0</v>
      </c>
      <c r="AR43" s="108"/>
      <c r="AS43" s="119"/>
      <c r="AT43" s="108"/>
      <c r="AU43" s="119"/>
      <c r="AV43" s="156"/>
      <c r="AW43" s="103" t="s">
        <v>114</v>
      </c>
      <c r="AX43" s="108"/>
      <c r="AY43" s="39">
        <f>IFERROR(__xludf.DUMMYFUNCTION("IFERROR(COUNTA(SPLIT(AK43, "" "")), 0)"),2.0)</f>
        <v>2</v>
      </c>
    </row>
    <row r="44" ht="60.0" customHeight="1">
      <c r="A44" s="120">
        <v>43.0</v>
      </c>
      <c r="B44" s="148">
        <v>4.0079646E7</v>
      </c>
      <c r="C44" s="148">
        <v>0.0</v>
      </c>
      <c r="D44" s="148" t="s">
        <v>433</v>
      </c>
      <c r="E44" s="125" t="s">
        <v>74</v>
      </c>
      <c r="F44" s="127" t="str">
        <f>+IFERROR(VLOOKUP(E44,'Feriados y Comunas'!$C$1:$D$36,2,FALSE),"")</f>
        <v>PALENA</v>
      </c>
      <c r="G44" s="149">
        <v>46208.0</v>
      </c>
      <c r="H44" s="142">
        <v>330000.0</v>
      </c>
      <c r="I44" s="111"/>
      <c r="J44" s="108" t="s">
        <v>105</v>
      </c>
      <c r="K44" s="148">
        <v>2026.0</v>
      </c>
      <c r="L44" s="147" t="s">
        <v>139</v>
      </c>
      <c r="M44" s="152"/>
      <c r="N44" s="114" t="s">
        <v>160</v>
      </c>
      <c r="O44" s="154"/>
      <c r="P44" s="56"/>
      <c r="Q44" s="56"/>
      <c r="R44" s="56"/>
      <c r="S44" s="108"/>
      <c r="T44" s="108"/>
      <c r="U44" s="108"/>
      <c r="V44" s="147" t="s">
        <v>434</v>
      </c>
      <c r="W44" s="147" t="s">
        <v>434</v>
      </c>
      <c r="X44" s="148">
        <v>670.0</v>
      </c>
      <c r="Y44" s="149">
        <v>46225.0</v>
      </c>
      <c r="Z44" s="110"/>
      <c r="AA44" s="149">
        <v>46239.0</v>
      </c>
      <c r="AB44" s="149">
        <v>46239.0</v>
      </c>
      <c r="AC44" s="149">
        <v>46239.0</v>
      </c>
      <c r="AD44" s="134">
        <f>WORKDAY(AC44,15,'Feriados y Comunas'!A$2:A$26)</f>
        <v>46260</v>
      </c>
      <c r="AE44" s="63" t="s">
        <v>180</v>
      </c>
      <c r="AF44" s="108"/>
      <c r="AG44" s="108"/>
      <c r="AH44" s="108"/>
      <c r="AI44" s="115"/>
      <c r="AJ44" s="148">
        <v>2484.0</v>
      </c>
      <c r="AK44" s="190">
        <v>46258.0</v>
      </c>
      <c r="AL44" s="190">
        <v>46255.0</v>
      </c>
      <c r="AM44" s="139" t="s">
        <v>270</v>
      </c>
      <c r="AN44" s="108"/>
      <c r="AO44" s="118"/>
      <c r="AP44" s="118"/>
      <c r="AQ44" s="118"/>
      <c r="AR44" s="108"/>
      <c r="AS44" s="119"/>
      <c r="AT44" s="108"/>
      <c r="AU44" s="119"/>
      <c r="AV44" s="156"/>
      <c r="AW44" s="74" t="s">
        <v>114</v>
      </c>
      <c r="AX44" s="108"/>
      <c r="AY44" s="39">
        <f>IFERROR(__xludf.DUMMYFUNCTION("IFERROR(COUNTA(SPLIT(AK44, "" "")), 0)"),1.0)</f>
        <v>1</v>
      </c>
    </row>
    <row r="45" ht="60.0" customHeight="1">
      <c r="A45" s="39">
        <v>44.0</v>
      </c>
      <c r="B45" s="148">
        <v>4.0071282E7</v>
      </c>
      <c r="C45" s="148">
        <v>0.0</v>
      </c>
      <c r="D45" s="148" t="s">
        <v>435</v>
      </c>
      <c r="E45" s="125" t="s">
        <v>39</v>
      </c>
      <c r="F45" s="127" t="str">
        <f>+IFERROR(VLOOKUP(E45,'Feriados y Comunas'!$C$1:$D$36,2,FALSE),"")</f>
        <v>CHILOÉ</v>
      </c>
      <c r="G45" s="149">
        <v>46224.0</v>
      </c>
      <c r="H45" s="142">
        <v>318789.0</v>
      </c>
      <c r="I45" s="111"/>
      <c r="J45" s="108" t="s">
        <v>105</v>
      </c>
      <c r="K45" s="148">
        <v>2026.0</v>
      </c>
      <c r="L45" s="131" t="s">
        <v>200</v>
      </c>
      <c r="M45" s="152"/>
      <c r="N45" s="114" t="s">
        <v>160</v>
      </c>
      <c r="O45" s="154"/>
      <c r="P45" s="56"/>
      <c r="Q45" s="56"/>
      <c r="R45" s="56"/>
      <c r="S45" s="108"/>
      <c r="T45" s="108"/>
      <c r="U45" s="108"/>
      <c r="V45" s="112" t="s">
        <v>179</v>
      </c>
      <c r="W45" s="112" t="s">
        <v>179</v>
      </c>
      <c r="X45" s="148">
        <v>251.0</v>
      </c>
      <c r="Y45" s="149">
        <v>46224.0</v>
      </c>
      <c r="Z45" s="110"/>
      <c r="AA45" s="149">
        <v>46224.0</v>
      </c>
      <c r="AB45" s="149">
        <v>46224.0</v>
      </c>
      <c r="AC45" s="149">
        <v>46224.0</v>
      </c>
      <c r="AD45" s="134">
        <f>WORKDAY(AC45,15,'Feriados y Comunas'!A$2:A$26)</f>
        <v>46245</v>
      </c>
      <c r="AE45" s="63" t="s">
        <v>180</v>
      </c>
      <c r="AF45" s="108"/>
      <c r="AG45" s="108"/>
      <c r="AH45" s="108"/>
      <c r="AI45" s="115"/>
      <c r="AJ45" s="148">
        <v>2540.0</v>
      </c>
      <c r="AK45" s="190">
        <v>46260.0</v>
      </c>
      <c r="AL45" s="190">
        <v>46260.0</v>
      </c>
      <c r="AM45" s="139" t="s">
        <v>270</v>
      </c>
      <c r="AN45" s="108"/>
      <c r="AO45" s="118"/>
      <c r="AP45" s="118"/>
      <c r="AQ45" s="118"/>
      <c r="AR45" s="108"/>
      <c r="AS45" s="119"/>
      <c r="AT45" s="108"/>
      <c r="AU45" s="119"/>
      <c r="AV45" s="156"/>
      <c r="AW45" s="74" t="s">
        <v>114</v>
      </c>
      <c r="AX45" s="108"/>
      <c r="AY45" s="39">
        <f>IFERROR(__xludf.DUMMYFUNCTION("IFERROR(COUNTA(SPLIT(AK45, "" "")), 0)"),1.0)</f>
        <v>1</v>
      </c>
    </row>
    <row r="46" ht="60.0" customHeight="1">
      <c r="A46" s="39">
        <v>45.0</v>
      </c>
      <c r="B46" s="148">
        <v>4.0076941E7</v>
      </c>
      <c r="C46" s="148">
        <v>0.0</v>
      </c>
      <c r="D46" s="148" t="s">
        <v>436</v>
      </c>
      <c r="E46" s="125" t="s">
        <v>6</v>
      </c>
      <c r="F46" s="127" t="str">
        <f>+IFERROR(VLOOKUP(E46,'Feriados y Comunas'!$C$1:$D$36,2,FALSE),"")</f>
        <v>LLANQUIHUE</v>
      </c>
      <c r="G46" s="149">
        <v>46240.0</v>
      </c>
      <c r="H46" s="142">
        <v>195010.0</v>
      </c>
      <c r="I46" s="111"/>
      <c r="J46" s="108" t="s">
        <v>105</v>
      </c>
      <c r="K46" s="148">
        <v>2026.0</v>
      </c>
      <c r="L46" s="147" t="s">
        <v>106</v>
      </c>
      <c r="M46" s="152"/>
      <c r="N46" s="114" t="s">
        <v>160</v>
      </c>
      <c r="O46" s="154"/>
      <c r="P46" s="56"/>
      <c r="Q46" s="56"/>
      <c r="R46" s="56"/>
      <c r="S46" s="108"/>
      <c r="T46" s="108"/>
      <c r="U46" s="108"/>
      <c r="V46" s="112" t="s">
        <v>391</v>
      </c>
      <c r="W46" s="112" t="s">
        <v>391</v>
      </c>
      <c r="X46" s="198" t="s">
        <v>437</v>
      </c>
      <c r="Y46" s="149">
        <v>46239.0</v>
      </c>
      <c r="Z46" s="110"/>
      <c r="AA46" s="149">
        <v>46239.0</v>
      </c>
      <c r="AB46" s="149">
        <v>46239.0</v>
      </c>
      <c r="AC46" s="149">
        <v>46239.0</v>
      </c>
      <c r="AD46" s="134">
        <f>WORKDAY(AC46,15,'Feriados y Comunas'!A$2:A$26)</f>
        <v>46260</v>
      </c>
      <c r="AE46" s="63" t="s">
        <v>180</v>
      </c>
      <c r="AF46" s="108"/>
      <c r="AG46" s="108"/>
      <c r="AH46" s="108"/>
      <c r="AI46" s="115"/>
      <c r="AJ46" s="148">
        <v>2495.0</v>
      </c>
      <c r="AK46" s="190">
        <v>46259.0</v>
      </c>
      <c r="AL46" s="190">
        <v>46258.0</v>
      </c>
      <c r="AM46" s="139" t="s">
        <v>270</v>
      </c>
      <c r="AN46" s="108"/>
      <c r="AO46" s="118"/>
      <c r="AP46" s="118"/>
      <c r="AQ46" s="118"/>
      <c r="AR46" s="108"/>
      <c r="AS46" s="119"/>
      <c r="AT46" s="108"/>
      <c r="AU46" s="119"/>
      <c r="AV46" s="156"/>
      <c r="AW46" s="74" t="s">
        <v>114</v>
      </c>
      <c r="AX46" s="108"/>
      <c r="AY46" s="39">
        <f>IFERROR(__xludf.DUMMYFUNCTION("IFERROR(COUNTA(SPLIT(AK46, "" "")), 0)"),1.0)</f>
        <v>1</v>
      </c>
    </row>
    <row r="47" ht="60.0" customHeight="1">
      <c r="A47" s="39">
        <v>46.0</v>
      </c>
      <c r="B47" s="148">
        <v>4.0077591E7</v>
      </c>
      <c r="C47" s="148">
        <v>0.0</v>
      </c>
      <c r="D47" s="148" t="s">
        <v>438</v>
      </c>
      <c r="E47" s="125" t="s">
        <v>12</v>
      </c>
      <c r="F47" s="127" t="str">
        <f>+IFERROR(VLOOKUP(E47,'Feriados y Comunas'!$C$1:$D$36,2,FALSE),"")</f>
        <v>LLANQUIHUE</v>
      </c>
      <c r="G47" s="149">
        <v>46241.0</v>
      </c>
      <c r="H47" s="142">
        <v>251829.0</v>
      </c>
      <c r="I47" s="111"/>
      <c r="J47" s="108" t="s">
        <v>105</v>
      </c>
      <c r="K47" s="148">
        <v>2026.0</v>
      </c>
      <c r="L47" s="106" t="s">
        <v>439</v>
      </c>
      <c r="M47" s="56"/>
      <c r="N47" s="114" t="s">
        <v>160</v>
      </c>
      <c r="O47" s="154"/>
      <c r="P47" s="56"/>
      <c r="Q47" s="56"/>
      <c r="R47" s="56"/>
      <c r="S47" s="108"/>
      <c r="T47" s="108"/>
      <c r="U47" s="108"/>
      <c r="V47" s="147" t="s">
        <v>440</v>
      </c>
      <c r="W47" s="147" t="s">
        <v>440</v>
      </c>
      <c r="X47" s="148">
        <v>687.0</v>
      </c>
      <c r="Y47" s="149">
        <v>46241.0</v>
      </c>
      <c r="Z47" s="110"/>
      <c r="AA47" s="149">
        <v>46241.0</v>
      </c>
      <c r="AB47" s="149">
        <v>46241.0</v>
      </c>
      <c r="AC47" s="149">
        <v>46241.0</v>
      </c>
      <c r="AD47" s="134">
        <f>WORKDAY(AC47,15,'Feriados y Comunas'!A$2:A$26)</f>
        <v>46262</v>
      </c>
      <c r="AE47" s="63" t="s">
        <v>180</v>
      </c>
      <c r="AF47" s="108"/>
      <c r="AG47" s="108"/>
      <c r="AH47" s="108"/>
      <c r="AI47" s="115"/>
      <c r="AJ47" s="148">
        <v>2690.0</v>
      </c>
      <c r="AK47" s="190">
        <v>46274.0</v>
      </c>
      <c r="AL47" s="190">
        <v>46273.0</v>
      </c>
      <c r="AM47" s="139" t="s">
        <v>270</v>
      </c>
      <c r="AN47" s="108"/>
      <c r="AO47" s="110"/>
      <c r="AP47" s="110"/>
      <c r="AQ47" s="110"/>
      <c r="AR47" s="108"/>
      <c r="AS47" s="119"/>
      <c r="AT47" s="108"/>
      <c r="AU47" s="119"/>
      <c r="AV47" s="202"/>
      <c r="AW47" s="74" t="s">
        <v>114</v>
      </c>
      <c r="AX47" s="108"/>
      <c r="AY47" s="39">
        <f>IFERROR(__xludf.DUMMYFUNCTION("IFERROR(COUNTA(SPLIT(AK47, "" "")), 0)"),1.0)</f>
        <v>1</v>
      </c>
    </row>
    <row r="48" ht="60.0" customHeight="1">
      <c r="A48" s="39">
        <v>47.0</v>
      </c>
      <c r="B48" s="148">
        <v>4.0081415E7</v>
      </c>
      <c r="C48" s="148">
        <v>0.0</v>
      </c>
      <c r="D48" s="148" t="s">
        <v>441</v>
      </c>
      <c r="E48" s="125" t="s">
        <v>6</v>
      </c>
      <c r="F48" s="127" t="str">
        <f>+IFERROR(VLOOKUP(E48,'Feriados y Comunas'!$C$1:$D$36,2,FALSE),"")</f>
        <v>LLANQUIHUE</v>
      </c>
      <c r="G48" s="149">
        <v>46216.0</v>
      </c>
      <c r="H48" s="203">
        <v>345266.0</v>
      </c>
      <c r="I48" s="204"/>
      <c r="J48" s="108" t="s">
        <v>105</v>
      </c>
      <c r="K48" s="148">
        <v>2026.0</v>
      </c>
      <c r="L48" s="147" t="s">
        <v>106</v>
      </c>
      <c r="M48" s="56"/>
      <c r="N48" s="114" t="s">
        <v>160</v>
      </c>
      <c r="O48" s="205"/>
      <c r="P48" s="56"/>
      <c r="Q48" s="56"/>
      <c r="R48" s="56"/>
      <c r="S48" s="108"/>
      <c r="T48" s="108"/>
      <c r="U48" s="108"/>
      <c r="V48" s="112" t="s">
        <v>391</v>
      </c>
      <c r="W48" s="112" t="s">
        <v>391</v>
      </c>
      <c r="X48" s="148">
        <v>602.0</v>
      </c>
      <c r="Y48" s="149">
        <v>46216.0</v>
      </c>
      <c r="Z48" s="110"/>
      <c r="AA48" s="149">
        <v>46216.0</v>
      </c>
      <c r="AB48" s="149">
        <v>46216.0</v>
      </c>
      <c r="AC48" s="149">
        <v>46216.0</v>
      </c>
      <c r="AD48" s="134">
        <f>WORKDAY(AC48,15,'Feriados y Comunas'!A$2:A$26)</f>
        <v>46237</v>
      </c>
      <c r="AE48" s="63" t="s">
        <v>180</v>
      </c>
      <c r="AF48" s="108"/>
      <c r="AG48" s="108"/>
      <c r="AH48" s="108"/>
      <c r="AI48" s="115"/>
      <c r="AJ48" s="148">
        <v>2861.0</v>
      </c>
      <c r="AK48" s="190">
        <v>46286.0</v>
      </c>
      <c r="AL48" s="190">
        <v>46280.0</v>
      </c>
      <c r="AM48" s="139" t="s">
        <v>270</v>
      </c>
      <c r="AN48" s="108"/>
      <c r="AO48" s="206"/>
      <c r="AP48" s="206"/>
      <c r="AQ48" s="206"/>
      <c r="AR48" s="207"/>
      <c r="AS48" s="208"/>
      <c r="AT48" s="207"/>
      <c r="AU48" s="208"/>
      <c r="AV48" s="209"/>
      <c r="AW48" s="74" t="s">
        <v>114</v>
      </c>
      <c r="AX48" s="108"/>
      <c r="AY48" s="39">
        <f>IFERROR(__xludf.DUMMYFUNCTION("IFERROR(COUNTA(SPLIT(AK48, "" "")), 0)"),1.0)</f>
        <v>1</v>
      </c>
    </row>
    <row r="49" ht="60.0" customHeight="1">
      <c r="A49" s="39">
        <v>48.0</v>
      </c>
      <c r="B49" s="148">
        <v>4.0082188E7</v>
      </c>
      <c r="C49" s="148">
        <v>0.0</v>
      </c>
      <c r="D49" s="148" t="s">
        <v>442</v>
      </c>
      <c r="E49" s="125" t="s">
        <v>28</v>
      </c>
      <c r="F49" s="127" t="str">
        <f>+IFERROR(VLOOKUP(E49,'Feriados y Comunas'!$C$1:$D$36,2,FALSE),"")</f>
        <v>CHILOÉ</v>
      </c>
      <c r="G49" s="149">
        <v>46253.0</v>
      </c>
      <c r="H49" s="203">
        <v>332364.0</v>
      </c>
      <c r="I49" s="204"/>
      <c r="J49" s="108" t="s">
        <v>105</v>
      </c>
      <c r="K49" s="148">
        <v>2026.0</v>
      </c>
      <c r="L49" s="147" t="s">
        <v>174</v>
      </c>
      <c r="M49" s="56"/>
      <c r="N49" s="114" t="s">
        <v>160</v>
      </c>
      <c r="O49" s="205"/>
      <c r="P49" s="56"/>
      <c r="Q49" s="56"/>
      <c r="R49" s="56"/>
      <c r="S49" s="108"/>
      <c r="T49" s="108"/>
      <c r="U49" s="108"/>
      <c r="V49" s="131" t="s">
        <v>204</v>
      </c>
      <c r="W49" s="131" t="s">
        <v>204</v>
      </c>
      <c r="X49" s="148">
        <v>1012.0</v>
      </c>
      <c r="Y49" s="149">
        <v>46252.0</v>
      </c>
      <c r="Z49" s="110"/>
      <c r="AA49" s="149">
        <v>46253.0</v>
      </c>
      <c r="AB49" s="149">
        <v>46253.0</v>
      </c>
      <c r="AC49" s="149">
        <v>46253.0</v>
      </c>
      <c r="AD49" s="134">
        <f>WORKDAY(AC49,15,'Feriados y Comunas'!A$2:A$26)</f>
        <v>46274</v>
      </c>
      <c r="AE49" s="63" t="s">
        <v>180</v>
      </c>
      <c r="AF49" s="108"/>
      <c r="AG49" s="108"/>
      <c r="AH49" s="108"/>
      <c r="AI49" s="115"/>
      <c r="AJ49" s="148">
        <v>2827.0</v>
      </c>
      <c r="AK49" s="190">
        <v>46281.0</v>
      </c>
      <c r="AL49" s="190">
        <v>46279.0</v>
      </c>
      <c r="AM49" s="139" t="s">
        <v>270</v>
      </c>
      <c r="AN49" s="108"/>
      <c r="AO49" s="206"/>
      <c r="AP49" s="206"/>
      <c r="AQ49" s="206"/>
      <c r="AR49" s="207"/>
      <c r="AS49" s="208"/>
      <c r="AT49" s="207"/>
      <c r="AU49" s="208"/>
      <c r="AV49" s="209"/>
      <c r="AW49" s="74" t="s">
        <v>114</v>
      </c>
      <c r="AX49" s="108"/>
      <c r="AY49" s="39">
        <f>IFERROR(__xludf.DUMMYFUNCTION("IFERROR(COUNTA(SPLIT(AK49, "" "")), 0)"),1.0)</f>
        <v>1</v>
      </c>
    </row>
    <row r="50" ht="60.0" customHeight="1">
      <c r="A50" s="39">
        <v>49.0</v>
      </c>
      <c r="B50" s="148">
        <v>4.0079024E7</v>
      </c>
      <c r="C50" s="148">
        <v>0.0</v>
      </c>
      <c r="D50" s="148" t="s">
        <v>443</v>
      </c>
      <c r="E50" s="125" t="s">
        <v>51</v>
      </c>
      <c r="F50" s="127" t="str">
        <f>+IFERROR(VLOOKUP(E50,'Feriados y Comunas'!$C$1:$D$36,2,FALSE),"")</f>
        <v>OSORNO</v>
      </c>
      <c r="G50" s="149">
        <v>46253.0</v>
      </c>
      <c r="H50" s="203">
        <v>223338.0</v>
      </c>
      <c r="I50" s="204"/>
      <c r="J50" s="108" t="s">
        <v>105</v>
      </c>
      <c r="K50" s="148">
        <v>2026.0</v>
      </c>
      <c r="L50" s="112" t="s">
        <v>241</v>
      </c>
      <c r="M50" s="56"/>
      <c r="N50" s="114" t="s">
        <v>160</v>
      </c>
      <c r="O50" s="205"/>
      <c r="P50" s="56"/>
      <c r="Q50" s="56"/>
      <c r="R50" s="56"/>
      <c r="S50" s="108"/>
      <c r="T50" s="108"/>
      <c r="U50" s="108"/>
      <c r="V50" s="112" t="s">
        <v>385</v>
      </c>
      <c r="W50" s="112" t="s">
        <v>385</v>
      </c>
      <c r="X50" s="148">
        <v>23151.0</v>
      </c>
      <c r="Y50" s="149">
        <v>46252.0</v>
      </c>
      <c r="Z50" s="110"/>
      <c r="AA50" s="149">
        <v>46253.0</v>
      </c>
      <c r="AB50" s="149">
        <v>46253.0</v>
      </c>
      <c r="AC50" s="149">
        <v>46253.0</v>
      </c>
      <c r="AD50" s="134">
        <f>WORKDAY(AC50,15,'Feriados y Comunas'!A$2:A$26)</f>
        <v>46274</v>
      </c>
      <c r="AE50" s="63" t="s">
        <v>180</v>
      </c>
      <c r="AF50" s="108"/>
      <c r="AG50" s="108"/>
      <c r="AH50" s="108"/>
      <c r="AI50" s="115"/>
      <c r="AJ50" s="148">
        <v>2877.0</v>
      </c>
      <c r="AK50" s="190">
        <v>46287.0</v>
      </c>
      <c r="AL50" s="190">
        <v>46287.0</v>
      </c>
      <c r="AM50" s="139" t="s">
        <v>270</v>
      </c>
      <c r="AN50" s="108"/>
      <c r="AO50" s="206"/>
      <c r="AP50" s="206"/>
      <c r="AQ50" s="206"/>
      <c r="AR50" s="207"/>
      <c r="AS50" s="208"/>
      <c r="AT50" s="207"/>
      <c r="AU50" s="208"/>
      <c r="AV50" s="209"/>
      <c r="AW50" s="74" t="s">
        <v>114</v>
      </c>
      <c r="AX50" s="108"/>
      <c r="AY50" s="39">
        <f>IFERROR(__xludf.DUMMYFUNCTION("IFERROR(COUNTA(SPLIT(AK50, "" "")), 0)"),1.0)</f>
        <v>1</v>
      </c>
    </row>
    <row r="51" ht="60.0" customHeight="1">
      <c r="A51" s="39">
        <v>50.0</v>
      </c>
      <c r="B51" s="148">
        <v>4.0079109E7</v>
      </c>
      <c r="C51" s="148">
        <v>0.0</v>
      </c>
      <c r="D51" s="148" t="s">
        <v>444</v>
      </c>
      <c r="E51" s="125" t="s">
        <v>51</v>
      </c>
      <c r="F51" s="127" t="str">
        <f>+IFERROR(VLOOKUP(E51,'Feriados y Comunas'!$C$1:$D$36,2,FALSE),"")</f>
        <v>OSORNO</v>
      </c>
      <c r="G51" s="149">
        <v>46253.0</v>
      </c>
      <c r="H51" s="203">
        <v>210887.0</v>
      </c>
      <c r="I51" s="204"/>
      <c r="J51" s="108" t="s">
        <v>105</v>
      </c>
      <c r="K51" s="148">
        <v>2026.0</v>
      </c>
      <c r="L51" s="112" t="s">
        <v>241</v>
      </c>
      <c r="M51" s="56"/>
      <c r="N51" s="114" t="s">
        <v>160</v>
      </c>
      <c r="O51" s="205"/>
      <c r="P51" s="56"/>
      <c r="Q51" s="56"/>
      <c r="R51" s="56"/>
      <c r="S51" s="108"/>
      <c r="T51" s="108"/>
      <c r="U51" s="108"/>
      <c r="V51" s="112" t="s">
        <v>385</v>
      </c>
      <c r="W51" s="112" t="s">
        <v>385</v>
      </c>
      <c r="X51" s="148">
        <v>23153.0</v>
      </c>
      <c r="Y51" s="149">
        <v>46252.0</v>
      </c>
      <c r="Z51" s="110"/>
      <c r="AA51" s="149">
        <v>46253.0</v>
      </c>
      <c r="AB51" s="149">
        <v>46253.0</v>
      </c>
      <c r="AC51" s="149">
        <v>46253.0</v>
      </c>
      <c r="AD51" s="134">
        <f>WORKDAY(AC51,15,'Feriados y Comunas'!A$2:A$26)</f>
        <v>46274</v>
      </c>
      <c r="AE51" s="63" t="s">
        <v>180</v>
      </c>
      <c r="AF51" s="108"/>
      <c r="AG51" s="108"/>
      <c r="AH51" s="108"/>
      <c r="AI51" s="115"/>
      <c r="AJ51" s="148">
        <v>2883.0</v>
      </c>
      <c r="AK51" s="190">
        <v>46288.0</v>
      </c>
      <c r="AL51" s="190">
        <v>46287.0</v>
      </c>
      <c r="AM51" s="139" t="s">
        <v>270</v>
      </c>
      <c r="AN51" s="108"/>
      <c r="AO51" s="206"/>
      <c r="AP51" s="206"/>
      <c r="AQ51" s="206"/>
      <c r="AR51" s="207"/>
      <c r="AS51" s="208"/>
      <c r="AT51" s="207"/>
      <c r="AU51" s="208"/>
      <c r="AV51" s="209"/>
      <c r="AW51" s="74" t="s">
        <v>114</v>
      </c>
      <c r="AX51" s="108"/>
      <c r="AY51" s="39">
        <f>IFERROR(__xludf.DUMMYFUNCTION("IFERROR(COUNTA(SPLIT(AK51, "" "")), 0)"),1.0)</f>
        <v>1</v>
      </c>
    </row>
    <row r="52" ht="60.0" customHeight="1">
      <c r="A52" s="39"/>
      <c r="B52" s="148"/>
      <c r="C52" s="148"/>
      <c r="D52" s="148"/>
      <c r="E52" s="63"/>
      <c r="F52" s="127" t="str">
        <f>+IFERROR(VLOOKUP(E52,'Feriados y Comunas'!$C$1:$D$36,2,FALSE),"")</f>
        <v/>
      </c>
      <c r="G52" s="110"/>
      <c r="H52" s="204"/>
      <c r="I52" s="204"/>
      <c r="J52" s="108"/>
      <c r="K52" s="108"/>
      <c r="L52" s="112"/>
      <c r="M52" s="56"/>
      <c r="N52" s="210"/>
      <c r="O52" s="205"/>
      <c r="P52" s="56"/>
      <c r="Q52" s="56"/>
      <c r="R52" s="56"/>
      <c r="S52" s="108"/>
      <c r="T52" s="108"/>
      <c r="U52" s="108"/>
      <c r="V52" s="112"/>
      <c r="W52" s="112"/>
      <c r="X52" s="108"/>
      <c r="Y52" s="110"/>
      <c r="Z52" s="110"/>
      <c r="AA52" s="110"/>
      <c r="AB52" s="110"/>
      <c r="AC52" s="110"/>
      <c r="AD52" s="134"/>
      <c r="AE52" s="108"/>
      <c r="AF52" s="108"/>
      <c r="AG52" s="108"/>
      <c r="AH52" s="108"/>
      <c r="AI52" s="115"/>
      <c r="AJ52" s="108"/>
      <c r="AK52" s="118"/>
      <c r="AL52" s="118"/>
      <c r="AM52" s="63"/>
      <c r="AN52" s="108"/>
      <c r="AO52" s="206"/>
      <c r="AP52" s="206"/>
      <c r="AQ52" s="206"/>
      <c r="AR52" s="207"/>
      <c r="AS52" s="208"/>
      <c r="AT52" s="207"/>
      <c r="AU52" s="208"/>
      <c r="AV52" s="209"/>
      <c r="AW52" s="211"/>
      <c r="AX52" s="108"/>
      <c r="AY52" s="39"/>
    </row>
    <row r="53" ht="25.5" customHeight="1">
      <c r="A53" s="39"/>
      <c r="G53" s="212"/>
      <c r="H53" s="213">
        <f t="shared" ref="H53:I53" si="5">SUM(H5:H52)</f>
        <v>12536026</v>
      </c>
      <c r="I53" s="213">
        <f t="shared" si="5"/>
        <v>2179729</v>
      </c>
      <c r="N53" s="214">
        <f>COUNTIF(N2:N52, "Pendiente")
</f>
        <v>23</v>
      </c>
      <c r="O53" s="215"/>
      <c r="U53" s="216"/>
      <c r="Y53" s="212"/>
      <c r="Z53" s="212"/>
      <c r="AA53" s="212"/>
      <c r="AB53" s="212"/>
      <c r="AC53" s="212"/>
      <c r="AD53" s="212"/>
      <c r="AI53" s="217"/>
      <c r="AK53" s="212"/>
      <c r="AL53" s="212"/>
      <c r="AO53" s="218" t="s">
        <v>114</v>
      </c>
      <c r="AP53" s="219"/>
      <c r="AQ53" s="220"/>
      <c r="AR53" s="221"/>
      <c r="AS53" s="221"/>
      <c r="AT53" s="221"/>
      <c r="AU53" s="221"/>
      <c r="AV53" s="214"/>
      <c r="AW53" s="214">
        <f>COUNTIF(AW2:AW52, "Observado")
</f>
        <v>36</v>
      </c>
    </row>
    <row r="54" ht="24.75" customHeight="1">
      <c r="A54" s="39"/>
      <c r="G54" s="212"/>
      <c r="O54" s="215"/>
      <c r="U54" s="216"/>
      <c r="Y54" s="212"/>
      <c r="Z54" s="212"/>
      <c r="AA54" s="212"/>
      <c r="AB54" s="212"/>
      <c r="AC54" s="212"/>
      <c r="AD54" s="212"/>
      <c r="AI54" s="222"/>
      <c r="AK54" s="212"/>
      <c r="AL54" s="212"/>
      <c r="AO54" s="218" t="s">
        <v>121</v>
      </c>
      <c r="AP54" s="219"/>
      <c r="AQ54" s="220"/>
      <c r="AR54" s="221"/>
      <c r="AS54" s="221"/>
      <c r="AT54" s="221"/>
      <c r="AU54" s="221"/>
      <c r="AV54" s="214"/>
      <c r="AW54" s="214">
        <f>COUNTIF(AW2:AW52, "Recomendado")
</f>
        <v>11</v>
      </c>
    </row>
    <row r="55" ht="26.25" customHeight="1">
      <c r="A55" s="39"/>
      <c r="G55" s="212"/>
      <c r="O55" s="215"/>
      <c r="U55" s="216"/>
      <c r="Y55" s="212"/>
      <c r="Z55" s="212"/>
      <c r="AA55" s="212"/>
      <c r="AB55" s="212"/>
      <c r="AC55" s="212"/>
      <c r="AD55" s="212"/>
      <c r="AI55" s="222"/>
      <c r="AK55" s="212"/>
      <c r="AL55" s="212"/>
      <c r="AO55" s="218" t="s">
        <v>263</v>
      </c>
      <c r="AP55" s="219"/>
      <c r="AQ55" s="220"/>
      <c r="AR55" s="221"/>
      <c r="AS55" s="221"/>
      <c r="AT55" s="221"/>
      <c r="AU55" s="221"/>
      <c r="AV55" s="214"/>
      <c r="AW55" s="214">
        <f>COUNTIF(AW2:AW52, "Dado de baja")
</f>
        <v>3</v>
      </c>
    </row>
    <row r="56" ht="60.0" customHeight="1">
      <c r="A56" s="39"/>
      <c r="G56" s="212"/>
      <c r="O56" s="215"/>
      <c r="U56" s="216"/>
      <c r="Y56" s="212"/>
      <c r="Z56" s="212"/>
      <c r="AA56" s="212"/>
      <c r="AB56" s="212"/>
      <c r="AC56" s="212"/>
      <c r="AD56" s="212"/>
      <c r="AI56" s="222"/>
      <c r="AK56" s="212"/>
      <c r="AL56" s="212"/>
      <c r="AO56" s="212"/>
      <c r="AP56" s="212"/>
      <c r="AQ56" s="212"/>
      <c r="AV56" s="223"/>
      <c r="AW56" s="223"/>
    </row>
    <row r="57" ht="60.0" customHeight="1">
      <c r="A57" s="39"/>
      <c r="G57" s="212"/>
      <c r="O57" s="215"/>
      <c r="U57" s="216"/>
      <c r="Y57" s="212"/>
      <c r="Z57" s="212"/>
      <c r="AA57" s="212"/>
      <c r="AB57" s="212"/>
      <c r="AC57" s="212"/>
      <c r="AD57" s="212"/>
      <c r="AI57" s="222"/>
      <c r="AK57" s="212"/>
      <c r="AL57" s="212"/>
      <c r="AO57" s="212"/>
      <c r="AP57" s="212"/>
      <c r="AQ57" s="212"/>
      <c r="AV57" s="223"/>
      <c r="AW57" s="223"/>
    </row>
    <row r="58" ht="60.0" customHeight="1">
      <c r="A58" s="39"/>
      <c r="G58" s="212"/>
      <c r="O58" s="215"/>
      <c r="U58" s="216"/>
      <c r="Y58" s="212"/>
      <c r="Z58" s="212"/>
      <c r="AA58" s="212"/>
      <c r="AB58" s="212"/>
      <c r="AC58" s="212"/>
      <c r="AD58" s="212"/>
      <c r="AI58" s="222"/>
      <c r="AK58" s="212"/>
      <c r="AL58" s="212"/>
      <c r="AO58" s="212"/>
      <c r="AP58" s="212"/>
      <c r="AQ58" s="212"/>
      <c r="AV58" s="223"/>
      <c r="AW58" s="223"/>
    </row>
    <row r="59" ht="60.0" customHeight="1">
      <c r="A59" s="39"/>
      <c r="G59" s="212"/>
      <c r="O59" s="215"/>
      <c r="U59" s="216"/>
      <c r="Y59" s="212"/>
      <c r="Z59" s="212"/>
      <c r="AA59" s="212"/>
      <c r="AB59" s="212"/>
      <c r="AC59" s="212"/>
      <c r="AD59" s="212"/>
      <c r="AI59" s="222"/>
      <c r="AK59" s="212"/>
      <c r="AL59" s="212"/>
      <c r="AO59" s="212"/>
      <c r="AP59" s="212"/>
      <c r="AQ59" s="212"/>
      <c r="AV59" s="223"/>
      <c r="AW59" s="223"/>
    </row>
    <row r="60" ht="60.0" customHeight="1">
      <c r="A60" s="39"/>
      <c r="G60" s="212"/>
      <c r="O60" s="215"/>
      <c r="U60" s="216"/>
      <c r="Y60" s="212"/>
      <c r="Z60" s="212"/>
      <c r="AA60" s="212"/>
      <c r="AB60" s="212"/>
      <c r="AC60" s="212"/>
      <c r="AD60" s="212"/>
      <c r="AI60" s="222"/>
      <c r="AK60" s="212"/>
      <c r="AL60" s="212"/>
      <c r="AO60" s="212"/>
      <c r="AP60" s="212"/>
      <c r="AQ60" s="212"/>
      <c r="AV60" s="223"/>
      <c r="AW60" s="223"/>
    </row>
    <row r="61" ht="60.0" customHeight="1">
      <c r="A61" s="39"/>
      <c r="G61" s="212"/>
      <c r="O61" s="215"/>
      <c r="U61" s="216"/>
      <c r="Y61" s="212"/>
      <c r="Z61" s="212"/>
      <c r="AA61" s="212"/>
      <c r="AB61" s="212"/>
      <c r="AC61" s="212"/>
      <c r="AD61" s="212"/>
      <c r="AI61" s="222"/>
      <c r="AK61" s="212"/>
      <c r="AL61" s="212"/>
      <c r="AO61" s="212"/>
      <c r="AP61" s="212"/>
      <c r="AQ61" s="212"/>
      <c r="AV61" s="223"/>
      <c r="AW61" s="223"/>
    </row>
    <row r="62" ht="60.0" customHeight="1">
      <c r="A62" s="39"/>
      <c r="G62" s="212"/>
      <c r="O62" s="215"/>
      <c r="U62" s="216"/>
      <c r="Y62" s="212"/>
      <c r="Z62" s="212"/>
      <c r="AA62" s="212"/>
      <c r="AB62" s="212"/>
      <c r="AC62" s="212"/>
      <c r="AD62" s="212"/>
      <c r="AI62" s="222"/>
      <c r="AK62" s="212"/>
      <c r="AL62" s="212"/>
      <c r="AO62" s="212"/>
      <c r="AP62" s="212"/>
      <c r="AQ62" s="212"/>
      <c r="AV62" s="223"/>
      <c r="AW62" s="223"/>
    </row>
    <row r="63" ht="60.0" customHeight="1">
      <c r="A63" s="39"/>
      <c r="G63" s="212"/>
      <c r="O63" s="215"/>
      <c r="U63" s="216"/>
      <c r="Y63" s="212"/>
      <c r="Z63" s="212"/>
      <c r="AA63" s="212"/>
      <c r="AB63" s="212"/>
      <c r="AC63" s="212"/>
      <c r="AD63" s="212"/>
      <c r="AI63" s="222"/>
      <c r="AK63" s="212"/>
      <c r="AL63" s="212"/>
      <c r="AO63" s="212"/>
      <c r="AP63" s="212"/>
      <c r="AQ63" s="212"/>
      <c r="AV63" s="223"/>
      <c r="AW63" s="223"/>
    </row>
    <row r="64" ht="60.0" customHeight="1">
      <c r="A64" s="39"/>
      <c r="G64" s="212"/>
      <c r="O64" s="215"/>
      <c r="W64" s="216"/>
      <c r="Y64" s="212"/>
      <c r="Z64" s="212"/>
      <c r="AA64" s="212"/>
      <c r="AB64" s="212"/>
      <c r="AC64" s="212"/>
      <c r="AD64" s="212"/>
      <c r="AI64" s="222"/>
      <c r="AK64" s="212"/>
      <c r="AL64" s="212"/>
      <c r="AO64" s="212"/>
      <c r="AP64" s="212"/>
      <c r="AQ64" s="212"/>
      <c r="AV64" s="223"/>
      <c r="AW64" s="223"/>
    </row>
    <row r="65" ht="60.0" customHeight="1">
      <c r="A65" s="39"/>
      <c r="G65" s="212"/>
      <c r="O65" s="215"/>
      <c r="W65" s="216"/>
      <c r="Y65" s="212"/>
      <c r="Z65" s="212"/>
      <c r="AA65" s="212"/>
      <c r="AB65" s="212"/>
      <c r="AC65" s="212"/>
      <c r="AD65" s="212"/>
      <c r="AI65" s="222"/>
      <c r="AK65" s="212"/>
      <c r="AL65" s="212"/>
      <c r="AO65" s="212"/>
      <c r="AP65" s="212"/>
      <c r="AQ65" s="212"/>
      <c r="AV65" s="223"/>
      <c r="AW65" s="223"/>
    </row>
    <row r="66" ht="60.0" customHeight="1">
      <c r="A66" s="39"/>
      <c r="G66" s="212"/>
      <c r="O66" s="215"/>
      <c r="W66" s="216"/>
      <c r="Y66" s="212"/>
      <c r="Z66" s="212"/>
      <c r="AA66" s="212"/>
      <c r="AB66" s="212"/>
      <c r="AC66" s="212"/>
      <c r="AD66" s="212"/>
      <c r="AI66" s="222"/>
      <c r="AK66" s="212"/>
      <c r="AL66" s="212"/>
      <c r="AO66" s="212"/>
      <c r="AP66" s="212"/>
      <c r="AQ66" s="212"/>
      <c r="AV66" s="223"/>
      <c r="AW66" s="223"/>
    </row>
    <row r="67" ht="60.0" customHeight="1">
      <c r="A67" s="39"/>
      <c r="G67" s="212"/>
      <c r="O67" s="215"/>
      <c r="W67" s="216"/>
      <c r="Y67" s="212"/>
      <c r="Z67" s="212"/>
      <c r="AA67" s="212"/>
      <c r="AB67" s="212"/>
      <c r="AC67" s="212"/>
      <c r="AD67" s="212"/>
      <c r="AI67" s="222"/>
      <c r="AK67" s="212"/>
      <c r="AL67" s="212"/>
      <c r="AO67" s="212"/>
      <c r="AP67" s="212"/>
      <c r="AQ67" s="212"/>
      <c r="AV67" s="223"/>
      <c r="AW67" s="223"/>
    </row>
    <row r="68" ht="60.0" customHeight="1">
      <c r="A68" s="39"/>
      <c r="G68" s="212"/>
      <c r="O68" s="215"/>
      <c r="W68" s="216"/>
      <c r="Y68" s="212"/>
      <c r="Z68" s="212"/>
      <c r="AA68" s="212"/>
      <c r="AB68" s="212"/>
      <c r="AC68" s="212"/>
      <c r="AD68" s="212"/>
      <c r="AI68" s="222"/>
      <c r="AK68" s="212"/>
      <c r="AL68" s="212"/>
      <c r="AO68" s="212"/>
      <c r="AP68" s="212"/>
      <c r="AQ68" s="212"/>
      <c r="AV68" s="223"/>
      <c r="AW68" s="223"/>
    </row>
    <row r="69" ht="60.0" customHeight="1">
      <c r="A69" s="39"/>
      <c r="G69" s="212"/>
      <c r="O69" s="215"/>
      <c r="W69" s="216"/>
      <c r="Y69" s="212"/>
      <c r="Z69" s="212"/>
      <c r="AA69" s="212"/>
      <c r="AB69" s="212"/>
      <c r="AC69" s="212"/>
      <c r="AD69" s="212"/>
      <c r="AI69" s="222"/>
      <c r="AK69" s="212"/>
      <c r="AL69" s="212"/>
      <c r="AO69" s="212"/>
      <c r="AP69" s="212"/>
      <c r="AQ69" s="212"/>
      <c r="AV69" s="223"/>
      <c r="AW69" s="223"/>
    </row>
    <row r="70" ht="60.0" customHeight="1">
      <c r="A70" s="39"/>
      <c r="G70" s="212"/>
      <c r="O70" s="215"/>
      <c r="W70" s="216"/>
      <c r="Y70" s="212"/>
      <c r="Z70" s="212"/>
      <c r="AA70" s="212"/>
      <c r="AB70" s="212"/>
      <c r="AC70" s="212"/>
      <c r="AD70" s="212"/>
      <c r="AI70" s="222"/>
      <c r="AK70" s="212"/>
      <c r="AL70" s="212"/>
      <c r="AO70" s="212"/>
      <c r="AP70" s="212"/>
      <c r="AQ70" s="212"/>
      <c r="AV70" s="223"/>
      <c r="AW70" s="223"/>
    </row>
    <row r="71" ht="60.0" customHeight="1">
      <c r="A71" s="39"/>
      <c r="G71" s="212"/>
      <c r="O71" s="215"/>
      <c r="W71" s="216"/>
      <c r="Y71" s="212"/>
      <c r="Z71" s="212"/>
      <c r="AA71" s="212"/>
      <c r="AB71" s="212"/>
      <c r="AC71" s="212"/>
      <c r="AD71" s="212"/>
      <c r="AI71" s="222"/>
      <c r="AK71" s="212"/>
      <c r="AL71" s="212"/>
      <c r="AO71" s="212"/>
      <c r="AP71" s="212"/>
      <c r="AQ71" s="212"/>
      <c r="AV71" s="223"/>
      <c r="AW71" s="223"/>
    </row>
    <row r="72" ht="60.0" customHeight="1">
      <c r="A72" s="39"/>
      <c r="G72" s="212"/>
      <c r="O72" s="215"/>
      <c r="W72" s="216"/>
      <c r="Y72" s="212"/>
      <c r="Z72" s="212"/>
      <c r="AA72" s="212"/>
      <c r="AB72" s="212"/>
      <c r="AC72" s="212"/>
      <c r="AD72" s="212"/>
      <c r="AI72" s="222"/>
      <c r="AK72" s="212"/>
      <c r="AL72" s="212"/>
      <c r="AO72" s="212"/>
      <c r="AP72" s="212"/>
      <c r="AQ72" s="212"/>
      <c r="AV72" s="223"/>
      <c r="AW72" s="223"/>
    </row>
    <row r="73" ht="60.0" customHeight="1">
      <c r="A73" s="39"/>
      <c r="G73" s="212"/>
      <c r="O73" s="215"/>
      <c r="W73" s="216"/>
      <c r="Y73" s="212"/>
      <c r="Z73" s="212"/>
      <c r="AA73" s="212"/>
      <c r="AB73" s="212"/>
      <c r="AC73" s="212"/>
      <c r="AD73" s="212"/>
      <c r="AI73" s="222"/>
      <c r="AK73" s="212"/>
      <c r="AL73" s="212"/>
      <c r="AO73" s="212"/>
      <c r="AP73" s="212"/>
      <c r="AQ73" s="212"/>
      <c r="AV73" s="223"/>
      <c r="AW73" s="223"/>
    </row>
    <row r="74" ht="60.0" customHeight="1">
      <c r="A74" s="39"/>
      <c r="G74" s="212"/>
      <c r="O74" s="215"/>
      <c r="W74" s="216"/>
      <c r="Y74" s="212"/>
      <c r="Z74" s="212"/>
      <c r="AA74" s="212"/>
      <c r="AB74" s="212"/>
      <c r="AC74" s="212"/>
      <c r="AD74" s="212"/>
      <c r="AI74" s="222"/>
      <c r="AK74" s="212"/>
      <c r="AL74" s="212"/>
      <c r="AO74" s="212"/>
      <c r="AP74" s="212"/>
      <c r="AQ74" s="212"/>
      <c r="AV74" s="223"/>
      <c r="AW74" s="223"/>
    </row>
    <row r="75" ht="60.0" customHeight="1">
      <c r="A75" s="39"/>
      <c r="G75" s="212"/>
      <c r="O75" s="215"/>
      <c r="W75" s="216"/>
      <c r="Y75" s="212"/>
      <c r="Z75" s="212"/>
      <c r="AA75" s="212"/>
      <c r="AB75" s="212"/>
      <c r="AC75" s="212"/>
      <c r="AD75" s="212"/>
      <c r="AI75" s="222"/>
      <c r="AK75" s="212"/>
      <c r="AL75" s="212"/>
      <c r="AO75" s="212"/>
      <c r="AP75" s="212"/>
      <c r="AQ75" s="212"/>
      <c r="AV75" s="223"/>
      <c r="AW75" s="223"/>
    </row>
    <row r="76" ht="60.0" customHeight="1">
      <c r="A76" s="39"/>
      <c r="G76" s="212"/>
      <c r="O76" s="215"/>
      <c r="W76" s="216"/>
      <c r="Y76" s="212"/>
      <c r="Z76" s="212"/>
      <c r="AA76" s="212"/>
      <c r="AB76" s="212"/>
      <c r="AC76" s="212"/>
      <c r="AD76" s="212"/>
      <c r="AI76" s="222"/>
      <c r="AK76" s="212"/>
      <c r="AL76" s="212"/>
      <c r="AO76" s="212"/>
      <c r="AP76" s="212"/>
      <c r="AQ76" s="212"/>
      <c r="AV76" s="223"/>
      <c r="AW76" s="223"/>
    </row>
    <row r="77" ht="60.0" customHeight="1">
      <c r="A77" s="39"/>
      <c r="G77" s="212"/>
      <c r="O77" s="215"/>
      <c r="W77" s="216"/>
      <c r="Y77" s="212"/>
      <c r="Z77" s="212"/>
      <c r="AA77" s="212"/>
      <c r="AB77" s="212"/>
      <c r="AC77" s="212"/>
      <c r="AD77" s="212"/>
      <c r="AI77" s="222"/>
      <c r="AK77" s="212"/>
      <c r="AL77" s="212"/>
      <c r="AO77" s="212"/>
      <c r="AP77" s="212"/>
      <c r="AQ77" s="212"/>
      <c r="AV77" s="223"/>
      <c r="AW77" s="223"/>
    </row>
    <row r="78" ht="15.75" customHeight="1">
      <c r="G78" s="212"/>
      <c r="O78" s="215"/>
      <c r="W78" s="216"/>
      <c r="AI78" s="222"/>
      <c r="AV78" s="223"/>
      <c r="AW78" s="223"/>
    </row>
    <row r="79" ht="15.75" customHeight="1">
      <c r="G79" s="212"/>
      <c r="O79" s="215"/>
      <c r="W79" s="216"/>
      <c r="AI79" s="222"/>
      <c r="AV79" s="223"/>
      <c r="AW79" s="223"/>
    </row>
    <row r="80" ht="15.75" customHeight="1">
      <c r="G80" s="212"/>
      <c r="O80" s="215"/>
      <c r="W80" s="216"/>
      <c r="AI80" s="222"/>
      <c r="AV80" s="223"/>
      <c r="AW80" s="223"/>
    </row>
    <row r="81" ht="15.75" customHeight="1">
      <c r="G81" s="212"/>
      <c r="O81" s="215"/>
      <c r="W81" s="216"/>
      <c r="AI81" s="222"/>
      <c r="AV81" s="223"/>
      <c r="AW81" s="223"/>
    </row>
    <row r="82" ht="15.75" customHeight="1">
      <c r="G82" s="212"/>
      <c r="O82" s="215"/>
      <c r="W82" s="216"/>
      <c r="AI82" s="222"/>
      <c r="AV82" s="223"/>
      <c r="AW82" s="223"/>
    </row>
    <row r="83" ht="15.75" customHeight="1">
      <c r="G83" s="212"/>
      <c r="O83" s="224"/>
      <c r="W83" s="216"/>
      <c r="AI83" s="222"/>
      <c r="AV83" s="223"/>
      <c r="AW83" s="223"/>
    </row>
    <row r="84" ht="15.75" customHeight="1">
      <c r="G84" s="212"/>
      <c r="O84" s="224"/>
      <c r="W84" s="216"/>
      <c r="AI84" s="222"/>
      <c r="AV84" s="223"/>
      <c r="AW84" s="223"/>
    </row>
    <row r="85" ht="15.75" customHeight="1">
      <c r="G85" s="212"/>
      <c r="O85" s="224"/>
      <c r="W85" s="216"/>
      <c r="AI85" s="222"/>
      <c r="AV85" s="223"/>
      <c r="AW85" s="223"/>
    </row>
    <row r="86" ht="15.75" customHeight="1">
      <c r="G86" s="212"/>
      <c r="O86" s="224"/>
      <c r="W86" s="216"/>
      <c r="AI86" s="222"/>
      <c r="AV86" s="223"/>
      <c r="AW86" s="223"/>
    </row>
    <row r="87" ht="15.75" customHeight="1">
      <c r="G87" s="212"/>
      <c r="O87" s="224"/>
      <c r="W87" s="216"/>
      <c r="AI87" s="222"/>
      <c r="AV87" s="223"/>
      <c r="AW87" s="223"/>
    </row>
    <row r="88" ht="15.75" customHeight="1">
      <c r="G88" s="212"/>
      <c r="O88" s="224"/>
      <c r="W88" s="216"/>
      <c r="AI88" s="222"/>
      <c r="AV88" s="223"/>
      <c r="AW88" s="223"/>
    </row>
    <row r="89" ht="15.75" customHeight="1">
      <c r="G89" s="212"/>
      <c r="O89" s="224"/>
      <c r="W89" s="216"/>
      <c r="AI89" s="222"/>
      <c r="AV89" s="223"/>
      <c r="AW89" s="223"/>
    </row>
    <row r="90" ht="15.75" customHeight="1">
      <c r="G90" s="212"/>
      <c r="O90" s="224"/>
      <c r="W90" s="216"/>
      <c r="AI90" s="222"/>
      <c r="AV90" s="223"/>
      <c r="AW90" s="223"/>
    </row>
    <row r="91" ht="15.75" customHeight="1">
      <c r="G91" s="212"/>
      <c r="O91" s="224"/>
      <c r="W91" s="216"/>
      <c r="AI91" s="222"/>
      <c r="AV91" s="223"/>
      <c r="AW91" s="223"/>
    </row>
    <row r="92" ht="15.75" customHeight="1">
      <c r="G92" s="212"/>
      <c r="O92" s="224"/>
      <c r="W92" s="216"/>
      <c r="AI92" s="222"/>
      <c r="AV92" s="223"/>
      <c r="AW92" s="223"/>
    </row>
    <row r="93" ht="15.75" customHeight="1">
      <c r="G93" s="212"/>
      <c r="O93" s="224"/>
      <c r="W93" s="216"/>
      <c r="AI93" s="222"/>
      <c r="AV93" s="223"/>
      <c r="AW93" s="223"/>
    </row>
    <row r="94" ht="15.75" customHeight="1">
      <c r="G94" s="212"/>
      <c r="O94" s="224"/>
      <c r="W94" s="216"/>
      <c r="AI94" s="222"/>
      <c r="AV94" s="223"/>
      <c r="AW94" s="223"/>
    </row>
    <row r="95" ht="15.75" customHeight="1">
      <c r="G95" s="212"/>
      <c r="O95" s="224"/>
      <c r="W95" s="216"/>
      <c r="AI95" s="222"/>
      <c r="AV95" s="223"/>
      <c r="AW95" s="223"/>
    </row>
    <row r="96" ht="15.75" customHeight="1">
      <c r="G96" s="212"/>
      <c r="O96" s="224"/>
      <c r="W96" s="216"/>
      <c r="AI96" s="222"/>
      <c r="AV96" s="223"/>
      <c r="AW96" s="223"/>
    </row>
    <row r="97" ht="15.75" customHeight="1">
      <c r="G97" s="212"/>
      <c r="O97" s="224"/>
      <c r="W97" s="216"/>
      <c r="AI97" s="222"/>
      <c r="AV97" s="223"/>
      <c r="AW97" s="223"/>
    </row>
    <row r="98" ht="15.75" customHeight="1">
      <c r="G98" s="212"/>
      <c r="O98" s="224"/>
      <c r="W98" s="216"/>
      <c r="AI98" s="222"/>
      <c r="AV98" s="223"/>
      <c r="AW98" s="223"/>
    </row>
    <row r="99" ht="15.75" customHeight="1">
      <c r="G99" s="212"/>
      <c r="O99" s="224"/>
      <c r="W99" s="216"/>
      <c r="AI99" s="222"/>
      <c r="AV99" s="223"/>
      <c r="AW99" s="223"/>
    </row>
    <row r="100" ht="15.75" customHeight="1">
      <c r="G100" s="212"/>
      <c r="O100" s="224"/>
      <c r="W100" s="216"/>
      <c r="AI100" s="222"/>
      <c r="AV100" s="223"/>
      <c r="AW100" s="223"/>
    </row>
    <row r="101" ht="15.75" customHeight="1">
      <c r="G101" s="212"/>
      <c r="O101" s="224"/>
      <c r="W101" s="216"/>
      <c r="AI101" s="222"/>
      <c r="AV101" s="223"/>
      <c r="AW101" s="223"/>
    </row>
    <row r="102" ht="15.75" customHeight="1">
      <c r="G102" s="212"/>
      <c r="O102" s="224"/>
      <c r="W102" s="216"/>
      <c r="AI102" s="222"/>
      <c r="AV102" s="223"/>
      <c r="AW102" s="223"/>
    </row>
    <row r="103" ht="15.75" customHeight="1">
      <c r="G103" s="212"/>
      <c r="O103" s="224"/>
      <c r="W103" s="216"/>
      <c r="AI103" s="222"/>
      <c r="AV103" s="223"/>
      <c r="AW103" s="223"/>
    </row>
    <row r="104" ht="15.75" customHeight="1">
      <c r="G104" s="212"/>
      <c r="O104" s="224"/>
      <c r="W104" s="216"/>
      <c r="AI104" s="222"/>
      <c r="AV104" s="223"/>
      <c r="AW104" s="223"/>
    </row>
    <row r="105" ht="15.75" customHeight="1">
      <c r="G105" s="212"/>
      <c r="O105" s="224"/>
      <c r="W105" s="216"/>
      <c r="AI105" s="222"/>
      <c r="AV105" s="223"/>
      <c r="AW105" s="223"/>
    </row>
    <row r="106" ht="15.75" customHeight="1">
      <c r="G106" s="212"/>
      <c r="O106" s="224"/>
      <c r="W106" s="216"/>
      <c r="AI106" s="222"/>
      <c r="AV106" s="223"/>
      <c r="AW106" s="223"/>
    </row>
    <row r="107" ht="15.75" customHeight="1">
      <c r="G107" s="212"/>
      <c r="O107" s="224"/>
      <c r="W107" s="216"/>
      <c r="AI107" s="222"/>
      <c r="AV107" s="223"/>
      <c r="AW107" s="223"/>
    </row>
    <row r="108" ht="15.75" customHeight="1">
      <c r="G108" s="212"/>
      <c r="O108" s="224"/>
      <c r="W108" s="216"/>
      <c r="AI108" s="222"/>
      <c r="AV108" s="223"/>
      <c r="AW108" s="223"/>
    </row>
    <row r="109" ht="15.75" customHeight="1">
      <c r="G109" s="212"/>
      <c r="O109" s="224"/>
      <c r="W109" s="216"/>
      <c r="AI109" s="222"/>
      <c r="AV109" s="223"/>
      <c r="AW109" s="223"/>
    </row>
    <row r="110" ht="15.75" customHeight="1">
      <c r="G110" s="212"/>
      <c r="O110" s="224"/>
      <c r="W110" s="216"/>
      <c r="AI110" s="222"/>
      <c r="AV110" s="223"/>
      <c r="AW110" s="223"/>
    </row>
    <row r="111" ht="15.75" customHeight="1">
      <c r="G111" s="212"/>
      <c r="O111" s="224"/>
      <c r="W111" s="216"/>
      <c r="AI111" s="222"/>
      <c r="AV111" s="223"/>
      <c r="AW111" s="223"/>
    </row>
    <row r="112" ht="15.75" customHeight="1">
      <c r="G112" s="212"/>
      <c r="O112" s="224"/>
      <c r="W112" s="216"/>
      <c r="AI112" s="222"/>
      <c r="AV112" s="223"/>
      <c r="AW112" s="223"/>
    </row>
    <row r="113" ht="15.75" customHeight="1">
      <c r="G113" s="212"/>
      <c r="O113" s="224"/>
      <c r="W113" s="216"/>
      <c r="AI113" s="222"/>
      <c r="AV113" s="223"/>
      <c r="AW113" s="223"/>
    </row>
    <row r="114" ht="15.75" customHeight="1">
      <c r="G114" s="212"/>
      <c r="O114" s="224"/>
      <c r="W114" s="216"/>
      <c r="AI114" s="222"/>
      <c r="AV114" s="223"/>
      <c r="AW114" s="223"/>
    </row>
    <row r="115" ht="15.75" customHeight="1">
      <c r="G115" s="212"/>
      <c r="O115" s="224"/>
      <c r="W115" s="216"/>
      <c r="AI115" s="222"/>
      <c r="AV115" s="223"/>
      <c r="AW115" s="223"/>
    </row>
    <row r="116" ht="15.75" customHeight="1">
      <c r="G116" s="212"/>
      <c r="O116" s="224"/>
      <c r="W116" s="216"/>
      <c r="AI116" s="222"/>
      <c r="AV116" s="223"/>
      <c r="AW116" s="223"/>
    </row>
    <row r="117" ht="15.75" customHeight="1">
      <c r="G117" s="212"/>
      <c r="O117" s="224"/>
      <c r="W117" s="216"/>
      <c r="AI117" s="222"/>
      <c r="AV117" s="223"/>
      <c r="AW117" s="223"/>
    </row>
    <row r="118" ht="15.75" customHeight="1">
      <c r="G118" s="212"/>
      <c r="O118" s="224"/>
      <c r="W118" s="216"/>
      <c r="AI118" s="222"/>
      <c r="AV118" s="223"/>
      <c r="AW118" s="223"/>
    </row>
    <row r="119" ht="15.75" customHeight="1">
      <c r="G119" s="212"/>
      <c r="O119" s="224"/>
      <c r="W119" s="216"/>
      <c r="AI119" s="222"/>
      <c r="AV119" s="223"/>
      <c r="AW119" s="223"/>
    </row>
    <row r="120" ht="15.75" customHeight="1">
      <c r="G120" s="212"/>
      <c r="O120" s="224"/>
      <c r="W120" s="216"/>
      <c r="AI120" s="222"/>
      <c r="AV120" s="223"/>
      <c r="AW120" s="223"/>
    </row>
    <row r="121" ht="15.75" customHeight="1">
      <c r="G121" s="212"/>
      <c r="O121" s="224"/>
      <c r="W121" s="216"/>
      <c r="AI121" s="222"/>
      <c r="AV121" s="223"/>
      <c r="AW121" s="223"/>
    </row>
    <row r="122" ht="15.75" customHeight="1">
      <c r="G122" s="212"/>
      <c r="O122" s="224"/>
      <c r="W122" s="216"/>
      <c r="AI122" s="222"/>
      <c r="AV122" s="223"/>
      <c r="AW122" s="223"/>
    </row>
    <row r="123" ht="15.75" customHeight="1">
      <c r="G123" s="212"/>
      <c r="O123" s="224"/>
      <c r="W123" s="216"/>
      <c r="AI123" s="222"/>
      <c r="AV123" s="223"/>
      <c r="AW123" s="223"/>
    </row>
    <row r="124" ht="15.75" customHeight="1">
      <c r="G124" s="212"/>
      <c r="O124" s="224"/>
      <c r="W124" s="216"/>
      <c r="AI124" s="222"/>
      <c r="AV124" s="223"/>
      <c r="AW124" s="223"/>
    </row>
    <row r="125" ht="15.75" customHeight="1">
      <c r="G125" s="212"/>
      <c r="O125" s="224"/>
      <c r="W125" s="216"/>
      <c r="AI125" s="222"/>
      <c r="AV125" s="223"/>
      <c r="AW125" s="223"/>
    </row>
    <row r="126" ht="15.75" customHeight="1">
      <c r="G126" s="212"/>
      <c r="O126" s="224"/>
      <c r="W126" s="216"/>
      <c r="AI126" s="222"/>
      <c r="AV126" s="223"/>
      <c r="AW126" s="223"/>
    </row>
    <row r="127" ht="15.75" customHeight="1">
      <c r="G127" s="212"/>
      <c r="O127" s="224"/>
      <c r="W127" s="216"/>
      <c r="AI127" s="222"/>
      <c r="AV127" s="223"/>
      <c r="AW127" s="223"/>
    </row>
    <row r="128" ht="15.75" customHeight="1">
      <c r="G128" s="212"/>
      <c r="O128" s="224"/>
      <c r="W128" s="216"/>
      <c r="AI128" s="222"/>
      <c r="AV128" s="223"/>
      <c r="AW128" s="223"/>
    </row>
    <row r="129" ht="15.75" customHeight="1">
      <c r="G129" s="212"/>
      <c r="O129" s="224"/>
      <c r="W129" s="216"/>
      <c r="AI129" s="222"/>
      <c r="AV129" s="223"/>
      <c r="AW129" s="223"/>
    </row>
    <row r="130" ht="15.75" customHeight="1">
      <c r="G130" s="212"/>
      <c r="O130" s="224"/>
      <c r="W130" s="216"/>
      <c r="AI130" s="222"/>
      <c r="AV130" s="223"/>
      <c r="AW130" s="223"/>
    </row>
    <row r="131" ht="15.75" customHeight="1">
      <c r="G131" s="212"/>
      <c r="O131" s="224"/>
      <c r="W131" s="216"/>
      <c r="AI131" s="222"/>
      <c r="AV131" s="223"/>
      <c r="AW131" s="223"/>
    </row>
    <row r="132" ht="15.75" customHeight="1">
      <c r="G132" s="212"/>
      <c r="O132" s="224"/>
      <c r="W132" s="216"/>
      <c r="AI132" s="222"/>
      <c r="AV132" s="223"/>
      <c r="AW132" s="223"/>
    </row>
    <row r="133" ht="15.75" customHeight="1">
      <c r="G133" s="212"/>
      <c r="O133" s="224"/>
      <c r="W133" s="216"/>
      <c r="AI133" s="222"/>
      <c r="AV133" s="223"/>
      <c r="AW133" s="223"/>
    </row>
    <row r="134" ht="15.75" customHeight="1">
      <c r="G134" s="212"/>
      <c r="O134" s="224"/>
      <c r="W134" s="216"/>
      <c r="AI134" s="222"/>
      <c r="AV134" s="223"/>
      <c r="AW134" s="223"/>
    </row>
    <row r="135" ht="15.75" customHeight="1">
      <c r="G135" s="212"/>
      <c r="O135" s="224"/>
      <c r="W135" s="216"/>
      <c r="AI135" s="222"/>
      <c r="AV135" s="223"/>
      <c r="AW135" s="223"/>
    </row>
    <row r="136" ht="15.75" customHeight="1">
      <c r="G136" s="212"/>
      <c r="O136" s="224"/>
      <c r="W136" s="216"/>
      <c r="AI136" s="222"/>
      <c r="AV136" s="223"/>
      <c r="AW136" s="223"/>
    </row>
    <row r="137" ht="15.75" customHeight="1">
      <c r="G137" s="212"/>
      <c r="O137" s="224"/>
      <c r="W137" s="216"/>
      <c r="AI137" s="222"/>
      <c r="AV137" s="223"/>
      <c r="AW137" s="223"/>
    </row>
    <row r="138" ht="15.75" customHeight="1">
      <c r="G138" s="212"/>
      <c r="O138" s="224"/>
      <c r="W138" s="216"/>
      <c r="AI138" s="222"/>
      <c r="AV138" s="223"/>
      <c r="AW138" s="223"/>
    </row>
    <row r="139" ht="15.75" customHeight="1">
      <c r="G139" s="212"/>
      <c r="O139" s="224"/>
      <c r="W139" s="216"/>
      <c r="AI139" s="222"/>
      <c r="AV139" s="223"/>
      <c r="AW139" s="223"/>
    </row>
    <row r="140" ht="15.75" customHeight="1">
      <c r="G140" s="212"/>
      <c r="O140" s="224"/>
      <c r="W140" s="216"/>
      <c r="AI140" s="222"/>
      <c r="AV140" s="223"/>
      <c r="AW140" s="223"/>
    </row>
    <row r="141" ht="15.75" customHeight="1">
      <c r="G141" s="212"/>
      <c r="O141" s="224"/>
      <c r="W141" s="216"/>
      <c r="AI141" s="222"/>
      <c r="AV141" s="223"/>
      <c r="AW141" s="223"/>
    </row>
    <row r="142" ht="15.75" customHeight="1">
      <c r="G142" s="212"/>
      <c r="O142" s="224"/>
      <c r="W142" s="216"/>
      <c r="AI142" s="222"/>
      <c r="AV142" s="223"/>
      <c r="AW142" s="223"/>
    </row>
    <row r="143" ht="15.75" customHeight="1">
      <c r="G143" s="212"/>
      <c r="O143" s="224"/>
      <c r="W143" s="216"/>
      <c r="AI143" s="222"/>
      <c r="AV143" s="223"/>
      <c r="AW143" s="223"/>
    </row>
    <row r="144" ht="15.75" customHeight="1">
      <c r="G144" s="212"/>
      <c r="O144" s="224"/>
      <c r="W144" s="216"/>
      <c r="AI144" s="222"/>
      <c r="AV144" s="223"/>
      <c r="AW144" s="223"/>
    </row>
    <row r="145" ht="15.75" customHeight="1">
      <c r="G145" s="212"/>
      <c r="O145" s="224"/>
      <c r="W145" s="216"/>
      <c r="AI145" s="222"/>
      <c r="AV145" s="223"/>
      <c r="AW145" s="223"/>
    </row>
    <row r="146" ht="15.75" customHeight="1">
      <c r="G146" s="212"/>
      <c r="O146" s="224"/>
      <c r="W146" s="216"/>
      <c r="AI146" s="222"/>
      <c r="AV146" s="223"/>
      <c r="AW146" s="223"/>
    </row>
    <row r="147" ht="15.75" customHeight="1">
      <c r="G147" s="212"/>
      <c r="O147" s="224"/>
      <c r="W147" s="216"/>
      <c r="AI147" s="222"/>
      <c r="AV147" s="223"/>
      <c r="AW147" s="223"/>
    </row>
    <row r="148" ht="15.75" customHeight="1">
      <c r="G148" s="212"/>
      <c r="O148" s="224"/>
      <c r="W148" s="216"/>
      <c r="AI148" s="222"/>
      <c r="AV148" s="223"/>
      <c r="AW148" s="223"/>
    </row>
    <row r="149" ht="15.75" customHeight="1">
      <c r="G149" s="212"/>
      <c r="O149" s="224"/>
      <c r="W149" s="216"/>
      <c r="AI149" s="222"/>
      <c r="AV149" s="223"/>
      <c r="AW149" s="223"/>
    </row>
    <row r="150" ht="15.75" customHeight="1">
      <c r="G150" s="212"/>
      <c r="O150" s="224"/>
      <c r="W150" s="216"/>
      <c r="AI150" s="222"/>
      <c r="AV150" s="223"/>
      <c r="AW150" s="223"/>
    </row>
    <row r="151" ht="15.75" customHeight="1">
      <c r="G151" s="212"/>
      <c r="O151" s="224"/>
      <c r="W151" s="216"/>
      <c r="AI151" s="222"/>
      <c r="AV151" s="223"/>
      <c r="AW151" s="223"/>
    </row>
    <row r="152" ht="15.75" customHeight="1">
      <c r="G152" s="212"/>
      <c r="O152" s="224"/>
      <c r="W152" s="216"/>
      <c r="AI152" s="222"/>
      <c r="AV152" s="223"/>
      <c r="AW152" s="223"/>
    </row>
    <row r="153" ht="15.75" customHeight="1">
      <c r="G153" s="212"/>
      <c r="O153" s="224"/>
      <c r="W153" s="216"/>
      <c r="AI153" s="222"/>
      <c r="AV153" s="223"/>
      <c r="AW153" s="223"/>
    </row>
    <row r="154" ht="15.75" customHeight="1">
      <c r="G154" s="212"/>
      <c r="O154" s="224"/>
      <c r="W154" s="216"/>
      <c r="AI154" s="222"/>
      <c r="AV154" s="223"/>
      <c r="AW154" s="223"/>
    </row>
    <row r="155" ht="15.75" customHeight="1">
      <c r="G155" s="212"/>
      <c r="O155" s="224"/>
      <c r="W155" s="216"/>
      <c r="AI155" s="222"/>
      <c r="AV155" s="223"/>
      <c r="AW155" s="223"/>
    </row>
    <row r="156" ht="15.75" customHeight="1">
      <c r="G156" s="212"/>
      <c r="O156" s="224"/>
      <c r="W156" s="216"/>
      <c r="AI156" s="222"/>
      <c r="AV156" s="223"/>
      <c r="AW156" s="223"/>
    </row>
    <row r="157" ht="15.75" customHeight="1">
      <c r="G157" s="212"/>
      <c r="O157" s="224"/>
      <c r="W157" s="216"/>
      <c r="AI157" s="222"/>
      <c r="AV157" s="223"/>
      <c r="AW157" s="223"/>
    </row>
    <row r="158" ht="15.75" customHeight="1">
      <c r="G158" s="212"/>
      <c r="O158" s="224"/>
      <c r="W158" s="216"/>
      <c r="AI158" s="222"/>
      <c r="AV158" s="223"/>
      <c r="AW158" s="223"/>
    </row>
    <row r="159" ht="15.75" customHeight="1">
      <c r="G159" s="212"/>
      <c r="O159" s="224"/>
      <c r="W159" s="216"/>
      <c r="AI159" s="222"/>
      <c r="AV159" s="223"/>
      <c r="AW159" s="223"/>
    </row>
    <row r="160" ht="15.75" customHeight="1">
      <c r="G160" s="212"/>
      <c r="O160" s="224"/>
      <c r="W160" s="216"/>
      <c r="AI160" s="222"/>
      <c r="AV160" s="223"/>
      <c r="AW160" s="223"/>
    </row>
    <row r="161" ht="15.75" customHeight="1">
      <c r="G161" s="212"/>
      <c r="O161" s="224"/>
      <c r="W161" s="216"/>
      <c r="AI161" s="222"/>
      <c r="AV161" s="223"/>
      <c r="AW161" s="223"/>
    </row>
    <row r="162" ht="15.75" customHeight="1">
      <c r="G162" s="212"/>
      <c r="O162" s="224"/>
      <c r="W162" s="216"/>
      <c r="AI162" s="222"/>
      <c r="AV162" s="223"/>
      <c r="AW162" s="223"/>
    </row>
    <row r="163" ht="15.75" customHeight="1">
      <c r="G163" s="212"/>
      <c r="O163" s="224"/>
      <c r="W163" s="216"/>
      <c r="AI163" s="222"/>
      <c r="AV163" s="223"/>
      <c r="AW163" s="223"/>
    </row>
    <row r="164" ht="15.75" customHeight="1">
      <c r="G164" s="212"/>
      <c r="O164" s="224"/>
      <c r="W164" s="216"/>
      <c r="AI164" s="222"/>
      <c r="AV164" s="223"/>
      <c r="AW164" s="223"/>
    </row>
    <row r="165" ht="15.75" customHeight="1">
      <c r="G165" s="212"/>
      <c r="O165" s="224"/>
      <c r="W165" s="216"/>
      <c r="AI165" s="222"/>
      <c r="AV165" s="223"/>
      <c r="AW165" s="223"/>
    </row>
    <row r="166" ht="15.75" customHeight="1">
      <c r="G166" s="212"/>
      <c r="O166" s="224"/>
      <c r="W166" s="216"/>
      <c r="AI166" s="222"/>
      <c r="AV166" s="223"/>
      <c r="AW166" s="223"/>
    </row>
    <row r="167" ht="15.75" customHeight="1">
      <c r="G167" s="212"/>
      <c r="O167" s="224"/>
      <c r="W167" s="216"/>
      <c r="AI167" s="222"/>
      <c r="AV167" s="223"/>
      <c r="AW167" s="223"/>
    </row>
    <row r="168" ht="15.75" customHeight="1">
      <c r="G168" s="212"/>
      <c r="O168" s="224"/>
      <c r="W168" s="216"/>
      <c r="AI168" s="222"/>
      <c r="AV168" s="223"/>
      <c r="AW168" s="223"/>
    </row>
    <row r="169" ht="15.75" customHeight="1">
      <c r="G169" s="212"/>
      <c r="O169" s="224"/>
      <c r="W169" s="216"/>
      <c r="AI169" s="222"/>
      <c r="AV169" s="223"/>
      <c r="AW169" s="223"/>
    </row>
    <row r="170" ht="15.75" customHeight="1">
      <c r="G170" s="212"/>
      <c r="O170" s="224"/>
      <c r="W170" s="216"/>
      <c r="AI170" s="222"/>
      <c r="AV170" s="223"/>
      <c r="AW170" s="223"/>
    </row>
    <row r="171" ht="15.75" customHeight="1">
      <c r="G171" s="212"/>
      <c r="O171" s="224"/>
      <c r="W171" s="216"/>
      <c r="AI171" s="222"/>
      <c r="AV171" s="223"/>
      <c r="AW171" s="223"/>
    </row>
    <row r="172" ht="15.75" customHeight="1">
      <c r="G172" s="212"/>
      <c r="O172" s="224"/>
      <c r="W172" s="216"/>
      <c r="AI172" s="222"/>
      <c r="AV172" s="223"/>
      <c r="AW172" s="223"/>
    </row>
    <row r="173" ht="15.75" customHeight="1">
      <c r="G173" s="212"/>
      <c r="O173" s="224"/>
      <c r="W173" s="216"/>
      <c r="AI173" s="222"/>
      <c r="AV173" s="223"/>
      <c r="AW173" s="223"/>
    </row>
    <row r="174" ht="15.75" customHeight="1">
      <c r="G174" s="212"/>
      <c r="O174" s="224"/>
      <c r="W174" s="216"/>
      <c r="AI174" s="222"/>
      <c r="AV174" s="223"/>
      <c r="AW174" s="223"/>
    </row>
    <row r="175" ht="15.75" customHeight="1">
      <c r="G175" s="212"/>
      <c r="O175" s="224"/>
      <c r="W175" s="216"/>
      <c r="AI175" s="222"/>
      <c r="AV175" s="223"/>
      <c r="AW175" s="223"/>
    </row>
    <row r="176" ht="15.75" customHeight="1">
      <c r="G176" s="212"/>
      <c r="O176" s="224"/>
      <c r="W176" s="216"/>
      <c r="AI176" s="222"/>
      <c r="AV176" s="223"/>
      <c r="AW176" s="223"/>
    </row>
    <row r="177" ht="15.75" customHeight="1">
      <c r="G177" s="212"/>
      <c r="O177" s="224"/>
      <c r="W177" s="216"/>
      <c r="AI177" s="222"/>
      <c r="AV177" s="223"/>
      <c r="AW177" s="223"/>
    </row>
    <row r="178" ht="15.75" customHeight="1">
      <c r="G178" s="212"/>
      <c r="O178" s="224"/>
      <c r="W178" s="216"/>
      <c r="AI178" s="222"/>
      <c r="AV178" s="223"/>
      <c r="AW178" s="223"/>
    </row>
    <row r="179" ht="15.75" customHeight="1">
      <c r="G179" s="212"/>
      <c r="O179" s="224"/>
      <c r="W179" s="216"/>
      <c r="AI179" s="222"/>
      <c r="AV179" s="223"/>
      <c r="AW179" s="223"/>
    </row>
    <row r="180" ht="15.75" customHeight="1">
      <c r="G180" s="212"/>
      <c r="O180" s="224"/>
      <c r="W180" s="216"/>
      <c r="AI180" s="222"/>
      <c r="AV180" s="223"/>
      <c r="AW180" s="223"/>
    </row>
    <row r="181" ht="15.75" customHeight="1">
      <c r="G181" s="212"/>
      <c r="O181" s="224"/>
      <c r="W181" s="216"/>
      <c r="AI181" s="222"/>
      <c r="AV181" s="223"/>
      <c r="AW181" s="223"/>
    </row>
    <row r="182" ht="15.75" customHeight="1">
      <c r="G182" s="212"/>
      <c r="O182" s="224"/>
      <c r="W182" s="216"/>
      <c r="AI182" s="222"/>
      <c r="AV182" s="223"/>
      <c r="AW182" s="223"/>
    </row>
    <row r="183" ht="15.75" customHeight="1">
      <c r="G183" s="212"/>
      <c r="O183" s="224"/>
      <c r="W183" s="216"/>
      <c r="AI183" s="222"/>
      <c r="AV183" s="223"/>
      <c r="AW183" s="223"/>
    </row>
    <row r="184" ht="15.75" customHeight="1">
      <c r="G184" s="212"/>
      <c r="O184" s="224"/>
      <c r="W184" s="216"/>
      <c r="AI184" s="222"/>
      <c r="AV184" s="223"/>
      <c r="AW184" s="223"/>
    </row>
    <row r="185" ht="15.75" customHeight="1">
      <c r="G185" s="212"/>
      <c r="O185" s="224"/>
      <c r="W185" s="216"/>
      <c r="AI185" s="222"/>
      <c r="AV185" s="223"/>
      <c r="AW185" s="223"/>
    </row>
    <row r="186" ht="15.75" customHeight="1">
      <c r="G186" s="212"/>
      <c r="O186" s="224"/>
      <c r="W186" s="216"/>
      <c r="AI186" s="222"/>
      <c r="AV186" s="223"/>
      <c r="AW186" s="223"/>
    </row>
    <row r="187" ht="15.75" customHeight="1">
      <c r="G187" s="212"/>
      <c r="O187" s="224"/>
      <c r="W187" s="216"/>
      <c r="AI187" s="222"/>
      <c r="AV187" s="223"/>
      <c r="AW187" s="223"/>
    </row>
    <row r="188" ht="15.75" customHeight="1">
      <c r="G188" s="212"/>
      <c r="O188" s="224"/>
      <c r="W188" s="216"/>
      <c r="AI188" s="222"/>
      <c r="AV188" s="223"/>
      <c r="AW188" s="223"/>
    </row>
    <row r="189" ht="15.75" customHeight="1">
      <c r="G189" s="212"/>
      <c r="O189" s="224"/>
      <c r="W189" s="216"/>
      <c r="AI189" s="222"/>
      <c r="AV189" s="223"/>
      <c r="AW189" s="223"/>
    </row>
    <row r="190" ht="15.75" customHeight="1">
      <c r="G190" s="212"/>
      <c r="O190" s="224"/>
      <c r="W190" s="216"/>
      <c r="AI190" s="222"/>
      <c r="AV190" s="223"/>
      <c r="AW190" s="223"/>
    </row>
    <row r="191" ht="15.75" customHeight="1">
      <c r="G191" s="212"/>
      <c r="O191" s="224"/>
      <c r="W191" s="216"/>
      <c r="AI191" s="222"/>
      <c r="AV191" s="223"/>
      <c r="AW191" s="223"/>
    </row>
    <row r="192" ht="15.75" customHeight="1">
      <c r="G192" s="212"/>
      <c r="O192" s="224"/>
      <c r="W192" s="216"/>
      <c r="AI192" s="222"/>
      <c r="AV192" s="223"/>
      <c r="AW192" s="223"/>
    </row>
    <row r="193" ht="15.75" customHeight="1">
      <c r="G193" s="212"/>
      <c r="O193" s="224"/>
      <c r="W193" s="216"/>
      <c r="AI193" s="222"/>
      <c r="AV193" s="223"/>
      <c r="AW193" s="223"/>
    </row>
    <row r="194" ht="15.75" customHeight="1">
      <c r="G194" s="212"/>
      <c r="O194" s="224"/>
      <c r="W194" s="216"/>
      <c r="AI194" s="222"/>
      <c r="AV194" s="223"/>
      <c r="AW194" s="223"/>
    </row>
    <row r="195" ht="15.75" customHeight="1">
      <c r="G195" s="212"/>
      <c r="O195" s="224"/>
      <c r="W195" s="216"/>
      <c r="AI195" s="222"/>
      <c r="AV195" s="223"/>
      <c r="AW195" s="223"/>
    </row>
    <row r="196" ht="15.75" customHeight="1">
      <c r="G196" s="212"/>
      <c r="O196" s="224"/>
      <c r="W196" s="216"/>
      <c r="AI196" s="222"/>
      <c r="AV196" s="223"/>
      <c r="AW196" s="223"/>
    </row>
    <row r="197" ht="15.75" customHeight="1">
      <c r="G197" s="212"/>
      <c r="O197" s="224"/>
      <c r="W197" s="216"/>
      <c r="AI197" s="222"/>
      <c r="AV197" s="223"/>
      <c r="AW197" s="223"/>
    </row>
    <row r="198" ht="15.75" customHeight="1">
      <c r="G198" s="212"/>
      <c r="O198" s="224"/>
      <c r="W198" s="216"/>
      <c r="AI198" s="222"/>
      <c r="AV198" s="223"/>
      <c r="AW198" s="223"/>
    </row>
    <row r="199" ht="15.75" customHeight="1">
      <c r="G199" s="212"/>
      <c r="O199" s="224"/>
      <c r="W199" s="216"/>
      <c r="AI199" s="222"/>
      <c r="AV199" s="223"/>
      <c r="AW199" s="223"/>
    </row>
    <row r="200" ht="15.75" customHeight="1">
      <c r="G200" s="212"/>
      <c r="O200" s="224"/>
      <c r="W200" s="216"/>
      <c r="AI200" s="222"/>
      <c r="AV200" s="223"/>
      <c r="AW200" s="223"/>
    </row>
    <row r="201" ht="15.75" customHeight="1">
      <c r="G201" s="212"/>
      <c r="O201" s="224"/>
      <c r="W201" s="216"/>
      <c r="AI201" s="222"/>
      <c r="AV201" s="223"/>
      <c r="AW201" s="223"/>
    </row>
    <row r="202" ht="15.75" customHeight="1">
      <c r="G202" s="212"/>
      <c r="O202" s="224"/>
      <c r="W202" s="216"/>
      <c r="AI202" s="222"/>
      <c r="AV202" s="223"/>
      <c r="AW202" s="223"/>
    </row>
    <row r="203" ht="15.75" customHeight="1">
      <c r="G203" s="212"/>
      <c r="O203" s="224"/>
      <c r="W203" s="216"/>
      <c r="AI203" s="222"/>
      <c r="AV203" s="223"/>
      <c r="AW203" s="223"/>
    </row>
    <row r="204" ht="15.75" customHeight="1">
      <c r="G204" s="212"/>
      <c r="O204" s="224"/>
      <c r="W204" s="216"/>
      <c r="AI204" s="222"/>
      <c r="AV204" s="223"/>
      <c r="AW204" s="223"/>
    </row>
    <row r="205" ht="15.75" customHeight="1">
      <c r="G205" s="212"/>
      <c r="O205" s="224"/>
      <c r="W205" s="216"/>
      <c r="AI205" s="222"/>
      <c r="AV205" s="223"/>
      <c r="AW205" s="223"/>
    </row>
    <row r="206" ht="15.75" customHeight="1">
      <c r="G206" s="212"/>
      <c r="O206" s="224"/>
      <c r="W206" s="216"/>
      <c r="AI206" s="222"/>
      <c r="AV206" s="223"/>
      <c r="AW206" s="223"/>
    </row>
    <row r="207" ht="15.75" customHeight="1">
      <c r="G207" s="212"/>
      <c r="O207" s="224"/>
      <c r="W207" s="216"/>
      <c r="AI207" s="222"/>
      <c r="AV207" s="223"/>
      <c r="AW207" s="223"/>
    </row>
    <row r="208" ht="15.75" customHeight="1">
      <c r="G208" s="212"/>
      <c r="O208" s="224"/>
      <c r="W208" s="216"/>
      <c r="AI208" s="222"/>
      <c r="AV208" s="223"/>
      <c r="AW208" s="223"/>
    </row>
    <row r="209" ht="15.75" customHeight="1">
      <c r="G209" s="212"/>
      <c r="O209" s="224"/>
      <c r="W209" s="216"/>
      <c r="AI209" s="222"/>
      <c r="AV209" s="223"/>
      <c r="AW209" s="223"/>
    </row>
    <row r="210" ht="15.75" customHeight="1">
      <c r="G210" s="212"/>
      <c r="O210" s="224"/>
      <c r="W210" s="216"/>
      <c r="AI210" s="222"/>
      <c r="AV210" s="223"/>
      <c r="AW210" s="223"/>
    </row>
    <row r="211" ht="15.75" customHeight="1">
      <c r="G211" s="212"/>
      <c r="O211" s="224"/>
      <c r="W211" s="216"/>
      <c r="AI211" s="222"/>
      <c r="AV211" s="223"/>
      <c r="AW211" s="223"/>
    </row>
    <row r="212" ht="15.75" customHeight="1">
      <c r="G212" s="212"/>
      <c r="O212" s="224"/>
      <c r="W212" s="216"/>
      <c r="AI212" s="222"/>
      <c r="AV212" s="223"/>
      <c r="AW212" s="223"/>
    </row>
    <row r="213" ht="15.75" customHeight="1">
      <c r="G213" s="212"/>
      <c r="O213" s="224"/>
      <c r="W213" s="216"/>
      <c r="AI213" s="222"/>
      <c r="AV213" s="223"/>
      <c r="AW213" s="223"/>
    </row>
    <row r="214" ht="15.75" customHeight="1">
      <c r="G214" s="212"/>
      <c r="O214" s="224"/>
      <c r="W214" s="216"/>
      <c r="AI214" s="222"/>
      <c r="AV214" s="223"/>
      <c r="AW214" s="223"/>
    </row>
    <row r="215" ht="15.75" customHeight="1">
      <c r="G215" s="212"/>
      <c r="O215" s="224"/>
      <c r="W215" s="216"/>
      <c r="AI215" s="222"/>
      <c r="AV215" s="223"/>
      <c r="AW215" s="223"/>
    </row>
    <row r="216" ht="15.75" customHeight="1">
      <c r="G216" s="212"/>
      <c r="O216" s="224"/>
      <c r="W216" s="216"/>
      <c r="AI216" s="222"/>
      <c r="AV216" s="223"/>
      <c r="AW216" s="223"/>
    </row>
    <row r="217" ht="15.75" customHeight="1">
      <c r="G217" s="212"/>
      <c r="O217" s="224"/>
      <c r="W217" s="216"/>
      <c r="AI217" s="222"/>
      <c r="AV217" s="223"/>
      <c r="AW217" s="223"/>
    </row>
    <row r="218" ht="15.75" customHeight="1">
      <c r="G218" s="212"/>
      <c r="O218" s="224"/>
      <c r="W218" s="216"/>
      <c r="AI218" s="222"/>
      <c r="AV218" s="223"/>
      <c r="AW218" s="223"/>
    </row>
    <row r="219" ht="15.75" customHeight="1">
      <c r="G219" s="212"/>
      <c r="O219" s="224"/>
      <c r="W219" s="216"/>
      <c r="AI219" s="222"/>
      <c r="AV219" s="223"/>
      <c r="AW219" s="223"/>
    </row>
    <row r="220" ht="15.75" customHeight="1">
      <c r="G220" s="212"/>
      <c r="O220" s="224"/>
      <c r="W220" s="216"/>
      <c r="AI220" s="222"/>
      <c r="AV220" s="223"/>
      <c r="AW220" s="223"/>
    </row>
    <row r="221" ht="15.75" customHeight="1">
      <c r="G221" s="212"/>
      <c r="O221" s="224"/>
      <c r="W221" s="216"/>
      <c r="AI221" s="222"/>
      <c r="AV221" s="223"/>
      <c r="AW221" s="223"/>
    </row>
    <row r="222" ht="15.75" customHeight="1">
      <c r="G222" s="212"/>
      <c r="O222" s="224"/>
      <c r="W222" s="216"/>
      <c r="AI222" s="222"/>
      <c r="AV222" s="223"/>
      <c r="AW222" s="223"/>
    </row>
    <row r="223" ht="15.75" customHeight="1">
      <c r="G223" s="212"/>
      <c r="O223" s="224"/>
      <c r="W223" s="216"/>
      <c r="AI223" s="222"/>
      <c r="AV223" s="223"/>
      <c r="AW223" s="223"/>
    </row>
    <row r="224" ht="15.75" customHeight="1">
      <c r="G224" s="212"/>
      <c r="O224" s="224"/>
      <c r="W224" s="216"/>
      <c r="AI224" s="222"/>
      <c r="AV224" s="223"/>
      <c r="AW224" s="223"/>
    </row>
    <row r="225" ht="15.75" customHeight="1">
      <c r="G225" s="212"/>
      <c r="O225" s="224"/>
      <c r="W225" s="216"/>
      <c r="AI225" s="222"/>
      <c r="AV225" s="223"/>
      <c r="AW225" s="223"/>
    </row>
    <row r="226" ht="15.75" customHeight="1">
      <c r="G226" s="212"/>
      <c r="O226" s="224"/>
      <c r="W226" s="216"/>
      <c r="AI226" s="222"/>
      <c r="AV226" s="223"/>
      <c r="AW226" s="223"/>
    </row>
    <row r="227" ht="15.75" customHeight="1">
      <c r="G227" s="212"/>
      <c r="O227" s="224"/>
      <c r="W227" s="216"/>
      <c r="AI227" s="222"/>
      <c r="AV227" s="223"/>
      <c r="AW227" s="223"/>
    </row>
    <row r="228" ht="15.75" customHeight="1">
      <c r="G228" s="212"/>
      <c r="O228" s="224"/>
      <c r="W228" s="216"/>
      <c r="AI228" s="222"/>
      <c r="AV228" s="223"/>
      <c r="AW228" s="223"/>
    </row>
    <row r="229" ht="15.75" customHeight="1">
      <c r="G229" s="212"/>
      <c r="O229" s="224"/>
      <c r="W229" s="216"/>
      <c r="AI229" s="222"/>
      <c r="AV229" s="223"/>
      <c r="AW229" s="223"/>
    </row>
    <row r="230" ht="15.75" customHeight="1">
      <c r="G230" s="212"/>
      <c r="O230" s="224"/>
      <c r="W230" s="216"/>
      <c r="AI230" s="222"/>
      <c r="AV230" s="223"/>
      <c r="AW230" s="223"/>
    </row>
    <row r="231" ht="15.75" customHeight="1">
      <c r="G231" s="212"/>
      <c r="O231" s="224"/>
      <c r="W231" s="216"/>
      <c r="AI231" s="222"/>
      <c r="AV231" s="223"/>
      <c r="AW231" s="223"/>
    </row>
    <row r="232" ht="15.75" customHeight="1">
      <c r="G232" s="212"/>
      <c r="O232" s="224"/>
      <c r="W232" s="216"/>
      <c r="AI232" s="222"/>
      <c r="AV232" s="223"/>
      <c r="AW232" s="223"/>
    </row>
    <row r="233" ht="15.75" customHeight="1">
      <c r="G233" s="212"/>
      <c r="O233" s="224"/>
      <c r="W233" s="216"/>
      <c r="AI233" s="222"/>
      <c r="AV233" s="223"/>
      <c r="AW233" s="223"/>
    </row>
    <row r="234" ht="15.75" customHeight="1">
      <c r="G234" s="212"/>
      <c r="O234" s="224"/>
      <c r="W234" s="216"/>
      <c r="AI234" s="222"/>
      <c r="AV234" s="223"/>
      <c r="AW234" s="223"/>
    </row>
    <row r="235" ht="15.75" customHeight="1">
      <c r="G235" s="212"/>
      <c r="O235" s="224"/>
      <c r="W235" s="216"/>
      <c r="AI235" s="222"/>
      <c r="AV235" s="223"/>
      <c r="AW235" s="223"/>
    </row>
    <row r="236" ht="15.75" customHeight="1">
      <c r="G236" s="212"/>
      <c r="O236" s="224"/>
      <c r="W236" s="216"/>
      <c r="AI236" s="222"/>
      <c r="AV236" s="223"/>
      <c r="AW236" s="223"/>
    </row>
    <row r="237" ht="15.75" customHeight="1">
      <c r="G237" s="212"/>
      <c r="O237" s="224"/>
      <c r="W237" s="216"/>
      <c r="AI237" s="222"/>
      <c r="AV237" s="223"/>
      <c r="AW237" s="223"/>
    </row>
    <row r="238" ht="15.75" customHeight="1">
      <c r="G238" s="212"/>
      <c r="O238" s="224"/>
      <c r="W238" s="216"/>
      <c r="AI238" s="222"/>
      <c r="AV238" s="223"/>
      <c r="AW238" s="223"/>
    </row>
    <row r="239" ht="15.75" customHeight="1">
      <c r="G239" s="212"/>
      <c r="O239" s="224"/>
      <c r="W239" s="216"/>
      <c r="AI239" s="222"/>
      <c r="AV239" s="223"/>
      <c r="AW239" s="223"/>
    </row>
    <row r="240" ht="15.75" customHeight="1">
      <c r="G240" s="212"/>
      <c r="O240" s="224"/>
      <c r="W240" s="216"/>
      <c r="AI240" s="222"/>
      <c r="AV240" s="223"/>
      <c r="AW240" s="223"/>
    </row>
    <row r="241" ht="15.75" customHeight="1">
      <c r="G241" s="212"/>
      <c r="O241" s="224"/>
      <c r="W241" s="216"/>
      <c r="AI241" s="222"/>
      <c r="AV241" s="223"/>
      <c r="AW241" s="223"/>
    </row>
    <row r="242" ht="15.75" customHeight="1">
      <c r="G242" s="212"/>
      <c r="O242" s="224"/>
      <c r="W242" s="216"/>
      <c r="AI242" s="222"/>
      <c r="AV242" s="223"/>
      <c r="AW242" s="223"/>
    </row>
    <row r="243" ht="15.75" customHeight="1">
      <c r="G243" s="212"/>
      <c r="O243" s="224"/>
      <c r="W243" s="216"/>
      <c r="AI243" s="222"/>
      <c r="AV243" s="223"/>
      <c r="AW243" s="223"/>
    </row>
    <row r="244" ht="15.75" customHeight="1">
      <c r="G244" s="212"/>
      <c r="O244" s="224"/>
      <c r="W244" s="216"/>
      <c r="AI244" s="222"/>
      <c r="AV244" s="223"/>
      <c r="AW244" s="223"/>
    </row>
    <row r="245" ht="15.75" customHeight="1">
      <c r="G245" s="212"/>
      <c r="O245" s="224"/>
      <c r="W245" s="216"/>
      <c r="AI245" s="222"/>
      <c r="AV245" s="223"/>
      <c r="AW245" s="223"/>
    </row>
    <row r="246" ht="15.75" customHeight="1">
      <c r="G246" s="212"/>
      <c r="O246" s="224"/>
      <c r="W246" s="216"/>
      <c r="AI246" s="222"/>
      <c r="AV246" s="223"/>
      <c r="AW246" s="223"/>
    </row>
    <row r="247" ht="15.75" customHeight="1">
      <c r="G247" s="212"/>
      <c r="O247" s="224"/>
      <c r="W247" s="216"/>
      <c r="AI247" s="222"/>
      <c r="AV247" s="223"/>
      <c r="AW247" s="223"/>
    </row>
    <row r="248" ht="15.75" customHeight="1">
      <c r="G248" s="212"/>
      <c r="O248" s="224"/>
      <c r="W248" s="216"/>
      <c r="AI248" s="222"/>
      <c r="AV248" s="223"/>
      <c r="AW248" s="223"/>
    </row>
    <row r="249" ht="15.75" customHeight="1">
      <c r="G249" s="212"/>
      <c r="O249" s="224"/>
      <c r="W249" s="216"/>
      <c r="AI249" s="222"/>
      <c r="AV249" s="223"/>
      <c r="AW249" s="223"/>
    </row>
    <row r="250" ht="15.75" customHeight="1">
      <c r="G250" s="212"/>
      <c r="O250" s="224"/>
      <c r="W250" s="216"/>
      <c r="AI250" s="222"/>
      <c r="AV250" s="223"/>
      <c r="AW250" s="223"/>
    </row>
    <row r="251" ht="15.75" customHeight="1">
      <c r="G251" s="212"/>
      <c r="O251" s="224"/>
      <c r="W251" s="216"/>
      <c r="AI251" s="222"/>
      <c r="AV251" s="223"/>
      <c r="AW251" s="223"/>
    </row>
    <row r="252" ht="15.75" customHeight="1">
      <c r="G252" s="212"/>
      <c r="O252" s="224"/>
      <c r="W252" s="216"/>
      <c r="AI252" s="222"/>
      <c r="AV252" s="223"/>
      <c r="AW252" s="223"/>
    </row>
    <row r="253" ht="15.75" customHeight="1">
      <c r="G253" s="212"/>
      <c r="O253" s="224"/>
      <c r="W253" s="216"/>
      <c r="AI253" s="222"/>
      <c r="AV253" s="223"/>
      <c r="AW253" s="223"/>
    </row>
    <row r="254" ht="15.75" customHeight="1">
      <c r="G254" s="212"/>
      <c r="O254" s="224"/>
      <c r="W254" s="216"/>
      <c r="AI254" s="222"/>
      <c r="AV254" s="223"/>
      <c r="AW254" s="223"/>
    </row>
    <row r="255" ht="15.75" customHeight="1">
      <c r="G255" s="212"/>
      <c r="O255" s="224"/>
      <c r="W255" s="216"/>
      <c r="AI255" s="222"/>
      <c r="AV255" s="223"/>
      <c r="AW255" s="223"/>
    </row>
    <row r="256" ht="15.75" customHeight="1">
      <c r="G256" s="212"/>
      <c r="O256" s="224"/>
      <c r="W256" s="216"/>
      <c r="AI256" s="222"/>
      <c r="AV256" s="223"/>
      <c r="AW256" s="223"/>
    </row>
    <row r="257" ht="15.75" customHeight="1">
      <c r="G257" s="212"/>
      <c r="O257" s="224"/>
      <c r="W257" s="216"/>
      <c r="AI257" s="222"/>
      <c r="AV257" s="223"/>
      <c r="AW257" s="223"/>
    </row>
    <row r="258" ht="15.75" customHeight="1">
      <c r="G258" s="212"/>
      <c r="O258" s="224"/>
      <c r="W258" s="216"/>
      <c r="AI258" s="222"/>
      <c r="AV258" s="223"/>
      <c r="AW258" s="223"/>
    </row>
    <row r="259" ht="15.75" customHeight="1">
      <c r="G259" s="212"/>
      <c r="O259" s="224"/>
      <c r="W259" s="216"/>
      <c r="AI259" s="222"/>
      <c r="AV259" s="223"/>
      <c r="AW259" s="223"/>
    </row>
    <row r="260" ht="15.75" customHeight="1">
      <c r="G260" s="212"/>
      <c r="O260" s="224"/>
      <c r="W260" s="216"/>
      <c r="AI260" s="222"/>
      <c r="AV260" s="223"/>
      <c r="AW260" s="223"/>
    </row>
    <row r="261" ht="15.75" customHeight="1">
      <c r="G261" s="212"/>
      <c r="O261" s="224"/>
      <c r="W261" s="216"/>
      <c r="AI261" s="222"/>
      <c r="AV261" s="223"/>
      <c r="AW261" s="223"/>
    </row>
    <row r="262" ht="15.75" customHeight="1">
      <c r="G262" s="212"/>
      <c r="O262" s="224"/>
      <c r="W262" s="216"/>
      <c r="AI262" s="222"/>
      <c r="AV262" s="223"/>
      <c r="AW262" s="223"/>
    </row>
    <row r="263" ht="15.75" customHeight="1">
      <c r="G263" s="212"/>
      <c r="O263" s="224"/>
      <c r="W263" s="216"/>
      <c r="AI263" s="222"/>
      <c r="AV263" s="223"/>
      <c r="AW263" s="223"/>
    </row>
    <row r="264" ht="15.75" customHeight="1">
      <c r="G264" s="212"/>
      <c r="O264" s="224"/>
      <c r="W264" s="216"/>
      <c r="AI264" s="222"/>
      <c r="AV264" s="223"/>
      <c r="AW264" s="223"/>
    </row>
    <row r="265" ht="15.75" customHeight="1">
      <c r="G265" s="212"/>
      <c r="O265" s="224"/>
      <c r="W265" s="216"/>
      <c r="AI265" s="222"/>
      <c r="AV265" s="223"/>
      <c r="AW265" s="223"/>
    </row>
    <row r="266" ht="15.75" customHeight="1">
      <c r="G266" s="212"/>
      <c r="O266" s="224"/>
      <c r="W266" s="216"/>
      <c r="AI266" s="222"/>
      <c r="AV266" s="223"/>
      <c r="AW266" s="223"/>
    </row>
    <row r="267" ht="15.75" customHeight="1">
      <c r="G267" s="212"/>
      <c r="O267" s="224"/>
      <c r="W267" s="216"/>
      <c r="AI267" s="222"/>
      <c r="AV267" s="223"/>
      <c r="AW267" s="223"/>
    </row>
    <row r="268" ht="15.75" customHeight="1">
      <c r="G268" s="212"/>
      <c r="O268" s="224"/>
      <c r="W268" s="216"/>
      <c r="AI268" s="222"/>
      <c r="AV268" s="223"/>
      <c r="AW268" s="223"/>
    </row>
    <row r="269" ht="15.75" customHeight="1">
      <c r="G269" s="212"/>
      <c r="O269" s="224"/>
      <c r="W269" s="216"/>
      <c r="AI269" s="222"/>
      <c r="AV269" s="223"/>
      <c r="AW269" s="223"/>
    </row>
    <row r="270" ht="15.75" customHeight="1">
      <c r="G270" s="212"/>
      <c r="O270" s="224"/>
      <c r="W270" s="216"/>
      <c r="AI270" s="222"/>
      <c r="AV270" s="223"/>
      <c r="AW270" s="223"/>
    </row>
    <row r="271" ht="15.75" customHeight="1">
      <c r="G271" s="212"/>
      <c r="O271" s="224"/>
      <c r="W271" s="216"/>
      <c r="AI271" s="222"/>
      <c r="AV271" s="223"/>
      <c r="AW271" s="223"/>
    </row>
    <row r="272" ht="15.75" customHeight="1">
      <c r="G272" s="212"/>
      <c r="O272" s="224"/>
      <c r="W272" s="216"/>
      <c r="AI272" s="222"/>
      <c r="AV272" s="223"/>
      <c r="AW272" s="223"/>
    </row>
    <row r="273" ht="15.75" customHeight="1">
      <c r="G273" s="212"/>
      <c r="O273" s="224"/>
      <c r="W273" s="216"/>
      <c r="AI273" s="222"/>
      <c r="AV273" s="223"/>
      <c r="AW273" s="223"/>
    </row>
    <row r="274" ht="15.75" customHeight="1">
      <c r="G274" s="212"/>
      <c r="O274" s="224"/>
      <c r="W274" s="216"/>
      <c r="AI274" s="222"/>
      <c r="AV274" s="223"/>
      <c r="AW274" s="223"/>
    </row>
    <row r="275" ht="15.75" customHeight="1">
      <c r="G275" s="212"/>
      <c r="O275" s="224"/>
      <c r="W275" s="216"/>
      <c r="AI275" s="222"/>
      <c r="AV275" s="223"/>
      <c r="AW275" s="223"/>
    </row>
    <row r="276" ht="15.75" customHeight="1">
      <c r="G276" s="212"/>
      <c r="O276" s="224"/>
      <c r="W276" s="216"/>
      <c r="AI276" s="222"/>
      <c r="AV276" s="223"/>
      <c r="AW276" s="223"/>
    </row>
    <row r="277" ht="15.75" customHeight="1">
      <c r="G277" s="212"/>
      <c r="O277" s="224"/>
      <c r="W277" s="216"/>
      <c r="AI277" s="222"/>
      <c r="AV277" s="223"/>
      <c r="AW277" s="223"/>
    </row>
    <row r="278" ht="15.75" customHeight="1">
      <c r="G278" s="212"/>
      <c r="O278" s="224"/>
      <c r="W278" s="216"/>
      <c r="AI278" s="222"/>
      <c r="AV278" s="223"/>
      <c r="AW278" s="223"/>
    </row>
    <row r="279" ht="15.75" customHeight="1">
      <c r="G279" s="212"/>
      <c r="O279" s="224"/>
      <c r="W279" s="216"/>
      <c r="AI279" s="222"/>
      <c r="AV279" s="223"/>
      <c r="AW279" s="223"/>
    </row>
    <row r="280" ht="15.75" customHeight="1">
      <c r="G280" s="212"/>
      <c r="O280" s="224"/>
      <c r="W280" s="216"/>
      <c r="AI280" s="222"/>
      <c r="AV280" s="223"/>
      <c r="AW280" s="223"/>
    </row>
    <row r="281" ht="15.75" customHeight="1">
      <c r="G281" s="212"/>
      <c r="O281" s="224"/>
      <c r="W281" s="216"/>
      <c r="AI281" s="222"/>
      <c r="AV281" s="223"/>
      <c r="AW281" s="223"/>
    </row>
    <row r="282" ht="15.75" customHeight="1">
      <c r="G282" s="212"/>
      <c r="O282" s="224"/>
      <c r="W282" s="216"/>
      <c r="AI282" s="222"/>
      <c r="AV282" s="223"/>
      <c r="AW282" s="223"/>
    </row>
    <row r="283" ht="15.75" customHeight="1">
      <c r="G283" s="212"/>
      <c r="O283" s="224"/>
      <c r="W283" s="216"/>
      <c r="AI283" s="222"/>
      <c r="AV283" s="223"/>
      <c r="AW283" s="223"/>
    </row>
    <row r="284" ht="15.75" customHeight="1">
      <c r="G284" s="212"/>
      <c r="O284" s="224"/>
      <c r="W284" s="216"/>
      <c r="AI284" s="222"/>
      <c r="AV284" s="223"/>
      <c r="AW284" s="223"/>
    </row>
    <row r="285" ht="15.75" customHeight="1">
      <c r="G285" s="212"/>
      <c r="O285" s="224"/>
      <c r="W285" s="216"/>
      <c r="AI285" s="222"/>
      <c r="AV285" s="223"/>
      <c r="AW285" s="223"/>
    </row>
    <row r="286" ht="15.75" customHeight="1">
      <c r="G286" s="212"/>
      <c r="O286" s="224"/>
      <c r="W286" s="216"/>
      <c r="AI286" s="222"/>
      <c r="AV286" s="223"/>
      <c r="AW286" s="223"/>
    </row>
    <row r="287" ht="15.75" customHeight="1">
      <c r="G287" s="212"/>
      <c r="O287" s="224"/>
      <c r="W287" s="216"/>
      <c r="AI287" s="222"/>
      <c r="AV287" s="223"/>
      <c r="AW287" s="223"/>
    </row>
    <row r="288" ht="15.75" customHeight="1">
      <c r="G288" s="212"/>
      <c r="O288" s="224"/>
      <c r="W288" s="216"/>
      <c r="AI288" s="222"/>
      <c r="AV288" s="223"/>
      <c r="AW288" s="223"/>
    </row>
    <row r="289" ht="15.75" customHeight="1">
      <c r="G289" s="212"/>
      <c r="O289" s="224"/>
      <c r="W289" s="216"/>
      <c r="AI289" s="222"/>
      <c r="AV289" s="223"/>
      <c r="AW289" s="223"/>
    </row>
    <row r="290" ht="15.75" customHeight="1">
      <c r="G290" s="212"/>
      <c r="O290" s="224"/>
      <c r="W290" s="216"/>
      <c r="AI290" s="222"/>
      <c r="AV290" s="223"/>
      <c r="AW290" s="223"/>
    </row>
    <row r="291" ht="15.75" customHeight="1">
      <c r="G291" s="212"/>
      <c r="O291" s="224"/>
      <c r="W291" s="216"/>
      <c r="AI291" s="222"/>
      <c r="AV291" s="223"/>
      <c r="AW291" s="223"/>
    </row>
    <row r="292" ht="15.75" customHeight="1">
      <c r="G292" s="212"/>
      <c r="O292" s="224"/>
      <c r="W292" s="216"/>
      <c r="AI292" s="222"/>
      <c r="AV292" s="223"/>
      <c r="AW292" s="223"/>
    </row>
    <row r="293" ht="15.75" customHeight="1">
      <c r="G293" s="212"/>
      <c r="O293" s="224"/>
      <c r="W293" s="216"/>
      <c r="AI293" s="222"/>
      <c r="AV293" s="223"/>
      <c r="AW293" s="223"/>
    </row>
    <row r="294" ht="15.75" customHeight="1">
      <c r="G294" s="212"/>
      <c r="O294" s="224"/>
      <c r="W294" s="216"/>
      <c r="AI294" s="222"/>
      <c r="AV294" s="223"/>
      <c r="AW294" s="223"/>
    </row>
    <row r="295" ht="15.75" customHeight="1">
      <c r="G295" s="212"/>
      <c r="O295" s="224"/>
      <c r="W295" s="216"/>
      <c r="AI295" s="222"/>
      <c r="AV295" s="223"/>
      <c r="AW295" s="223"/>
    </row>
    <row r="296" ht="15.75" customHeight="1">
      <c r="G296" s="212"/>
      <c r="O296" s="224"/>
      <c r="W296" s="216"/>
      <c r="AI296" s="222"/>
      <c r="AV296" s="223"/>
      <c r="AW296" s="223"/>
    </row>
    <row r="297" ht="15.75" customHeight="1">
      <c r="G297" s="212"/>
      <c r="O297" s="224"/>
      <c r="W297" s="216"/>
      <c r="AI297" s="222"/>
      <c r="AV297" s="223"/>
      <c r="AW297" s="223"/>
    </row>
    <row r="298" ht="15.75" customHeight="1">
      <c r="G298" s="212"/>
      <c r="O298" s="224"/>
      <c r="W298" s="216"/>
      <c r="AI298" s="222"/>
      <c r="AV298" s="223"/>
      <c r="AW298" s="223"/>
    </row>
    <row r="299" ht="15.75" customHeight="1">
      <c r="G299" s="212"/>
      <c r="O299" s="224"/>
      <c r="W299" s="216"/>
      <c r="AI299" s="222"/>
      <c r="AV299" s="223"/>
      <c r="AW299" s="223"/>
    </row>
    <row r="300" ht="15.75" customHeight="1">
      <c r="G300" s="212"/>
      <c r="O300" s="224"/>
      <c r="W300" s="216"/>
      <c r="AI300" s="222"/>
      <c r="AV300" s="223"/>
      <c r="AW300" s="223"/>
    </row>
    <row r="301" ht="15.75" customHeight="1">
      <c r="G301" s="212"/>
      <c r="O301" s="224"/>
      <c r="W301" s="216"/>
      <c r="AI301" s="222"/>
      <c r="AV301" s="223"/>
      <c r="AW301" s="223"/>
    </row>
    <row r="302" ht="15.75" customHeight="1">
      <c r="G302" s="212"/>
      <c r="O302" s="224"/>
      <c r="W302" s="216"/>
      <c r="AI302" s="222"/>
      <c r="AV302" s="223"/>
      <c r="AW302" s="223"/>
    </row>
    <row r="303" ht="15.75" customHeight="1">
      <c r="G303" s="212"/>
      <c r="O303" s="224"/>
      <c r="W303" s="216"/>
      <c r="AI303" s="222"/>
      <c r="AV303" s="223"/>
      <c r="AW303" s="223"/>
    </row>
    <row r="304" ht="15.75" customHeight="1">
      <c r="G304" s="212"/>
      <c r="O304" s="224"/>
      <c r="W304" s="216"/>
      <c r="AI304" s="222"/>
      <c r="AV304" s="223"/>
      <c r="AW304" s="223"/>
    </row>
    <row r="305" ht="15.75" customHeight="1">
      <c r="G305" s="212"/>
      <c r="O305" s="224"/>
      <c r="W305" s="216"/>
      <c r="AI305" s="222"/>
      <c r="AV305" s="223"/>
      <c r="AW305" s="223"/>
    </row>
    <row r="306" ht="15.75" customHeight="1">
      <c r="G306" s="212"/>
      <c r="O306" s="224"/>
      <c r="W306" s="216"/>
      <c r="AI306" s="222"/>
      <c r="AV306" s="223"/>
      <c r="AW306" s="223"/>
    </row>
    <row r="307" ht="15.75" customHeight="1">
      <c r="G307" s="212"/>
      <c r="O307" s="224"/>
      <c r="W307" s="216"/>
      <c r="AI307" s="222"/>
      <c r="AV307" s="223"/>
      <c r="AW307" s="223"/>
    </row>
    <row r="308" ht="15.75" customHeight="1">
      <c r="G308" s="212"/>
      <c r="O308" s="224"/>
      <c r="W308" s="216"/>
      <c r="AI308" s="222"/>
      <c r="AV308" s="223"/>
      <c r="AW308" s="223"/>
    </row>
    <row r="309" ht="15.75" customHeight="1">
      <c r="G309" s="212"/>
      <c r="O309" s="224"/>
      <c r="W309" s="216"/>
      <c r="AI309" s="222"/>
      <c r="AV309" s="223"/>
      <c r="AW309" s="223"/>
    </row>
    <row r="310" ht="15.75" customHeight="1">
      <c r="G310" s="212"/>
      <c r="O310" s="224"/>
      <c r="W310" s="216"/>
      <c r="AI310" s="222"/>
      <c r="AV310" s="223"/>
      <c r="AW310" s="223"/>
    </row>
    <row r="311" ht="15.75" customHeight="1">
      <c r="G311" s="212"/>
      <c r="O311" s="224"/>
      <c r="W311" s="216"/>
      <c r="AI311" s="222"/>
      <c r="AV311" s="223"/>
      <c r="AW311" s="223"/>
    </row>
    <row r="312" ht="15.75" customHeight="1">
      <c r="G312" s="212"/>
      <c r="O312" s="224"/>
      <c r="W312" s="216"/>
      <c r="AI312" s="222"/>
      <c r="AV312" s="223"/>
      <c r="AW312" s="223"/>
    </row>
    <row r="313" ht="15.75" customHeight="1">
      <c r="G313" s="212"/>
      <c r="O313" s="224"/>
      <c r="W313" s="216"/>
      <c r="AI313" s="222"/>
      <c r="AV313" s="223"/>
      <c r="AW313" s="223"/>
    </row>
    <row r="314" ht="15.75" customHeight="1">
      <c r="G314" s="212"/>
      <c r="O314" s="224"/>
      <c r="W314" s="216"/>
      <c r="AI314" s="222"/>
      <c r="AV314" s="223"/>
      <c r="AW314" s="223"/>
    </row>
    <row r="315" ht="15.75" customHeight="1">
      <c r="G315" s="212"/>
      <c r="O315" s="224"/>
      <c r="W315" s="216"/>
      <c r="AI315" s="222"/>
      <c r="AV315" s="223"/>
      <c r="AW315" s="223"/>
    </row>
    <row r="316" ht="15.75" customHeight="1">
      <c r="G316" s="212"/>
      <c r="O316" s="224"/>
      <c r="W316" s="216"/>
      <c r="AI316" s="222"/>
      <c r="AV316" s="223"/>
      <c r="AW316" s="223"/>
    </row>
    <row r="317" ht="15.75" customHeight="1">
      <c r="G317" s="212"/>
      <c r="O317" s="224"/>
      <c r="W317" s="216"/>
      <c r="AI317" s="222"/>
      <c r="AV317" s="223"/>
      <c r="AW317" s="223"/>
    </row>
    <row r="318" ht="15.75" customHeight="1">
      <c r="G318" s="212"/>
      <c r="O318" s="224"/>
      <c r="W318" s="216"/>
      <c r="AI318" s="222"/>
      <c r="AV318" s="223"/>
      <c r="AW318" s="223"/>
    </row>
    <row r="319" ht="15.75" customHeight="1">
      <c r="G319" s="212"/>
      <c r="O319" s="224"/>
      <c r="W319" s="216"/>
      <c r="AI319" s="222"/>
      <c r="AV319" s="223"/>
      <c r="AW319" s="223"/>
    </row>
    <row r="320" ht="15.75" customHeight="1">
      <c r="G320" s="212"/>
      <c r="O320" s="224"/>
      <c r="W320" s="216"/>
      <c r="AI320" s="222"/>
      <c r="AV320" s="223"/>
      <c r="AW320" s="223"/>
    </row>
    <row r="321" ht="15.75" customHeight="1">
      <c r="G321" s="212"/>
      <c r="O321" s="224"/>
      <c r="W321" s="216"/>
      <c r="AI321" s="222"/>
      <c r="AV321" s="223"/>
      <c r="AW321" s="223"/>
    </row>
    <row r="322" ht="15.75" customHeight="1">
      <c r="G322" s="212"/>
      <c r="O322" s="224"/>
      <c r="W322" s="216"/>
      <c r="AI322" s="222"/>
      <c r="AV322" s="223"/>
      <c r="AW322" s="223"/>
    </row>
    <row r="323" ht="15.75" customHeight="1">
      <c r="G323" s="212"/>
      <c r="O323" s="224"/>
      <c r="W323" s="216"/>
      <c r="AI323" s="222"/>
      <c r="AV323" s="223"/>
      <c r="AW323" s="223"/>
    </row>
    <row r="324" ht="15.75" customHeight="1">
      <c r="G324" s="212"/>
      <c r="O324" s="224"/>
      <c r="W324" s="216"/>
      <c r="AI324" s="222"/>
      <c r="AV324" s="223"/>
      <c r="AW324" s="223"/>
    </row>
    <row r="325" ht="15.75" customHeight="1">
      <c r="G325" s="212"/>
      <c r="O325" s="224"/>
      <c r="W325" s="216"/>
      <c r="AI325" s="222"/>
      <c r="AV325" s="223"/>
      <c r="AW325" s="223"/>
    </row>
    <row r="326" ht="15.75" customHeight="1">
      <c r="G326" s="212"/>
      <c r="O326" s="224"/>
      <c r="W326" s="216"/>
      <c r="AI326" s="222"/>
      <c r="AV326" s="223"/>
      <c r="AW326" s="223"/>
    </row>
    <row r="327" ht="15.75" customHeight="1">
      <c r="G327" s="212"/>
      <c r="O327" s="224"/>
      <c r="W327" s="216"/>
      <c r="AI327" s="222"/>
      <c r="AV327" s="223"/>
      <c r="AW327" s="223"/>
    </row>
    <row r="328" ht="15.75" customHeight="1">
      <c r="G328" s="212"/>
      <c r="O328" s="224"/>
      <c r="W328" s="216"/>
      <c r="AI328" s="222"/>
      <c r="AV328" s="223"/>
      <c r="AW328" s="223"/>
    </row>
    <row r="329" ht="15.75" customHeight="1">
      <c r="G329" s="212"/>
      <c r="O329" s="224"/>
      <c r="W329" s="216"/>
      <c r="AI329" s="222"/>
      <c r="AV329" s="223"/>
      <c r="AW329" s="223"/>
    </row>
    <row r="330" ht="15.75" customHeight="1">
      <c r="G330" s="212"/>
      <c r="O330" s="224"/>
      <c r="W330" s="216"/>
      <c r="AI330" s="222"/>
      <c r="AV330" s="223"/>
      <c r="AW330" s="223"/>
    </row>
    <row r="331" ht="15.75" customHeight="1">
      <c r="G331" s="212"/>
      <c r="O331" s="224"/>
      <c r="W331" s="216"/>
      <c r="AI331" s="222"/>
      <c r="AV331" s="223"/>
      <c r="AW331" s="223"/>
    </row>
    <row r="332" ht="15.75" customHeight="1">
      <c r="G332" s="212"/>
      <c r="O332" s="224"/>
      <c r="W332" s="216"/>
      <c r="AI332" s="222"/>
      <c r="AV332" s="223"/>
      <c r="AW332" s="223"/>
    </row>
    <row r="333" ht="15.75" customHeight="1">
      <c r="G333" s="212"/>
      <c r="O333" s="224"/>
      <c r="W333" s="216"/>
      <c r="AI333" s="222"/>
      <c r="AV333" s="223"/>
      <c r="AW333" s="223"/>
    </row>
    <row r="334" ht="15.75" customHeight="1">
      <c r="G334" s="212"/>
      <c r="O334" s="224"/>
      <c r="W334" s="216"/>
      <c r="AI334" s="222"/>
      <c r="AV334" s="223"/>
      <c r="AW334" s="223"/>
    </row>
    <row r="335" ht="15.75" customHeight="1">
      <c r="G335" s="212"/>
      <c r="O335" s="224"/>
      <c r="W335" s="216"/>
      <c r="AI335" s="222"/>
      <c r="AV335" s="223"/>
      <c r="AW335" s="223"/>
    </row>
    <row r="336" ht="15.75" customHeight="1">
      <c r="G336" s="212"/>
      <c r="O336" s="224"/>
      <c r="W336" s="216"/>
      <c r="AI336" s="222"/>
      <c r="AV336" s="223"/>
      <c r="AW336" s="223"/>
    </row>
    <row r="337" ht="15.75" customHeight="1">
      <c r="G337" s="212"/>
      <c r="O337" s="224"/>
      <c r="W337" s="216"/>
      <c r="AI337" s="222"/>
      <c r="AV337" s="223"/>
      <c r="AW337" s="223"/>
    </row>
    <row r="338" ht="15.75" customHeight="1">
      <c r="G338" s="212"/>
      <c r="O338" s="224"/>
      <c r="W338" s="216"/>
      <c r="AI338" s="222"/>
      <c r="AV338" s="223"/>
      <c r="AW338" s="223"/>
    </row>
    <row r="339" ht="15.75" customHeight="1">
      <c r="G339" s="212"/>
      <c r="O339" s="224"/>
      <c r="W339" s="216"/>
      <c r="AI339" s="222"/>
      <c r="AV339" s="223"/>
      <c r="AW339" s="223"/>
    </row>
    <row r="340" ht="15.75" customHeight="1">
      <c r="G340" s="212"/>
      <c r="O340" s="224"/>
      <c r="W340" s="216"/>
      <c r="AI340" s="222"/>
      <c r="AV340" s="223"/>
      <c r="AW340" s="223"/>
    </row>
    <row r="341" ht="15.75" customHeight="1">
      <c r="G341" s="212"/>
      <c r="O341" s="224"/>
      <c r="W341" s="216"/>
      <c r="AI341" s="222"/>
      <c r="AV341" s="223"/>
      <c r="AW341" s="223"/>
    </row>
    <row r="342" ht="15.75" customHeight="1">
      <c r="G342" s="212"/>
      <c r="O342" s="224"/>
      <c r="W342" s="216"/>
      <c r="AI342" s="222"/>
      <c r="AV342" s="223"/>
      <c r="AW342" s="223"/>
    </row>
    <row r="343" ht="15.75" customHeight="1">
      <c r="G343" s="212"/>
      <c r="O343" s="224"/>
      <c r="W343" s="216"/>
      <c r="AI343" s="222"/>
      <c r="AV343" s="223"/>
      <c r="AW343" s="223"/>
    </row>
    <row r="344" ht="15.75" customHeight="1">
      <c r="G344" s="212"/>
      <c r="O344" s="224"/>
      <c r="W344" s="216"/>
      <c r="AI344" s="222"/>
      <c r="AV344" s="223"/>
      <c r="AW344" s="223"/>
    </row>
    <row r="345" ht="15.75" customHeight="1">
      <c r="G345" s="212"/>
      <c r="O345" s="224"/>
      <c r="W345" s="216"/>
      <c r="AI345" s="222"/>
      <c r="AV345" s="223"/>
      <c r="AW345" s="223"/>
    </row>
    <row r="346" ht="15.75" customHeight="1">
      <c r="G346" s="212"/>
      <c r="O346" s="224"/>
      <c r="W346" s="216"/>
      <c r="AI346" s="222"/>
      <c r="AV346" s="223"/>
      <c r="AW346" s="223"/>
    </row>
    <row r="347" ht="15.75" customHeight="1">
      <c r="G347" s="212"/>
      <c r="O347" s="224"/>
      <c r="W347" s="216"/>
      <c r="AI347" s="222"/>
      <c r="AV347" s="223"/>
      <c r="AW347" s="223"/>
    </row>
    <row r="348" ht="15.75" customHeight="1">
      <c r="G348" s="212"/>
      <c r="O348" s="224"/>
      <c r="W348" s="216"/>
      <c r="AI348" s="222"/>
      <c r="AV348" s="223"/>
      <c r="AW348" s="223"/>
    </row>
    <row r="349" ht="15.75" customHeight="1">
      <c r="G349" s="212"/>
      <c r="O349" s="224"/>
      <c r="W349" s="216"/>
      <c r="AI349" s="222"/>
      <c r="AV349" s="223"/>
      <c r="AW349" s="223"/>
    </row>
    <row r="350" ht="15.75" customHeight="1">
      <c r="G350" s="212"/>
      <c r="O350" s="224"/>
      <c r="W350" s="216"/>
      <c r="AI350" s="222"/>
      <c r="AV350" s="223"/>
      <c r="AW350" s="223"/>
    </row>
    <row r="351" ht="15.75" customHeight="1">
      <c r="G351" s="212"/>
      <c r="O351" s="224"/>
      <c r="W351" s="216"/>
      <c r="AI351" s="222"/>
      <c r="AV351" s="223"/>
      <c r="AW351" s="223"/>
    </row>
    <row r="352" ht="15.75" customHeight="1">
      <c r="G352" s="212"/>
      <c r="O352" s="224"/>
      <c r="W352" s="216"/>
      <c r="AI352" s="222"/>
      <c r="AV352" s="223"/>
      <c r="AW352" s="223"/>
    </row>
    <row r="353" ht="15.75" customHeight="1">
      <c r="G353" s="212"/>
      <c r="O353" s="224"/>
      <c r="W353" s="216"/>
      <c r="AI353" s="222"/>
      <c r="AV353" s="223"/>
      <c r="AW353" s="223"/>
    </row>
    <row r="354" ht="15.75" customHeight="1">
      <c r="G354" s="212"/>
      <c r="O354" s="224"/>
      <c r="W354" s="216"/>
      <c r="AI354" s="222"/>
      <c r="AV354" s="223"/>
      <c r="AW354" s="223"/>
    </row>
    <row r="355" ht="15.75" customHeight="1">
      <c r="G355" s="212"/>
      <c r="O355" s="224"/>
      <c r="W355" s="216"/>
      <c r="AI355" s="222"/>
      <c r="AV355" s="223"/>
      <c r="AW355" s="223"/>
    </row>
    <row r="356" ht="15.75" customHeight="1">
      <c r="G356" s="212"/>
      <c r="O356" s="224"/>
      <c r="W356" s="216"/>
      <c r="AI356" s="222"/>
      <c r="AV356" s="223"/>
      <c r="AW356" s="223"/>
    </row>
    <row r="357" ht="15.75" customHeight="1">
      <c r="G357" s="212"/>
      <c r="O357" s="224"/>
      <c r="W357" s="216"/>
      <c r="AI357" s="222"/>
      <c r="AV357" s="223"/>
      <c r="AW357" s="223"/>
    </row>
    <row r="358" ht="15.75" customHeight="1">
      <c r="G358" s="212"/>
      <c r="O358" s="224"/>
      <c r="W358" s="216"/>
      <c r="AI358" s="222"/>
      <c r="AV358" s="223"/>
      <c r="AW358" s="223"/>
    </row>
    <row r="359" ht="15.75" customHeight="1">
      <c r="G359" s="212"/>
      <c r="O359" s="224"/>
      <c r="W359" s="216"/>
      <c r="AI359" s="222"/>
      <c r="AV359" s="223"/>
      <c r="AW359" s="223"/>
    </row>
    <row r="360" ht="15.75" customHeight="1">
      <c r="G360" s="212"/>
      <c r="O360" s="224"/>
      <c r="W360" s="216"/>
      <c r="AI360" s="222"/>
      <c r="AV360" s="223"/>
      <c r="AW360" s="223"/>
    </row>
    <row r="361" ht="15.75" customHeight="1">
      <c r="G361" s="212"/>
      <c r="O361" s="224"/>
      <c r="W361" s="216"/>
      <c r="AI361" s="222"/>
      <c r="AV361" s="223"/>
      <c r="AW361" s="223"/>
    </row>
    <row r="362" ht="15.75" customHeight="1">
      <c r="G362" s="212"/>
      <c r="O362" s="224"/>
      <c r="W362" s="216"/>
      <c r="AI362" s="222"/>
      <c r="AV362" s="223"/>
      <c r="AW362" s="223"/>
    </row>
    <row r="363" ht="15.75" customHeight="1">
      <c r="G363" s="212"/>
      <c r="O363" s="224"/>
      <c r="W363" s="216"/>
      <c r="AI363" s="222"/>
      <c r="AV363" s="223"/>
      <c r="AW363" s="223"/>
    </row>
    <row r="364" ht="15.75" customHeight="1">
      <c r="G364" s="212"/>
      <c r="O364" s="224"/>
      <c r="W364" s="216"/>
      <c r="AI364" s="222"/>
      <c r="AV364" s="223"/>
      <c r="AW364" s="223"/>
    </row>
    <row r="365" ht="15.75" customHeight="1">
      <c r="G365" s="212"/>
      <c r="O365" s="224"/>
      <c r="W365" s="216"/>
      <c r="AI365" s="222"/>
      <c r="AV365" s="223"/>
      <c r="AW365" s="223"/>
    </row>
    <row r="366" ht="15.75" customHeight="1">
      <c r="G366" s="212"/>
      <c r="O366" s="224"/>
      <c r="W366" s="216"/>
      <c r="AI366" s="222"/>
      <c r="AV366" s="223"/>
      <c r="AW366" s="223"/>
    </row>
    <row r="367" ht="15.75" customHeight="1">
      <c r="G367" s="212"/>
      <c r="O367" s="224"/>
      <c r="W367" s="216"/>
      <c r="AI367" s="222"/>
      <c r="AV367" s="223"/>
      <c r="AW367" s="223"/>
    </row>
    <row r="368" ht="15.75" customHeight="1">
      <c r="G368" s="212"/>
      <c r="O368" s="224"/>
      <c r="W368" s="216"/>
      <c r="AI368" s="222"/>
      <c r="AV368" s="223"/>
      <c r="AW368" s="223"/>
    </row>
    <row r="369" ht="15.75" customHeight="1">
      <c r="G369" s="212"/>
      <c r="O369" s="224"/>
      <c r="W369" s="216"/>
      <c r="AI369" s="222"/>
      <c r="AV369" s="223"/>
      <c r="AW369" s="223"/>
    </row>
    <row r="370" ht="15.75" customHeight="1">
      <c r="G370" s="212"/>
      <c r="O370" s="224"/>
      <c r="W370" s="216"/>
      <c r="AI370" s="222"/>
      <c r="AV370" s="223"/>
      <c r="AW370" s="223"/>
    </row>
    <row r="371" ht="15.75" customHeight="1">
      <c r="G371" s="212"/>
      <c r="O371" s="224"/>
      <c r="W371" s="216"/>
      <c r="AI371" s="222"/>
      <c r="AV371" s="223"/>
      <c r="AW371" s="223"/>
    </row>
    <row r="372" ht="15.75" customHeight="1">
      <c r="G372" s="212"/>
      <c r="O372" s="224"/>
      <c r="W372" s="216"/>
      <c r="AI372" s="222"/>
      <c r="AV372" s="223"/>
      <c r="AW372" s="223"/>
    </row>
    <row r="373" ht="15.75" customHeight="1">
      <c r="G373" s="212"/>
      <c r="O373" s="224"/>
      <c r="W373" s="216"/>
      <c r="AI373" s="222"/>
      <c r="AV373" s="223"/>
      <c r="AW373" s="223"/>
    </row>
    <row r="374" ht="15.75" customHeight="1">
      <c r="G374" s="212"/>
      <c r="O374" s="224"/>
      <c r="W374" s="216"/>
      <c r="AI374" s="222"/>
      <c r="AV374" s="223"/>
      <c r="AW374" s="223"/>
    </row>
    <row r="375" ht="15.75" customHeight="1">
      <c r="G375" s="212"/>
      <c r="O375" s="224"/>
      <c r="W375" s="216"/>
      <c r="AI375" s="222"/>
      <c r="AV375" s="223"/>
      <c r="AW375" s="223"/>
    </row>
    <row r="376" ht="15.75" customHeight="1">
      <c r="G376" s="212"/>
      <c r="O376" s="224"/>
      <c r="W376" s="216"/>
      <c r="AI376" s="222"/>
      <c r="AV376" s="223"/>
      <c r="AW376" s="223"/>
    </row>
    <row r="377" ht="15.75" customHeight="1">
      <c r="G377" s="212"/>
      <c r="O377" s="224"/>
      <c r="W377" s="216"/>
      <c r="AI377" s="222"/>
      <c r="AV377" s="223"/>
      <c r="AW377" s="223"/>
    </row>
    <row r="378" ht="15.75" customHeight="1">
      <c r="G378" s="212"/>
      <c r="O378" s="224"/>
      <c r="W378" s="216"/>
      <c r="AI378" s="222"/>
      <c r="AV378" s="223"/>
      <c r="AW378" s="223"/>
    </row>
    <row r="379" ht="15.75" customHeight="1">
      <c r="G379" s="212"/>
      <c r="O379" s="224"/>
      <c r="W379" s="216"/>
      <c r="AI379" s="222"/>
      <c r="AV379" s="223"/>
      <c r="AW379" s="223"/>
    </row>
    <row r="380" ht="15.75" customHeight="1">
      <c r="G380" s="212"/>
      <c r="O380" s="224"/>
      <c r="W380" s="216"/>
      <c r="AI380" s="222"/>
      <c r="AV380" s="223"/>
      <c r="AW380" s="223"/>
    </row>
    <row r="381" ht="15.75" customHeight="1">
      <c r="G381" s="212"/>
      <c r="O381" s="224"/>
      <c r="W381" s="216"/>
      <c r="AI381" s="222"/>
      <c r="AV381" s="223"/>
      <c r="AW381" s="223"/>
    </row>
    <row r="382" ht="15.75" customHeight="1">
      <c r="G382" s="212"/>
      <c r="O382" s="224"/>
      <c r="W382" s="216"/>
      <c r="AI382" s="222"/>
      <c r="AV382" s="223"/>
      <c r="AW382" s="223"/>
    </row>
    <row r="383" ht="15.75" customHeight="1">
      <c r="G383" s="212"/>
      <c r="O383" s="224"/>
      <c r="W383" s="216"/>
      <c r="AI383" s="222"/>
      <c r="AV383" s="223"/>
      <c r="AW383" s="223"/>
    </row>
    <row r="384" ht="15.75" customHeight="1">
      <c r="G384" s="212"/>
      <c r="O384" s="224"/>
      <c r="W384" s="216"/>
      <c r="AI384" s="222"/>
      <c r="AV384" s="223"/>
      <c r="AW384" s="223"/>
    </row>
    <row r="385" ht="15.75" customHeight="1">
      <c r="G385" s="212"/>
      <c r="O385" s="224"/>
      <c r="W385" s="216"/>
      <c r="AI385" s="222"/>
      <c r="AV385" s="223"/>
      <c r="AW385" s="223"/>
    </row>
    <row r="386" ht="15.75" customHeight="1">
      <c r="G386" s="212"/>
      <c r="O386" s="224"/>
      <c r="W386" s="216"/>
      <c r="AI386" s="222"/>
      <c r="AV386" s="223"/>
      <c r="AW386" s="223"/>
    </row>
    <row r="387" ht="15.75" customHeight="1">
      <c r="G387" s="212"/>
      <c r="O387" s="224"/>
      <c r="W387" s="216"/>
      <c r="AI387" s="222"/>
      <c r="AV387" s="223"/>
      <c r="AW387" s="223"/>
    </row>
    <row r="388" ht="15.75" customHeight="1">
      <c r="G388" s="212"/>
      <c r="O388" s="224"/>
      <c r="W388" s="216"/>
      <c r="AI388" s="222"/>
      <c r="AV388" s="223"/>
      <c r="AW388" s="223"/>
    </row>
    <row r="389" ht="15.75" customHeight="1">
      <c r="G389" s="212"/>
      <c r="O389" s="224"/>
      <c r="W389" s="216"/>
      <c r="AI389" s="222"/>
      <c r="AV389" s="223"/>
      <c r="AW389" s="223"/>
    </row>
    <row r="390" ht="15.75" customHeight="1">
      <c r="G390" s="212"/>
      <c r="O390" s="224"/>
      <c r="W390" s="216"/>
      <c r="AI390" s="222"/>
      <c r="AV390" s="223"/>
      <c r="AW390" s="223"/>
    </row>
    <row r="391" ht="15.75" customHeight="1">
      <c r="G391" s="212"/>
      <c r="O391" s="224"/>
      <c r="W391" s="216"/>
      <c r="AI391" s="222"/>
      <c r="AV391" s="223"/>
      <c r="AW391" s="223"/>
    </row>
    <row r="392" ht="15.75" customHeight="1">
      <c r="G392" s="212"/>
      <c r="O392" s="224"/>
      <c r="W392" s="216"/>
      <c r="AI392" s="222"/>
      <c r="AV392" s="223"/>
      <c r="AW392" s="223"/>
    </row>
    <row r="393" ht="15.75" customHeight="1">
      <c r="G393" s="212"/>
      <c r="O393" s="224"/>
      <c r="W393" s="216"/>
      <c r="AI393" s="222"/>
      <c r="AV393" s="223"/>
      <c r="AW393" s="223"/>
    </row>
    <row r="394" ht="15.75" customHeight="1">
      <c r="G394" s="212"/>
      <c r="O394" s="224"/>
      <c r="W394" s="216"/>
      <c r="AI394" s="222"/>
      <c r="AV394" s="223"/>
      <c r="AW394" s="223"/>
    </row>
    <row r="395" ht="15.75" customHeight="1">
      <c r="G395" s="212"/>
      <c r="O395" s="224"/>
      <c r="W395" s="216"/>
      <c r="AI395" s="222"/>
      <c r="AV395" s="223"/>
      <c r="AW395" s="223"/>
    </row>
    <row r="396" ht="15.75" customHeight="1">
      <c r="G396" s="212"/>
      <c r="O396" s="224"/>
      <c r="W396" s="216"/>
      <c r="AI396" s="222"/>
      <c r="AV396" s="223"/>
      <c r="AW396" s="223"/>
    </row>
    <row r="397" ht="15.75" customHeight="1">
      <c r="G397" s="212"/>
      <c r="O397" s="224"/>
      <c r="W397" s="216"/>
      <c r="AI397" s="222"/>
      <c r="AV397" s="223"/>
      <c r="AW397" s="223"/>
    </row>
    <row r="398" ht="15.75" customHeight="1">
      <c r="G398" s="212"/>
      <c r="O398" s="224"/>
      <c r="W398" s="216"/>
      <c r="AI398" s="222"/>
      <c r="AV398" s="223"/>
      <c r="AW398" s="223"/>
    </row>
    <row r="399" ht="15.75" customHeight="1">
      <c r="G399" s="212"/>
      <c r="O399" s="224"/>
      <c r="W399" s="216"/>
      <c r="AI399" s="222"/>
      <c r="AV399" s="223"/>
      <c r="AW399" s="223"/>
    </row>
    <row r="400" ht="15.75" customHeight="1">
      <c r="G400" s="212"/>
      <c r="O400" s="224"/>
      <c r="W400" s="216"/>
      <c r="AI400" s="222"/>
      <c r="AV400" s="223"/>
      <c r="AW400" s="223"/>
    </row>
    <row r="401" ht="15.75" customHeight="1">
      <c r="G401" s="212"/>
      <c r="O401" s="224"/>
      <c r="W401" s="216"/>
      <c r="AI401" s="222"/>
      <c r="AV401" s="223"/>
      <c r="AW401" s="223"/>
    </row>
    <row r="402" ht="15.75" customHeight="1">
      <c r="G402" s="212"/>
      <c r="O402" s="224"/>
      <c r="W402" s="216"/>
      <c r="AI402" s="222"/>
      <c r="AV402" s="223"/>
      <c r="AW402" s="223"/>
    </row>
    <row r="403" ht="15.75" customHeight="1">
      <c r="G403" s="212"/>
      <c r="O403" s="224"/>
      <c r="W403" s="216"/>
      <c r="AI403" s="222"/>
      <c r="AV403" s="223"/>
      <c r="AW403" s="223"/>
    </row>
    <row r="404" ht="15.75" customHeight="1">
      <c r="G404" s="212"/>
      <c r="O404" s="224"/>
      <c r="W404" s="216"/>
      <c r="AI404" s="222"/>
      <c r="AV404" s="223"/>
      <c r="AW404" s="223"/>
    </row>
    <row r="405" ht="15.75" customHeight="1">
      <c r="G405" s="212"/>
      <c r="O405" s="224"/>
      <c r="W405" s="216"/>
      <c r="AI405" s="222"/>
      <c r="AV405" s="223"/>
      <c r="AW405" s="223"/>
    </row>
    <row r="406" ht="15.75" customHeight="1">
      <c r="G406" s="212"/>
      <c r="O406" s="224"/>
      <c r="W406" s="216"/>
      <c r="AI406" s="222"/>
      <c r="AV406" s="223"/>
      <c r="AW406" s="223"/>
    </row>
    <row r="407" ht="15.75" customHeight="1">
      <c r="G407" s="212"/>
      <c r="O407" s="224"/>
      <c r="W407" s="216"/>
      <c r="AI407" s="222"/>
      <c r="AV407" s="223"/>
      <c r="AW407" s="223"/>
    </row>
    <row r="408" ht="15.75" customHeight="1">
      <c r="G408" s="212"/>
      <c r="O408" s="224"/>
      <c r="W408" s="216"/>
      <c r="AI408" s="222"/>
      <c r="AV408" s="223"/>
      <c r="AW408" s="223"/>
    </row>
    <row r="409" ht="15.75" customHeight="1">
      <c r="G409" s="212"/>
      <c r="O409" s="224"/>
      <c r="W409" s="216"/>
      <c r="AI409" s="222"/>
      <c r="AV409" s="223"/>
      <c r="AW409" s="223"/>
    </row>
    <row r="410" ht="15.75" customHeight="1">
      <c r="G410" s="212"/>
      <c r="O410" s="224"/>
      <c r="W410" s="216"/>
      <c r="AI410" s="222"/>
      <c r="AV410" s="223"/>
      <c r="AW410" s="223"/>
    </row>
    <row r="411" ht="15.75" customHeight="1">
      <c r="G411" s="212"/>
      <c r="O411" s="224"/>
      <c r="W411" s="216"/>
      <c r="AI411" s="222"/>
      <c r="AV411" s="223"/>
      <c r="AW411" s="223"/>
    </row>
    <row r="412" ht="15.75" customHeight="1">
      <c r="G412" s="212"/>
      <c r="O412" s="224"/>
      <c r="W412" s="216"/>
      <c r="AI412" s="222"/>
      <c r="AV412" s="223"/>
      <c r="AW412" s="223"/>
    </row>
    <row r="413" ht="15.75" customHeight="1">
      <c r="G413" s="212"/>
      <c r="O413" s="224"/>
      <c r="W413" s="216"/>
      <c r="AI413" s="222"/>
      <c r="AV413" s="223"/>
      <c r="AW413" s="223"/>
    </row>
    <row r="414" ht="15.75" customHeight="1">
      <c r="G414" s="212"/>
      <c r="O414" s="224"/>
      <c r="W414" s="216"/>
      <c r="AI414" s="222"/>
      <c r="AV414" s="223"/>
      <c r="AW414" s="223"/>
    </row>
    <row r="415" ht="15.75" customHeight="1">
      <c r="G415" s="212"/>
      <c r="O415" s="224"/>
      <c r="W415" s="216"/>
      <c r="AI415" s="222"/>
      <c r="AV415" s="223"/>
      <c r="AW415" s="223"/>
    </row>
    <row r="416" ht="15.75" customHeight="1">
      <c r="G416" s="212"/>
      <c r="O416" s="224"/>
      <c r="W416" s="216"/>
      <c r="AI416" s="222"/>
      <c r="AV416" s="223"/>
      <c r="AW416" s="223"/>
    </row>
    <row r="417" ht="15.75" customHeight="1">
      <c r="G417" s="212"/>
      <c r="O417" s="224"/>
      <c r="W417" s="216"/>
      <c r="AI417" s="222"/>
      <c r="AV417" s="223"/>
      <c r="AW417" s="223"/>
    </row>
    <row r="418" ht="15.75" customHeight="1">
      <c r="G418" s="212"/>
      <c r="O418" s="224"/>
      <c r="W418" s="216"/>
      <c r="AI418" s="222"/>
      <c r="AV418" s="223"/>
      <c r="AW418" s="223"/>
    </row>
    <row r="419" ht="15.75" customHeight="1">
      <c r="G419" s="212"/>
      <c r="O419" s="224"/>
      <c r="W419" s="216"/>
      <c r="AI419" s="222"/>
      <c r="AV419" s="223"/>
      <c r="AW419" s="223"/>
    </row>
    <row r="420" ht="15.75" customHeight="1">
      <c r="G420" s="212"/>
      <c r="O420" s="224"/>
      <c r="W420" s="216"/>
      <c r="AI420" s="222"/>
      <c r="AV420" s="223"/>
      <c r="AW420" s="223"/>
    </row>
    <row r="421" ht="15.75" customHeight="1">
      <c r="G421" s="212"/>
      <c r="O421" s="224"/>
      <c r="W421" s="216"/>
      <c r="AI421" s="222"/>
      <c r="AV421" s="223"/>
      <c r="AW421" s="223"/>
    </row>
    <row r="422" ht="15.75" customHeight="1">
      <c r="G422" s="212"/>
      <c r="O422" s="224"/>
      <c r="W422" s="216"/>
      <c r="AI422" s="222"/>
      <c r="AV422" s="223"/>
      <c r="AW422" s="223"/>
    </row>
    <row r="423" ht="15.75" customHeight="1">
      <c r="G423" s="212"/>
      <c r="O423" s="224"/>
      <c r="W423" s="216"/>
      <c r="AI423" s="222"/>
      <c r="AV423" s="223"/>
      <c r="AW423" s="223"/>
    </row>
    <row r="424" ht="15.75" customHeight="1">
      <c r="G424" s="212"/>
      <c r="O424" s="224"/>
      <c r="W424" s="216"/>
      <c r="AI424" s="222"/>
      <c r="AV424" s="223"/>
      <c r="AW424" s="223"/>
    </row>
    <row r="425" ht="15.75" customHeight="1">
      <c r="G425" s="212"/>
      <c r="O425" s="224"/>
      <c r="W425" s="216"/>
      <c r="AI425" s="222"/>
      <c r="AV425" s="223"/>
      <c r="AW425" s="223"/>
    </row>
    <row r="426" ht="15.75" customHeight="1">
      <c r="G426" s="212"/>
      <c r="O426" s="224"/>
      <c r="W426" s="216"/>
      <c r="AI426" s="222"/>
      <c r="AV426" s="223"/>
      <c r="AW426" s="223"/>
    </row>
    <row r="427" ht="15.75" customHeight="1">
      <c r="G427" s="212"/>
      <c r="O427" s="224"/>
      <c r="W427" s="216"/>
      <c r="AI427" s="222"/>
      <c r="AV427" s="223"/>
      <c r="AW427" s="223"/>
    </row>
    <row r="428" ht="15.75" customHeight="1">
      <c r="G428" s="212"/>
      <c r="O428" s="224"/>
      <c r="W428" s="216"/>
      <c r="AI428" s="222"/>
      <c r="AV428" s="223"/>
      <c r="AW428" s="223"/>
    </row>
    <row r="429" ht="15.75" customHeight="1">
      <c r="G429" s="212"/>
      <c r="O429" s="224"/>
      <c r="W429" s="216"/>
      <c r="AI429" s="222"/>
      <c r="AV429" s="223"/>
      <c r="AW429" s="223"/>
    </row>
    <row r="430" ht="15.75" customHeight="1">
      <c r="G430" s="212"/>
      <c r="O430" s="224"/>
      <c r="W430" s="216"/>
      <c r="AI430" s="222"/>
      <c r="AV430" s="223"/>
      <c r="AW430" s="223"/>
    </row>
    <row r="431" ht="15.75" customHeight="1">
      <c r="G431" s="212"/>
      <c r="O431" s="224"/>
      <c r="W431" s="216"/>
      <c r="AI431" s="222"/>
      <c r="AV431" s="223"/>
      <c r="AW431" s="223"/>
    </row>
    <row r="432" ht="15.75" customHeight="1">
      <c r="G432" s="212"/>
      <c r="O432" s="224"/>
      <c r="W432" s="216"/>
      <c r="AI432" s="222"/>
      <c r="AV432" s="223"/>
      <c r="AW432" s="223"/>
    </row>
    <row r="433" ht="15.75" customHeight="1">
      <c r="G433" s="212"/>
      <c r="O433" s="224"/>
      <c r="W433" s="216"/>
      <c r="AI433" s="222"/>
      <c r="AV433" s="223"/>
      <c r="AW433" s="223"/>
    </row>
    <row r="434" ht="15.75" customHeight="1">
      <c r="G434" s="212"/>
      <c r="O434" s="224"/>
      <c r="W434" s="216"/>
      <c r="AI434" s="222"/>
      <c r="AV434" s="223"/>
      <c r="AW434" s="223"/>
    </row>
    <row r="435" ht="15.75" customHeight="1">
      <c r="G435" s="212"/>
      <c r="O435" s="224"/>
      <c r="W435" s="216"/>
      <c r="AI435" s="222"/>
      <c r="AV435" s="223"/>
      <c r="AW435" s="223"/>
    </row>
    <row r="436" ht="15.75" customHeight="1">
      <c r="G436" s="212"/>
      <c r="O436" s="224"/>
      <c r="W436" s="216"/>
      <c r="AI436" s="222"/>
      <c r="AV436" s="223"/>
      <c r="AW436" s="223"/>
    </row>
    <row r="437" ht="15.75" customHeight="1">
      <c r="G437" s="212"/>
      <c r="O437" s="224"/>
      <c r="W437" s="216"/>
      <c r="AI437" s="222"/>
      <c r="AV437" s="223"/>
      <c r="AW437" s="223"/>
    </row>
    <row r="438" ht="15.75" customHeight="1">
      <c r="G438" s="212"/>
      <c r="O438" s="224"/>
      <c r="W438" s="216"/>
      <c r="AI438" s="222"/>
      <c r="AV438" s="223"/>
      <c r="AW438" s="223"/>
    </row>
    <row r="439" ht="15.75" customHeight="1">
      <c r="G439" s="212"/>
      <c r="O439" s="224"/>
      <c r="W439" s="216"/>
      <c r="AI439" s="222"/>
      <c r="AV439" s="223"/>
      <c r="AW439" s="223"/>
    </row>
    <row r="440" ht="15.75" customHeight="1">
      <c r="G440" s="212"/>
      <c r="O440" s="224"/>
      <c r="W440" s="216"/>
      <c r="AI440" s="222"/>
      <c r="AV440" s="223"/>
      <c r="AW440" s="223"/>
    </row>
    <row r="441" ht="15.75" customHeight="1">
      <c r="G441" s="212"/>
      <c r="O441" s="224"/>
      <c r="W441" s="216"/>
      <c r="AI441" s="222"/>
      <c r="AV441" s="223"/>
      <c r="AW441" s="223"/>
    </row>
    <row r="442" ht="15.75" customHeight="1">
      <c r="G442" s="212"/>
      <c r="O442" s="224"/>
      <c r="W442" s="216"/>
      <c r="AI442" s="222"/>
      <c r="AV442" s="223"/>
      <c r="AW442" s="223"/>
    </row>
    <row r="443" ht="15.75" customHeight="1">
      <c r="G443" s="212"/>
      <c r="O443" s="224"/>
      <c r="W443" s="216"/>
      <c r="AI443" s="222"/>
      <c r="AV443" s="223"/>
      <c r="AW443" s="223"/>
    </row>
    <row r="444" ht="15.75" customHeight="1">
      <c r="G444" s="212"/>
      <c r="O444" s="224"/>
      <c r="W444" s="216"/>
      <c r="AI444" s="222"/>
      <c r="AV444" s="223"/>
      <c r="AW444" s="223"/>
    </row>
    <row r="445" ht="15.75" customHeight="1">
      <c r="G445" s="212"/>
      <c r="O445" s="224"/>
      <c r="W445" s="216"/>
      <c r="AI445" s="222"/>
      <c r="AV445" s="223"/>
      <c r="AW445" s="223"/>
    </row>
    <row r="446" ht="15.75" customHeight="1">
      <c r="G446" s="212"/>
      <c r="O446" s="224"/>
      <c r="W446" s="216"/>
      <c r="AI446" s="222"/>
      <c r="AV446" s="223"/>
      <c r="AW446" s="223"/>
    </row>
    <row r="447" ht="15.75" customHeight="1">
      <c r="G447" s="212"/>
      <c r="O447" s="224"/>
      <c r="W447" s="216"/>
      <c r="AI447" s="222"/>
      <c r="AV447" s="223"/>
      <c r="AW447" s="223"/>
    </row>
    <row r="448" ht="15.75" customHeight="1">
      <c r="G448" s="212"/>
      <c r="O448" s="224"/>
      <c r="W448" s="216"/>
      <c r="AI448" s="222"/>
      <c r="AV448" s="223"/>
      <c r="AW448" s="223"/>
    </row>
    <row r="449" ht="15.75" customHeight="1">
      <c r="G449" s="212"/>
      <c r="O449" s="224"/>
      <c r="W449" s="216"/>
      <c r="AI449" s="222"/>
      <c r="AV449" s="223"/>
      <c r="AW449" s="223"/>
    </row>
    <row r="450" ht="15.75" customHeight="1">
      <c r="G450" s="212"/>
      <c r="O450" s="224"/>
      <c r="W450" s="216"/>
      <c r="AI450" s="222"/>
      <c r="AV450" s="223"/>
      <c r="AW450" s="223"/>
    </row>
    <row r="451" ht="15.75" customHeight="1">
      <c r="G451" s="212"/>
      <c r="O451" s="224"/>
      <c r="W451" s="216"/>
      <c r="AI451" s="222"/>
      <c r="AV451" s="223"/>
      <c r="AW451" s="223"/>
    </row>
    <row r="452" ht="15.75" customHeight="1">
      <c r="G452" s="212"/>
      <c r="O452" s="224"/>
      <c r="W452" s="216"/>
      <c r="AI452" s="222"/>
      <c r="AV452" s="223"/>
      <c r="AW452" s="223"/>
    </row>
    <row r="453" ht="15.75" customHeight="1">
      <c r="G453" s="212"/>
      <c r="O453" s="224"/>
      <c r="W453" s="216"/>
      <c r="AI453" s="222"/>
      <c r="AV453" s="223"/>
      <c r="AW453" s="223"/>
    </row>
    <row r="454" ht="15.75" customHeight="1">
      <c r="G454" s="212"/>
      <c r="O454" s="224"/>
      <c r="W454" s="216"/>
      <c r="AI454" s="222"/>
      <c r="AV454" s="223"/>
      <c r="AW454" s="223"/>
    </row>
    <row r="455" ht="15.75" customHeight="1">
      <c r="G455" s="212"/>
      <c r="O455" s="224"/>
      <c r="W455" s="216"/>
      <c r="AI455" s="222"/>
      <c r="AV455" s="223"/>
      <c r="AW455" s="223"/>
    </row>
    <row r="456" ht="15.75" customHeight="1">
      <c r="G456" s="212"/>
      <c r="O456" s="224"/>
      <c r="W456" s="216"/>
      <c r="AI456" s="222"/>
      <c r="AV456" s="223"/>
      <c r="AW456" s="223"/>
    </row>
    <row r="457" ht="15.75" customHeight="1">
      <c r="G457" s="212"/>
      <c r="O457" s="224"/>
      <c r="W457" s="216"/>
      <c r="AI457" s="222"/>
      <c r="AV457" s="223"/>
      <c r="AW457" s="223"/>
    </row>
    <row r="458" ht="15.75" customHeight="1">
      <c r="G458" s="212"/>
      <c r="O458" s="224"/>
      <c r="W458" s="216"/>
      <c r="AI458" s="222"/>
      <c r="AV458" s="223"/>
      <c r="AW458" s="223"/>
    </row>
    <row r="459" ht="15.75" customHeight="1">
      <c r="G459" s="212"/>
      <c r="O459" s="224"/>
      <c r="W459" s="216"/>
      <c r="AI459" s="222"/>
      <c r="AV459" s="223"/>
      <c r="AW459" s="223"/>
    </row>
    <row r="460" ht="15.75" customHeight="1">
      <c r="G460" s="212"/>
      <c r="O460" s="224"/>
      <c r="W460" s="216"/>
      <c r="AI460" s="222"/>
      <c r="AV460" s="223"/>
      <c r="AW460" s="223"/>
    </row>
    <row r="461" ht="15.75" customHeight="1">
      <c r="G461" s="212"/>
      <c r="O461" s="224"/>
      <c r="W461" s="216"/>
      <c r="AI461" s="222"/>
      <c r="AV461" s="223"/>
      <c r="AW461" s="223"/>
    </row>
    <row r="462" ht="15.75" customHeight="1">
      <c r="G462" s="212"/>
      <c r="O462" s="224"/>
      <c r="W462" s="216"/>
      <c r="AI462" s="222"/>
      <c r="AV462" s="223"/>
      <c r="AW462" s="223"/>
    </row>
    <row r="463" ht="15.75" customHeight="1">
      <c r="G463" s="212"/>
      <c r="O463" s="224"/>
      <c r="W463" s="216"/>
      <c r="AI463" s="222"/>
      <c r="AV463" s="223"/>
      <c r="AW463" s="223"/>
    </row>
    <row r="464" ht="15.75" customHeight="1">
      <c r="G464" s="212"/>
      <c r="O464" s="224"/>
      <c r="W464" s="216"/>
      <c r="AI464" s="222"/>
      <c r="AV464" s="223"/>
      <c r="AW464" s="223"/>
    </row>
    <row r="465" ht="15.75" customHeight="1">
      <c r="G465" s="212"/>
      <c r="O465" s="224"/>
      <c r="W465" s="216"/>
      <c r="AI465" s="222"/>
      <c r="AV465" s="223"/>
      <c r="AW465" s="223"/>
    </row>
    <row r="466" ht="15.75" customHeight="1">
      <c r="G466" s="212"/>
      <c r="O466" s="224"/>
      <c r="W466" s="216"/>
      <c r="AI466" s="222"/>
      <c r="AV466" s="223"/>
      <c r="AW466" s="223"/>
    </row>
    <row r="467" ht="15.75" customHeight="1">
      <c r="G467" s="212"/>
      <c r="O467" s="224"/>
      <c r="W467" s="216"/>
      <c r="AI467" s="222"/>
      <c r="AV467" s="223"/>
      <c r="AW467" s="223"/>
    </row>
    <row r="468" ht="15.75" customHeight="1">
      <c r="G468" s="212"/>
      <c r="O468" s="224"/>
      <c r="W468" s="216"/>
      <c r="AI468" s="222"/>
      <c r="AV468" s="223"/>
      <c r="AW468" s="223"/>
    </row>
    <row r="469" ht="15.75" customHeight="1">
      <c r="G469" s="212"/>
      <c r="O469" s="224"/>
      <c r="W469" s="216"/>
      <c r="AI469" s="222"/>
      <c r="AV469" s="223"/>
      <c r="AW469" s="223"/>
    </row>
    <row r="470" ht="15.75" customHeight="1">
      <c r="G470" s="212"/>
      <c r="O470" s="224"/>
      <c r="W470" s="216"/>
      <c r="AI470" s="222"/>
      <c r="AV470" s="223"/>
      <c r="AW470" s="223"/>
    </row>
    <row r="471" ht="15.75" customHeight="1">
      <c r="G471" s="212"/>
      <c r="O471" s="224"/>
      <c r="W471" s="216"/>
      <c r="AI471" s="222"/>
      <c r="AV471" s="223"/>
      <c r="AW471" s="223"/>
    </row>
    <row r="472" ht="15.75" customHeight="1">
      <c r="G472" s="212"/>
      <c r="O472" s="224"/>
      <c r="W472" s="216"/>
      <c r="AI472" s="222"/>
      <c r="AV472" s="223"/>
      <c r="AW472" s="223"/>
    </row>
    <row r="473" ht="15.75" customHeight="1">
      <c r="G473" s="212"/>
      <c r="O473" s="224"/>
      <c r="W473" s="216"/>
      <c r="AI473" s="222"/>
      <c r="AV473" s="223"/>
      <c r="AW473" s="223"/>
    </row>
    <row r="474" ht="15.75" customHeight="1">
      <c r="G474" s="212"/>
      <c r="O474" s="224"/>
      <c r="W474" s="216"/>
      <c r="AI474" s="222"/>
      <c r="AV474" s="223"/>
      <c r="AW474" s="223"/>
    </row>
    <row r="475" ht="15.75" customHeight="1">
      <c r="G475" s="212"/>
      <c r="O475" s="224"/>
      <c r="W475" s="216"/>
      <c r="AI475" s="222"/>
      <c r="AV475" s="223"/>
      <c r="AW475" s="223"/>
    </row>
    <row r="476" ht="15.75" customHeight="1">
      <c r="G476" s="212"/>
      <c r="O476" s="224"/>
      <c r="W476" s="216"/>
      <c r="AI476" s="222"/>
      <c r="AV476" s="223"/>
      <c r="AW476" s="223"/>
    </row>
    <row r="477" ht="15.75" customHeight="1">
      <c r="G477" s="212"/>
      <c r="O477" s="224"/>
      <c r="W477" s="216"/>
      <c r="AI477" s="222"/>
      <c r="AV477" s="223"/>
      <c r="AW477" s="223"/>
    </row>
    <row r="478" ht="15.75" customHeight="1">
      <c r="G478" s="212"/>
      <c r="O478" s="224"/>
      <c r="W478" s="216"/>
      <c r="AI478" s="222"/>
      <c r="AV478" s="223"/>
      <c r="AW478" s="223"/>
    </row>
    <row r="479" ht="15.75" customHeight="1">
      <c r="G479" s="212"/>
      <c r="O479" s="224"/>
      <c r="W479" s="216"/>
      <c r="AI479" s="222"/>
      <c r="AV479" s="223"/>
      <c r="AW479" s="223"/>
    </row>
    <row r="480" ht="15.75" customHeight="1">
      <c r="G480" s="212"/>
      <c r="O480" s="224"/>
      <c r="W480" s="216"/>
      <c r="AI480" s="222"/>
      <c r="AV480" s="223"/>
      <c r="AW480" s="223"/>
    </row>
    <row r="481" ht="15.75" customHeight="1">
      <c r="G481" s="212"/>
      <c r="O481" s="224"/>
      <c r="W481" s="216"/>
      <c r="AI481" s="222"/>
      <c r="AV481" s="223"/>
      <c r="AW481" s="223"/>
    </row>
    <row r="482" ht="15.75" customHeight="1">
      <c r="G482" s="212"/>
      <c r="O482" s="224"/>
      <c r="W482" s="216"/>
      <c r="AI482" s="222"/>
      <c r="AV482" s="223"/>
      <c r="AW482" s="223"/>
    </row>
    <row r="483" ht="15.75" customHeight="1">
      <c r="G483" s="212"/>
      <c r="O483" s="224"/>
      <c r="W483" s="216"/>
      <c r="AI483" s="222"/>
      <c r="AV483" s="223"/>
      <c r="AW483" s="223"/>
    </row>
    <row r="484" ht="15.75" customHeight="1">
      <c r="G484" s="212"/>
      <c r="O484" s="224"/>
      <c r="W484" s="216"/>
      <c r="AI484" s="222"/>
      <c r="AV484" s="223"/>
      <c r="AW484" s="223"/>
    </row>
    <row r="485" ht="15.75" customHeight="1">
      <c r="G485" s="212"/>
      <c r="O485" s="224"/>
      <c r="W485" s="216"/>
      <c r="AI485" s="222"/>
      <c r="AV485" s="223"/>
      <c r="AW485" s="223"/>
    </row>
    <row r="486" ht="15.75" customHeight="1">
      <c r="G486" s="212"/>
      <c r="O486" s="224"/>
      <c r="W486" s="216"/>
      <c r="AI486" s="222"/>
      <c r="AV486" s="223"/>
      <c r="AW486" s="223"/>
    </row>
    <row r="487" ht="15.75" customHeight="1">
      <c r="G487" s="212"/>
      <c r="O487" s="224"/>
      <c r="W487" s="216"/>
      <c r="AI487" s="222"/>
      <c r="AV487" s="223"/>
      <c r="AW487" s="223"/>
    </row>
    <row r="488" ht="15.75" customHeight="1">
      <c r="G488" s="212"/>
      <c r="O488" s="224"/>
      <c r="W488" s="216"/>
      <c r="AI488" s="222"/>
      <c r="AV488" s="223"/>
      <c r="AW488" s="223"/>
    </row>
    <row r="489" ht="15.75" customHeight="1">
      <c r="G489" s="212"/>
      <c r="O489" s="224"/>
      <c r="W489" s="216"/>
      <c r="AI489" s="222"/>
      <c r="AV489" s="223"/>
      <c r="AW489" s="223"/>
    </row>
    <row r="490" ht="15.75" customHeight="1">
      <c r="G490" s="212"/>
      <c r="O490" s="224"/>
      <c r="W490" s="216"/>
      <c r="AI490" s="222"/>
      <c r="AV490" s="223"/>
      <c r="AW490" s="223"/>
    </row>
    <row r="491" ht="15.75" customHeight="1">
      <c r="G491" s="212"/>
      <c r="O491" s="224"/>
      <c r="W491" s="216"/>
      <c r="AI491" s="222"/>
      <c r="AV491" s="223"/>
      <c r="AW491" s="223"/>
    </row>
    <row r="492" ht="15.75" customHeight="1">
      <c r="G492" s="212"/>
      <c r="O492" s="224"/>
      <c r="W492" s="216"/>
      <c r="AI492" s="222"/>
      <c r="AV492" s="223"/>
      <c r="AW492" s="223"/>
    </row>
    <row r="493" ht="15.75" customHeight="1">
      <c r="G493" s="212"/>
      <c r="O493" s="224"/>
      <c r="W493" s="216"/>
      <c r="AI493" s="222"/>
      <c r="AV493" s="223"/>
      <c r="AW493" s="223"/>
    </row>
    <row r="494" ht="15.75" customHeight="1">
      <c r="G494" s="212"/>
      <c r="O494" s="224"/>
      <c r="W494" s="216"/>
      <c r="AI494" s="222"/>
      <c r="AV494" s="223"/>
      <c r="AW494" s="223"/>
    </row>
    <row r="495" ht="15.75" customHeight="1">
      <c r="G495" s="212"/>
      <c r="O495" s="224"/>
      <c r="W495" s="216"/>
      <c r="AI495" s="222"/>
      <c r="AV495" s="223"/>
      <c r="AW495" s="223"/>
    </row>
    <row r="496" ht="15.75" customHeight="1">
      <c r="G496" s="212"/>
      <c r="O496" s="224"/>
      <c r="W496" s="216"/>
      <c r="AI496" s="222"/>
      <c r="AV496" s="223"/>
      <c r="AW496" s="223"/>
    </row>
    <row r="497" ht="15.75" customHeight="1">
      <c r="G497" s="212"/>
      <c r="O497" s="224"/>
      <c r="W497" s="216"/>
      <c r="AI497" s="222"/>
      <c r="AV497" s="223"/>
      <c r="AW497" s="223"/>
    </row>
    <row r="498" ht="15.75" customHeight="1">
      <c r="G498" s="212"/>
      <c r="O498" s="224"/>
      <c r="W498" s="216"/>
      <c r="AI498" s="222"/>
      <c r="AV498" s="223"/>
      <c r="AW498" s="223"/>
    </row>
    <row r="499" ht="15.75" customHeight="1">
      <c r="G499" s="212"/>
      <c r="O499" s="224"/>
      <c r="W499" s="216"/>
      <c r="AI499" s="222"/>
      <c r="AV499" s="223"/>
      <c r="AW499" s="223"/>
    </row>
    <row r="500" ht="15.75" customHeight="1">
      <c r="G500" s="212"/>
      <c r="O500" s="224"/>
      <c r="W500" s="216"/>
      <c r="AI500" s="222"/>
      <c r="AV500" s="223"/>
      <c r="AW500" s="223"/>
    </row>
    <row r="501" ht="15.75" customHeight="1">
      <c r="G501" s="212"/>
      <c r="O501" s="224"/>
      <c r="W501" s="216"/>
      <c r="AI501" s="222"/>
      <c r="AV501" s="223"/>
      <c r="AW501" s="223"/>
    </row>
    <row r="502" ht="15.75" customHeight="1">
      <c r="G502" s="212"/>
      <c r="O502" s="224"/>
      <c r="W502" s="216"/>
      <c r="AI502" s="222"/>
      <c r="AV502" s="223"/>
      <c r="AW502" s="223"/>
    </row>
    <row r="503" ht="15.75" customHeight="1">
      <c r="G503" s="212"/>
      <c r="O503" s="224"/>
      <c r="W503" s="216"/>
      <c r="AI503" s="222"/>
      <c r="AV503" s="223"/>
      <c r="AW503" s="223"/>
    </row>
    <row r="504" ht="15.75" customHeight="1">
      <c r="G504" s="212"/>
      <c r="O504" s="224"/>
      <c r="W504" s="216"/>
      <c r="AI504" s="222"/>
      <c r="AV504" s="223"/>
      <c r="AW504" s="223"/>
    </row>
    <row r="505" ht="15.75" customHeight="1">
      <c r="G505" s="212"/>
      <c r="O505" s="224"/>
      <c r="W505" s="216"/>
      <c r="AI505" s="222"/>
      <c r="AV505" s="223"/>
      <c r="AW505" s="223"/>
    </row>
    <row r="506" ht="15.75" customHeight="1">
      <c r="G506" s="212"/>
      <c r="O506" s="224"/>
      <c r="W506" s="216"/>
      <c r="AI506" s="222"/>
      <c r="AV506" s="223"/>
      <c r="AW506" s="223"/>
    </row>
    <row r="507" ht="15.75" customHeight="1">
      <c r="G507" s="212"/>
      <c r="O507" s="224"/>
      <c r="W507" s="216"/>
      <c r="AI507" s="222"/>
      <c r="AV507" s="223"/>
      <c r="AW507" s="223"/>
    </row>
    <row r="508" ht="15.75" customHeight="1">
      <c r="G508" s="212"/>
      <c r="O508" s="224"/>
      <c r="W508" s="216"/>
      <c r="AI508" s="222"/>
      <c r="AV508" s="223"/>
      <c r="AW508" s="223"/>
    </row>
    <row r="509" ht="15.75" customHeight="1">
      <c r="G509" s="212"/>
      <c r="O509" s="224"/>
      <c r="W509" s="216"/>
      <c r="AI509" s="222"/>
      <c r="AV509" s="223"/>
      <c r="AW509" s="223"/>
    </row>
    <row r="510" ht="15.75" customHeight="1">
      <c r="G510" s="212"/>
      <c r="O510" s="224"/>
      <c r="W510" s="216"/>
      <c r="AI510" s="222"/>
      <c r="AV510" s="223"/>
      <c r="AW510" s="223"/>
    </row>
    <row r="511" ht="15.75" customHeight="1">
      <c r="G511" s="212"/>
      <c r="O511" s="224"/>
      <c r="W511" s="216"/>
      <c r="AI511" s="222"/>
      <c r="AV511" s="223"/>
      <c r="AW511" s="223"/>
    </row>
    <row r="512" ht="15.75" customHeight="1">
      <c r="G512" s="212"/>
      <c r="O512" s="224"/>
      <c r="W512" s="216"/>
      <c r="AI512" s="222"/>
      <c r="AV512" s="223"/>
      <c r="AW512" s="223"/>
    </row>
    <row r="513" ht="15.75" customHeight="1">
      <c r="G513" s="212"/>
      <c r="O513" s="224"/>
      <c r="W513" s="216"/>
      <c r="AI513" s="222"/>
      <c r="AV513" s="223"/>
      <c r="AW513" s="223"/>
    </row>
    <row r="514" ht="15.75" customHeight="1">
      <c r="G514" s="212"/>
      <c r="O514" s="224"/>
      <c r="W514" s="216"/>
      <c r="AI514" s="222"/>
      <c r="AV514" s="223"/>
      <c r="AW514" s="223"/>
    </row>
    <row r="515" ht="15.75" customHeight="1">
      <c r="G515" s="212"/>
      <c r="O515" s="224"/>
      <c r="W515" s="216"/>
      <c r="AI515" s="222"/>
      <c r="AV515" s="223"/>
      <c r="AW515" s="223"/>
    </row>
    <row r="516" ht="15.75" customHeight="1">
      <c r="G516" s="212"/>
      <c r="O516" s="224"/>
      <c r="W516" s="216"/>
      <c r="AI516" s="222"/>
      <c r="AV516" s="223"/>
      <c r="AW516" s="223"/>
    </row>
    <row r="517" ht="15.75" customHeight="1">
      <c r="G517" s="212"/>
      <c r="O517" s="224"/>
      <c r="W517" s="216"/>
      <c r="AI517" s="222"/>
      <c r="AV517" s="223"/>
      <c r="AW517" s="223"/>
    </row>
    <row r="518" ht="15.75" customHeight="1">
      <c r="G518" s="212"/>
      <c r="O518" s="224"/>
      <c r="W518" s="216"/>
      <c r="AI518" s="222"/>
      <c r="AV518" s="223"/>
      <c r="AW518" s="223"/>
    </row>
    <row r="519" ht="15.75" customHeight="1">
      <c r="G519" s="212"/>
      <c r="O519" s="224"/>
      <c r="W519" s="216"/>
      <c r="AI519" s="222"/>
      <c r="AV519" s="223"/>
      <c r="AW519" s="223"/>
    </row>
    <row r="520" ht="15.75" customHeight="1">
      <c r="G520" s="212"/>
      <c r="O520" s="224"/>
      <c r="W520" s="216"/>
      <c r="AI520" s="222"/>
      <c r="AV520" s="223"/>
      <c r="AW520" s="223"/>
    </row>
    <row r="521" ht="15.75" customHeight="1">
      <c r="G521" s="212"/>
      <c r="O521" s="224"/>
      <c r="W521" s="216"/>
      <c r="AI521" s="222"/>
      <c r="AV521" s="223"/>
      <c r="AW521" s="223"/>
    </row>
    <row r="522" ht="15.75" customHeight="1">
      <c r="G522" s="212"/>
      <c r="O522" s="224"/>
      <c r="W522" s="216"/>
      <c r="AI522" s="222"/>
      <c r="AV522" s="223"/>
      <c r="AW522" s="223"/>
    </row>
    <row r="523" ht="15.75" customHeight="1">
      <c r="G523" s="212"/>
      <c r="O523" s="224"/>
      <c r="W523" s="216"/>
      <c r="AI523" s="222"/>
      <c r="AV523" s="223"/>
      <c r="AW523" s="223"/>
    </row>
    <row r="524" ht="15.75" customHeight="1">
      <c r="G524" s="212"/>
      <c r="O524" s="224"/>
      <c r="W524" s="216"/>
      <c r="AI524" s="222"/>
      <c r="AV524" s="223"/>
      <c r="AW524" s="223"/>
    </row>
    <row r="525" ht="15.75" customHeight="1">
      <c r="G525" s="212"/>
      <c r="O525" s="224"/>
      <c r="W525" s="216"/>
      <c r="AI525" s="222"/>
      <c r="AV525" s="223"/>
      <c r="AW525" s="223"/>
    </row>
    <row r="526" ht="15.75" customHeight="1">
      <c r="G526" s="212"/>
      <c r="O526" s="224"/>
      <c r="W526" s="216"/>
      <c r="AI526" s="222"/>
      <c r="AV526" s="223"/>
      <c r="AW526" s="223"/>
    </row>
    <row r="527" ht="15.75" customHeight="1">
      <c r="G527" s="212"/>
      <c r="O527" s="224"/>
      <c r="W527" s="216"/>
      <c r="AI527" s="222"/>
      <c r="AV527" s="223"/>
      <c r="AW527" s="223"/>
    </row>
    <row r="528" ht="15.75" customHeight="1">
      <c r="G528" s="212"/>
      <c r="O528" s="224"/>
      <c r="W528" s="216"/>
      <c r="AI528" s="222"/>
      <c r="AV528" s="223"/>
      <c r="AW528" s="223"/>
    </row>
    <row r="529" ht="15.75" customHeight="1">
      <c r="G529" s="212"/>
      <c r="O529" s="224"/>
      <c r="W529" s="216"/>
      <c r="AI529" s="222"/>
      <c r="AV529" s="223"/>
      <c r="AW529" s="223"/>
    </row>
    <row r="530" ht="15.75" customHeight="1">
      <c r="G530" s="212"/>
      <c r="O530" s="224"/>
      <c r="W530" s="216"/>
      <c r="AI530" s="222"/>
      <c r="AV530" s="223"/>
      <c r="AW530" s="223"/>
    </row>
    <row r="531" ht="15.75" customHeight="1">
      <c r="G531" s="212"/>
      <c r="O531" s="224"/>
      <c r="W531" s="216"/>
      <c r="AI531" s="222"/>
      <c r="AV531" s="223"/>
      <c r="AW531" s="223"/>
    </row>
    <row r="532" ht="15.75" customHeight="1">
      <c r="G532" s="212"/>
      <c r="O532" s="224"/>
      <c r="W532" s="216"/>
      <c r="AI532" s="222"/>
      <c r="AV532" s="223"/>
      <c r="AW532" s="223"/>
    </row>
    <row r="533" ht="15.75" customHeight="1">
      <c r="G533" s="212"/>
      <c r="O533" s="224"/>
      <c r="W533" s="216"/>
      <c r="AI533" s="222"/>
      <c r="AV533" s="223"/>
      <c r="AW533" s="223"/>
    </row>
    <row r="534" ht="15.75" customHeight="1">
      <c r="G534" s="212"/>
      <c r="O534" s="224"/>
      <c r="W534" s="216"/>
      <c r="AI534" s="222"/>
      <c r="AV534" s="223"/>
      <c r="AW534" s="223"/>
    </row>
    <row r="535" ht="15.75" customHeight="1">
      <c r="G535" s="212"/>
      <c r="O535" s="224"/>
      <c r="W535" s="216"/>
      <c r="AI535" s="222"/>
      <c r="AV535" s="223"/>
      <c r="AW535" s="223"/>
    </row>
    <row r="536" ht="15.75" customHeight="1">
      <c r="G536" s="212"/>
      <c r="O536" s="224"/>
      <c r="W536" s="216"/>
      <c r="AI536" s="222"/>
      <c r="AV536" s="223"/>
      <c r="AW536" s="223"/>
    </row>
    <row r="537" ht="15.75" customHeight="1">
      <c r="G537" s="212"/>
      <c r="O537" s="224"/>
      <c r="W537" s="216"/>
      <c r="AI537" s="222"/>
      <c r="AV537" s="223"/>
      <c r="AW537" s="223"/>
    </row>
    <row r="538" ht="15.75" customHeight="1">
      <c r="G538" s="212"/>
      <c r="O538" s="224"/>
      <c r="W538" s="216"/>
      <c r="AI538" s="222"/>
      <c r="AV538" s="223"/>
      <c r="AW538" s="223"/>
    </row>
    <row r="539" ht="15.75" customHeight="1">
      <c r="G539" s="212"/>
      <c r="O539" s="224"/>
      <c r="W539" s="216"/>
      <c r="AI539" s="222"/>
      <c r="AV539" s="223"/>
      <c r="AW539" s="223"/>
    </row>
    <row r="540" ht="15.75" customHeight="1">
      <c r="G540" s="212"/>
      <c r="O540" s="224"/>
      <c r="W540" s="216"/>
      <c r="AI540" s="222"/>
      <c r="AV540" s="223"/>
      <c r="AW540" s="223"/>
    </row>
    <row r="541" ht="15.75" customHeight="1">
      <c r="G541" s="212"/>
      <c r="O541" s="224"/>
      <c r="W541" s="216"/>
      <c r="AI541" s="222"/>
      <c r="AV541" s="223"/>
      <c r="AW541" s="223"/>
    </row>
    <row r="542" ht="15.75" customHeight="1">
      <c r="G542" s="212"/>
      <c r="O542" s="224"/>
      <c r="W542" s="216"/>
      <c r="AI542" s="222"/>
      <c r="AV542" s="223"/>
      <c r="AW542" s="223"/>
    </row>
    <row r="543" ht="15.75" customHeight="1">
      <c r="G543" s="212"/>
      <c r="O543" s="224"/>
      <c r="W543" s="216"/>
      <c r="AI543" s="222"/>
      <c r="AV543" s="223"/>
      <c r="AW543" s="223"/>
    </row>
    <row r="544" ht="15.75" customHeight="1">
      <c r="G544" s="212"/>
      <c r="O544" s="224"/>
      <c r="W544" s="216"/>
      <c r="AI544" s="222"/>
      <c r="AV544" s="223"/>
      <c r="AW544" s="223"/>
    </row>
    <row r="545" ht="15.75" customHeight="1">
      <c r="G545" s="212"/>
      <c r="O545" s="224"/>
      <c r="W545" s="216"/>
      <c r="AI545" s="222"/>
      <c r="AV545" s="223"/>
      <c r="AW545" s="223"/>
    </row>
    <row r="546" ht="15.75" customHeight="1">
      <c r="G546" s="212"/>
      <c r="O546" s="224"/>
      <c r="W546" s="216"/>
      <c r="AI546" s="222"/>
      <c r="AV546" s="223"/>
      <c r="AW546" s="223"/>
    </row>
    <row r="547" ht="15.75" customHeight="1">
      <c r="G547" s="212"/>
      <c r="O547" s="224"/>
      <c r="W547" s="216"/>
      <c r="AI547" s="222"/>
      <c r="AV547" s="223"/>
      <c r="AW547" s="223"/>
    </row>
    <row r="548" ht="15.75" customHeight="1">
      <c r="G548" s="212"/>
      <c r="O548" s="224"/>
      <c r="W548" s="216"/>
      <c r="AI548" s="222"/>
      <c r="AV548" s="223"/>
      <c r="AW548" s="223"/>
    </row>
    <row r="549" ht="15.75" customHeight="1">
      <c r="G549" s="212"/>
      <c r="O549" s="224"/>
      <c r="W549" s="216"/>
      <c r="AI549" s="222"/>
      <c r="AV549" s="223"/>
      <c r="AW549" s="223"/>
    </row>
    <row r="550" ht="15.75" customHeight="1">
      <c r="G550" s="212"/>
      <c r="O550" s="224"/>
      <c r="W550" s="216"/>
      <c r="AI550" s="222"/>
      <c r="AV550" s="223"/>
      <c r="AW550" s="223"/>
    </row>
    <row r="551" ht="15.75" customHeight="1">
      <c r="G551" s="212"/>
      <c r="O551" s="224"/>
      <c r="W551" s="216"/>
      <c r="AI551" s="222"/>
      <c r="AV551" s="223"/>
      <c r="AW551" s="223"/>
    </row>
    <row r="552" ht="15.75" customHeight="1">
      <c r="G552" s="212"/>
      <c r="O552" s="224"/>
      <c r="W552" s="216"/>
      <c r="AI552" s="222"/>
      <c r="AV552" s="223"/>
      <c r="AW552" s="223"/>
    </row>
    <row r="553" ht="15.75" customHeight="1">
      <c r="G553" s="212"/>
      <c r="O553" s="224"/>
      <c r="W553" s="216"/>
      <c r="AI553" s="222"/>
      <c r="AV553" s="223"/>
      <c r="AW553" s="223"/>
    </row>
    <row r="554" ht="15.75" customHeight="1">
      <c r="G554" s="212"/>
      <c r="O554" s="224"/>
      <c r="W554" s="216"/>
      <c r="AI554" s="222"/>
      <c r="AV554" s="223"/>
      <c r="AW554" s="223"/>
    </row>
    <row r="555" ht="15.75" customHeight="1">
      <c r="G555" s="212"/>
      <c r="O555" s="224"/>
      <c r="W555" s="216"/>
      <c r="AI555" s="222"/>
      <c r="AV555" s="223"/>
      <c r="AW555" s="223"/>
    </row>
    <row r="556" ht="15.75" customHeight="1">
      <c r="G556" s="212"/>
      <c r="O556" s="224"/>
      <c r="W556" s="216"/>
      <c r="AI556" s="222"/>
      <c r="AV556" s="223"/>
      <c r="AW556" s="223"/>
    </row>
    <row r="557" ht="15.75" customHeight="1">
      <c r="G557" s="212"/>
      <c r="O557" s="224"/>
      <c r="W557" s="216"/>
      <c r="AI557" s="222"/>
      <c r="AV557" s="223"/>
      <c r="AW557" s="223"/>
    </row>
    <row r="558" ht="15.75" customHeight="1">
      <c r="G558" s="212"/>
      <c r="O558" s="224"/>
      <c r="W558" s="216"/>
      <c r="AI558" s="222"/>
      <c r="AV558" s="223"/>
      <c r="AW558" s="223"/>
    </row>
    <row r="559" ht="15.75" customHeight="1">
      <c r="G559" s="212"/>
      <c r="O559" s="224"/>
      <c r="W559" s="216"/>
      <c r="AI559" s="222"/>
      <c r="AV559" s="223"/>
      <c r="AW559" s="223"/>
    </row>
    <row r="560" ht="15.75" customHeight="1">
      <c r="G560" s="212"/>
      <c r="O560" s="224"/>
      <c r="W560" s="216"/>
      <c r="AI560" s="222"/>
      <c r="AV560" s="223"/>
      <c r="AW560" s="223"/>
    </row>
    <row r="561" ht="15.75" customHeight="1">
      <c r="G561" s="212"/>
      <c r="O561" s="224"/>
      <c r="W561" s="216"/>
      <c r="AI561" s="222"/>
      <c r="AV561" s="223"/>
      <c r="AW561" s="223"/>
    </row>
    <row r="562" ht="15.75" customHeight="1">
      <c r="G562" s="212"/>
      <c r="O562" s="224"/>
      <c r="W562" s="216"/>
      <c r="AI562" s="222"/>
      <c r="AV562" s="223"/>
      <c r="AW562" s="223"/>
    </row>
    <row r="563" ht="15.75" customHeight="1">
      <c r="G563" s="212"/>
      <c r="O563" s="224"/>
      <c r="W563" s="216"/>
      <c r="AI563" s="222"/>
      <c r="AV563" s="223"/>
      <c r="AW563" s="223"/>
    </row>
    <row r="564" ht="15.75" customHeight="1">
      <c r="G564" s="212"/>
      <c r="O564" s="224"/>
      <c r="W564" s="216"/>
      <c r="AI564" s="222"/>
      <c r="AV564" s="223"/>
      <c r="AW564" s="223"/>
    </row>
    <row r="565" ht="15.75" customHeight="1">
      <c r="G565" s="212"/>
      <c r="O565" s="224"/>
      <c r="W565" s="216"/>
      <c r="AI565" s="222"/>
      <c r="AV565" s="223"/>
      <c r="AW565" s="223"/>
    </row>
    <row r="566" ht="15.75" customHeight="1">
      <c r="G566" s="212"/>
      <c r="O566" s="224"/>
      <c r="W566" s="216"/>
      <c r="AI566" s="222"/>
      <c r="AV566" s="223"/>
      <c r="AW566" s="223"/>
    </row>
    <row r="567" ht="15.75" customHeight="1">
      <c r="G567" s="212"/>
      <c r="O567" s="224"/>
      <c r="W567" s="216"/>
      <c r="AI567" s="222"/>
      <c r="AV567" s="223"/>
      <c r="AW567" s="223"/>
    </row>
    <row r="568" ht="15.75" customHeight="1">
      <c r="G568" s="212"/>
      <c r="O568" s="224"/>
      <c r="W568" s="216"/>
      <c r="AI568" s="222"/>
      <c r="AV568" s="223"/>
      <c r="AW568" s="223"/>
    </row>
    <row r="569" ht="15.75" customHeight="1">
      <c r="G569" s="212"/>
      <c r="O569" s="224"/>
      <c r="W569" s="216"/>
      <c r="AI569" s="222"/>
      <c r="AV569" s="223"/>
      <c r="AW569" s="223"/>
    </row>
    <row r="570" ht="15.75" customHeight="1">
      <c r="G570" s="212"/>
      <c r="O570" s="224"/>
      <c r="W570" s="216"/>
      <c r="AI570" s="222"/>
      <c r="AV570" s="223"/>
      <c r="AW570" s="223"/>
    </row>
    <row r="571" ht="15.75" customHeight="1">
      <c r="G571" s="212"/>
      <c r="O571" s="224"/>
      <c r="W571" s="216"/>
      <c r="AI571" s="222"/>
      <c r="AV571" s="223"/>
      <c r="AW571" s="223"/>
    </row>
    <row r="572" ht="15.75" customHeight="1">
      <c r="G572" s="212"/>
      <c r="O572" s="224"/>
      <c r="W572" s="216"/>
      <c r="AI572" s="222"/>
      <c r="AV572" s="223"/>
      <c r="AW572" s="223"/>
    </row>
    <row r="573" ht="15.75" customHeight="1">
      <c r="G573" s="212"/>
      <c r="O573" s="224"/>
      <c r="W573" s="216"/>
      <c r="AI573" s="222"/>
      <c r="AV573" s="223"/>
      <c r="AW573" s="223"/>
    </row>
    <row r="574" ht="15.75" customHeight="1">
      <c r="G574" s="212"/>
      <c r="O574" s="224"/>
      <c r="W574" s="216"/>
      <c r="AI574" s="222"/>
      <c r="AV574" s="223"/>
      <c r="AW574" s="223"/>
    </row>
    <row r="575" ht="15.75" customHeight="1">
      <c r="G575" s="212"/>
      <c r="O575" s="224"/>
      <c r="W575" s="216"/>
      <c r="AI575" s="222"/>
      <c r="AV575" s="223"/>
      <c r="AW575" s="223"/>
    </row>
    <row r="576" ht="15.75" customHeight="1">
      <c r="G576" s="212"/>
      <c r="O576" s="224"/>
      <c r="W576" s="216"/>
      <c r="AI576" s="222"/>
      <c r="AV576" s="223"/>
      <c r="AW576" s="223"/>
    </row>
    <row r="577" ht="15.75" customHeight="1">
      <c r="G577" s="212"/>
      <c r="O577" s="224"/>
      <c r="W577" s="216"/>
      <c r="AI577" s="222"/>
      <c r="AV577" s="223"/>
      <c r="AW577" s="223"/>
    </row>
    <row r="578" ht="15.75" customHeight="1">
      <c r="G578" s="212"/>
      <c r="O578" s="224"/>
      <c r="W578" s="216"/>
      <c r="AI578" s="222"/>
      <c r="AV578" s="223"/>
      <c r="AW578" s="223"/>
    </row>
    <row r="579" ht="15.75" customHeight="1">
      <c r="G579" s="212"/>
      <c r="O579" s="224"/>
      <c r="W579" s="216"/>
      <c r="AI579" s="222"/>
      <c r="AV579" s="223"/>
      <c r="AW579" s="223"/>
    </row>
    <row r="580" ht="15.75" customHeight="1">
      <c r="G580" s="212"/>
      <c r="O580" s="224"/>
      <c r="W580" s="216"/>
      <c r="AI580" s="222"/>
      <c r="AV580" s="223"/>
      <c r="AW580" s="223"/>
    </row>
    <row r="581" ht="15.75" customHeight="1">
      <c r="G581" s="212"/>
      <c r="O581" s="224"/>
      <c r="W581" s="216"/>
      <c r="AI581" s="222"/>
      <c r="AV581" s="223"/>
      <c r="AW581" s="223"/>
    </row>
    <row r="582" ht="15.75" customHeight="1">
      <c r="G582" s="212"/>
      <c r="O582" s="224"/>
      <c r="W582" s="216"/>
      <c r="AI582" s="222"/>
      <c r="AV582" s="223"/>
      <c r="AW582" s="223"/>
    </row>
    <row r="583" ht="15.75" customHeight="1">
      <c r="G583" s="212"/>
      <c r="O583" s="224"/>
      <c r="W583" s="216"/>
      <c r="AI583" s="222"/>
      <c r="AV583" s="223"/>
      <c r="AW583" s="223"/>
    </row>
    <row r="584" ht="15.75" customHeight="1">
      <c r="G584" s="212"/>
      <c r="O584" s="224"/>
      <c r="W584" s="216"/>
      <c r="AI584" s="222"/>
      <c r="AV584" s="223"/>
      <c r="AW584" s="223"/>
    </row>
    <row r="585" ht="15.75" customHeight="1">
      <c r="G585" s="212"/>
      <c r="O585" s="224"/>
      <c r="W585" s="216"/>
      <c r="AI585" s="222"/>
      <c r="AV585" s="223"/>
      <c r="AW585" s="223"/>
    </row>
    <row r="586" ht="15.75" customHeight="1">
      <c r="G586" s="212"/>
      <c r="O586" s="224"/>
      <c r="W586" s="216"/>
      <c r="AI586" s="222"/>
      <c r="AV586" s="223"/>
      <c r="AW586" s="223"/>
    </row>
    <row r="587" ht="15.75" customHeight="1">
      <c r="G587" s="212"/>
      <c r="O587" s="224"/>
      <c r="W587" s="216"/>
      <c r="AI587" s="222"/>
      <c r="AV587" s="223"/>
      <c r="AW587" s="223"/>
    </row>
    <row r="588" ht="15.75" customHeight="1">
      <c r="G588" s="212"/>
      <c r="O588" s="224"/>
      <c r="W588" s="216"/>
      <c r="AI588" s="222"/>
      <c r="AV588" s="223"/>
      <c r="AW588" s="223"/>
    </row>
    <row r="589" ht="15.75" customHeight="1">
      <c r="G589" s="212"/>
      <c r="O589" s="224"/>
      <c r="W589" s="216"/>
      <c r="AI589" s="222"/>
      <c r="AV589" s="223"/>
      <c r="AW589" s="223"/>
    </row>
    <row r="590" ht="15.75" customHeight="1">
      <c r="G590" s="212"/>
      <c r="O590" s="224"/>
      <c r="W590" s="216"/>
      <c r="AI590" s="222"/>
      <c r="AV590" s="223"/>
      <c r="AW590" s="223"/>
    </row>
    <row r="591" ht="15.75" customHeight="1">
      <c r="G591" s="212"/>
      <c r="O591" s="224"/>
      <c r="W591" s="216"/>
      <c r="AI591" s="222"/>
      <c r="AV591" s="223"/>
      <c r="AW591" s="223"/>
    </row>
    <row r="592" ht="15.75" customHeight="1">
      <c r="G592" s="212"/>
      <c r="O592" s="224"/>
      <c r="W592" s="216"/>
      <c r="AI592" s="222"/>
      <c r="AV592" s="223"/>
      <c r="AW592" s="223"/>
    </row>
    <row r="593" ht="15.75" customHeight="1">
      <c r="G593" s="212"/>
      <c r="O593" s="224"/>
      <c r="W593" s="216"/>
      <c r="AI593" s="222"/>
      <c r="AV593" s="223"/>
      <c r="AW593" s="223"/>
    </row>
    <row r="594" ht="15.75" customHeight="1">
      <c r="G594" s="212"/>
      <c r="O594" s="224"/>
      <c r="W594" s="216"/>
      <c r="AI594" s="222"/>
      <c r="AV594" s="223"/>
      <c r="AW594" s="223"/>
    </row>
    <row r="595" ht="15.75" customHeight="1">
      <c r="G595" s="212"/>
      <c r="O595" s="224"/>
      <c r="W595" s="216"/>
      <c r="AI595" s="222"/>
      <c r="AV595" s="223"/>
      <c r="AW595" s="223"/>
    </row>
    <row r="596" ht="15.75" customHeight="1">
      <c r="G596" s="212"/>
      <c r="O596" s="224"/>
      <c r="W596" s="216"/>
      <c r="AI596" s="222"/>
      <c r="AV596" s="223"/>
      <c r="AW596" s="223"/>
    </row>
    <row r="597" ht="15.75" customHeight="1">
      <c r="G597" s="212"/>
      <c r="O597" s="224"/>
      <c r="W597" s="216"/>
      <c r="AI597" s="222"/>
      <c r="AV597" s="223"/>
      <c r="AW597" s="223"/>
    </row>
    <row r="598" ht="15.75" customHeight="1">
      <c r="G598" s="212"/>
      <c r="O598" s="224"/>
      <c r="W598" s="216"/>
      <c r="AI598" s="222"/>
      <c r="AV598" s="223"/>
      <c r="AW598" s="223"/>
    </row>
    <row r="599" ht="15.75" customHeight="1">
      <c r="G599" s="212"/>
      <c r="O599" s="224"/>
      <c r="W599" s="216"/>
      <c r="AI599" s="222"/>
      <c r="AV599" s="223"/>
      <c r="AW599" s="223"/>
    </row>
    <row r="600" ht="15.75" customHeight="1">
      <c r="G600" s="212"/>
      <c r="O600" s="224"/>
      <c r="W600" s="216"/>
      <c r="AI600" s="222"/>
      <c r="AV600" s="223"/>
      <c r="AW600" s="223"/>
    </row>
    <row r="601" ht="15.75" customHeight="1">
      <c r="G601" s="212"/>
      <c r="O601" s="224"/>
      <c r="W601" s="216"/>
      <c r="AI601" s="222"/>
      <c r="AV601" s="223"/>
      <c r="AW601" s="223"/>
    </row>
    <row r="602" ht="15.75" customHeight="1">
      <c r="G602" s="212"/>
      <c r="O602" s="224"/>
      <c r="W602" s="216"/>
      <c r="AI602" s="222"/>
      <c r="AV602" s="223"/>
      <c r="AW602" s="223"/>
    </row>
    <row r="603" ht="15.75" customHeight="1">
      <c r="G603" s="212"/>
      <c r="O603" s="224"/>
      <c r="W603" s="216"/>
      <c r="AI603" s="222"/>
      <c r="AV603" s="223"/>
      <c r="AW603" s="223"/>
    </row>
    <row r="604" ht="15.75" customHeight="1">
      <c r="G604" s="212"/>
      <c r="O604" s="224"/>
      <c r="W604" s="216"/>
      <c r="AI604" s="222"/>
      <c r="AV604" s="223"/>
      <c r="AW604" s="223"/>
    </row>
    <row r="605" ht="15.75" customHeight="1">
      <c r="G605" s="212"/>
      <c r="O605" s="224"/>
      <c r="W605" s="216"/>
      <c r="AI605" s="222"/>
      <c r="AV605" s="223"/>
      <c r="AW605" s="223"/>
    </row>
    <row r="606" ht="15.75" customHeight="1">
      <c r="G606" s="212"/>
      <c r="O606" s="224"/>
      <c r="W606" s="216"/>
      <c r="AI606" s="222"/>
      <c r="AV606" s="223"/>
      <c r="AW606" s="223"/>
    </row>
    <row r="607" ht="15.75" customHeight="1">
      <c r="G607" s="212"/>
      <c r="O607" s="224"/>
      <c r="W607" s="216"/>
      <c r="AI607" s="222"/>
      <c r="AV607" s="223"/>
      <c r="AW607" s="223"/>
    </row>
    <row r="608" ht="15.75" customHeight="1">
      <c r="G608" s="212"/>
      <c r="O608" s="224"/>
      <c r="W608" s="216"/>
      <c r="AI608" s="222"/>
      <c r="AV608" s="223"/>
      <c r="AW608" s="223"/>
    </row>
    <row r="609" ht="15.75" customHeight="1">
      <c r="G609" s="212"/>
      <c r="O609" s="224"/>
      <c r="W609" s="216"/>
      <c r="AI609" s="222"/>
      <c r="AV609" s="223"/>
      <c r="AW609" s="223"/>
    </row>
    <row r="610" ht="15.75" customHeight="1">
      <c r="G610" s="212"/>
      <c r="O610" s="224"/>
      <c r="W610" s="216"/>
      <c r="AI610" s="222"/>
      <c r="AV610" s="223"/>
      <c r="AW610" s="223"/>
    </row>
    <row r="611" ht="15.75" customHeight="1">
      <c r="G611" s="212"/>
      <c r="O611" s="224"/>
      <c r="W611" s="216"/>
      <c r="AI611" s="222"/>
      <c r="AV611" s="223"/>
      <c r="AW611" s="223"/>
    </row>
    <row r="612" ht="15.75" customHeight="1">
      <c r="G612" s="212"/>
      <c r="O612" s="224"/>
      <c r="W612" s="216"/>
      <c r="AI612" s="222"/>
      <c r="AV612" s="223"/>
      <c r="AW612" s="223"/>
    </row>
    <row r="613" ht="15.75" customHeight="1">
      <c r="G613" s="212"/>
      <c r="O613" s="224"/>
      <c r="W613" s="216"/>
      <c r="AI613" s="222"/>
      <c r="AV613" s="223"/>
      <c r="AW613" s="223"/>
    </row>
    <row r="614" ht="15.75" customHeight="1">
      <c r="G614" s="212"/>
      <c r="O614" s="224"/>
      <c r="W614" s="216"/>
      <c r="AI614" s="222"/>
      <c r="AV614" s="223"/>
      <c r="AW614" s="223"/>
    </row>
    <row r="615" ht="15.75" customHeight="1">
      <c r="G615" s="212"/>
      <c r="O615" s="224"/>
      <c r="W615" s="216"/>
      <c r="AI615" s="222"/>
      <c r="AV615" s="223"/>
      <c r="AW615" s="223"/>
    </row>
    <row r="616" ht="15.75" customHeight="1">
      <c r="G616" s="212"/>
      <c r="O616" s="224"/>
      <c r="W616" s="216"/>
      <c r="AI616" s="222"/>
      <c r="AV616" s="223"/>
      <c r="AW616" s="223"/>
    </row>
    <row r="617" ht="15.75" customHeight="1">
      <c r="G617" s="212"/>
      <c r="O617" s="224"/>
      <c r="W617" s="216"/>
      <c r="AI617" s="222"/>
      <c r="AV617" s="223"/>
      <c r="AW617" s="223"/>
    </row>
    <row r="618" ht="15.75" customHeight="1">
      <c r="G618" s="212"/>
      <c r="O618" s="224"/>
      <c r="W618" s="216"/>
      <c r="AI618" s="222"/>
      <c r="AV618" s="223"/>
      <c r="AW618" s="223"/>
    </row>
    <row r="619" ht="15.75" customHeight="1">
      <c r="G619" s="212"/>
      <c r="O619" s="224"/>
      <c r="W619" s="216"/>
      <c r="AI619" s="222"/>
      <c r="AV619" s="223"/>
      <c r="AW619" s="223"/>
    </row>
    <row r="620" ht="15.75" customHeight="1">
      <c r="G620" s="212"/>
      <c r="O620" s="224"/>
      <c r="W620" s="216"/>
      <c r="AI620" s="222"/>
      <c r="AV620" s="223"/>
      <c r="AW620" s="223"/>
    </row>
    <row r="621" ht="15.75" customHeight="1">
      <c r="G621" s="212"/>
      <c r="O621" s="224"/>
      <c r="W621" s="216"/>
      <c r="AI621" s="222"/>
      <c r="AV621" s="223"/>
      <c r="AW621" s="223"/>
    </row>
    <row r="622" ht="15.75" customHeight="1">
      <c r="G622" s="212"/>
      <c r="O622" s="224"/>
      <c r="W622" s="216"/>
      <c r="AI622" s="222"/>
      <c r="AV622" s="223"/>
      <c r="AW622" s="223"/>
    </row>
    <row r="623" ht="15.75" customHeight="1">
      <c r="G623" s="212"/>
      <c r="O623" s="224"/>
      <c r="W623" s="216"/>
      <c r="AI623" s="222"/>
      <c r="AV623" s="223"/>
      <c r="AW623" s="223"/>
    </row>
    <row r="624" ht="15.75" customHeight="1">
      <c r="G624" s="212"/>
      <c r="O624" s="224"/>
      <c r="W624" s="216"/>
      <c r="AI624" s="222"/>
      <c r="AV624" s="223"/>
      <c r="AW624" s="223"/>
    </row>
    <row r="625" ht="15.75" customHeight="1">
      <c r="G625" s="212"/>
      <c r="O625" s="224"/>
      <c r="W625" s="216"/>
      <c r="AI625" s="222"/>
      <c r="AV625" s="223"/>
      <c r="AW625" s="223"/>
    </row>
    <row r="626" ht="15.75" customHeight="1">
      <c r="G626" s="212"/>
      <c r="O626" s="224"/>
      <c r="W626" s="216"/>
      <c r="AI626" s="222"/>
      <c r="AV626" s="223"/>
      <c r="AW626" s="223"/>
    </row>
    <row r="627" ht="15.75" customHeight="1">
      <c r="G627" s="212"/>
      <c r="O627" s="224"/>
      <c r="W627" s="216"/>
      <c r="AI627" s="222"/>
      <c r="AV627" s="223"/>
      <c r="AW627" s="223"/>
    </row>
    <row r="628" ht="15.75" customHeight="1">
      <c r="G628" s="212"/>
      <c r="O628" s="224"/>
      <c r="W628" s="216"/>
      <c r="AI628" s="222"/>
      <c r="AV628" s="223"/>
      <c r="AW628" s="223"/>
    </row>
    <row r="629" ht="15.75" customHeight="1">
      <c r="G629" s="212"/>
      <c r="O629" s="224"/>
      <c r="W629" s="216"/>
      <c r="AI629" s="222"/>
      <c r="AV629" s="223"/>
      <c r="AW629" s="223"/>
    </row>
    <row r="630" ht="15.75" customHeight="1">
      <c r="G630" s="212"/>
      <c r="O630" s="224"/>
      <c r="W630" s="216"/>
      <c r="AI630" s="222"/>
      <c r="AV630" s="223"/>
      <c r="AW630" s="223"/>
    </row>
    <row r="631" ht="15.75" customHeight="1">
      <c r="G631" s="212"/>
      <c r="O631" s="224"/>
      <c r="W631" s="216"/>
      <c r="AI631" s="222"/>
      <c r="AV631" s="223"/>
      <c r="AW631" s="223"/>
    </row>
    <row r="632" ht="15.75" customHeight="1">
      <c r="G632" s="212"/>
      <c r="O632" s="224"/>
      <c r="W632" s="216"/>
      <c r="AI632" s="222"/>
      <c r="AV632" s="223"/>
      <c r="AW632" s="223"/>
    </row>
    <row r="633" ht="15.75" customHeight="1">
      <c r="G633" s="212"/>
      <c r="O633" s="224"/>
      <c r="W633" s="216"/>
      <c r="AI633" s="222"/>
      <c r="AV633" s="223"/>
      <c r="AW633" s="223"/>
    </row>
    <row r="634" ht="15.75" customHeight="1">
      <c r="G634" s="212"/>
      <c r="O634" s="224"/>
      <c r="W634" s="216"/>
      <c r="AI634" s="222"/>
      <c r="AV634" s="223"/>
      <c r="AW634" s="223"/>
    </row>
    <row r="635" ht="15.75" customHeight="1">
      <c r="G635" s="212"/>
      <c r="O635" s="224"/>
      <c r="W635" s="216"/>
      <c r="AI635" s="222"/>
      <c r="AV635" s="223"/>
      <c r="AW635" s="223"/>
    </row>
    <row r="636" ht="15.75" customHeight="1">
      <c r="G636" s="212"/>
      <c r="O636" s="224"/>
      <c r="W636" s="216"/>
      <c r="AI636" s="222"/>
      <c r="AV636" s="223"/>
      <c r="AW636" s="223"/>
    </row>
    <row r="637" ht="15.75" customHeight="1">
      <c r="G637" s="212"/>
      <c r="O637" s="224"/>
      <c r="W637" s="216"/>
      <c r="AI637" s="222"/>
      <c r="AV637" s="223"/>
      <c r="AW637" s="223"/>
    </row>
    <row r="638" ht="15.75" customHeight="1">
      <c r="G638" s="212"/>
      <c r="O638" s="224"/>
      <c r="W638" s="216"/>
      <c r="AI638" s="222"/>
      <c r="AV638" s="223"/>
      <c r="AW638" s="223"/>
    </row>
    <row r="639" ht="15.75" customHeight="1">
      <c r="G639" s="212"/>
      <c r="O639" s="224"/>
      <c r="W639" s="216"/>
      <c r="AI639" s="222"/>
      <c r="AV639" s="223"/>
      <c r="AW639" s="223"/>
    </row>
    <row r="640" ht="15.75" customHeight="1">
      <c r="G640" s="212"/>
      <c r="O640" s="224"/>
      <c r="W640" s="216"/>
      <c r="AI640" s="222"/>
      <c r="AV640" s="223"/>
      <c r="AW640" s="223"/>
    </row>
    <row r="641" ht="15.75" customHeight="1">
      <c r="G641" s="212"/>
      <c r="O641" s="224"/>
      <c r="W641" s="216"/>
      <c r="AI641" s="222"/>
      <c r="AV641" s="223"/>
      <c r="AW641" s="223"/>
    </row>
    <row r="642" ht="15.75" customHeight="1">
      <c r="G642" s="212"/>
      <c r="O642" s="224"/>
      <c r="W642" s="216"/>
      <c r="AI642" s="222"/>
      <c r="AV642" s="223"/>
      <c r="AW642" s="223"/>
    </row>
    <row r="643" ht="15.75" customHeight="1">
      <c r="G643" s="212"/>
      <c r="O643" s="224"/>
      <c r="W643" s="216"/>
      <c r="AI643" s="222"/>
      <c r="AV643" s="223"/>
      <c r="AW643" s="223"/>
    </row>
    <row r="644" ht="15.75" customHeight="1">
      <c r="G644" s="212"/>
      <c r="O644" s="224"/>
      <c r="W644" s="216"/>
      <c r="AI644" s="222"/>
      <c r="AV644" s="223"/>
      <c r="AW644" s="223"/>
    </row>
    <row r="645" ht="15.75" customHeight="1">
      <c r="G645" s="212"/>
      <c r="O645" s="224"/>
      <c r="W645" s="216"/>
      <c r="AI645" s="222"/>
      <c r="AV645" s="223"/>
      <c r="AW645" s="223"/>
    </row>
    <row r="646" ht="15.75" customHeight="1">
      <c r="G646" s="212"/>
      <c r="O646" s="224"/>
      <c r="W646" s="216"/>
      <c r="AI646" s="222"/>
      <c r="AV646" s="223"/>
      <c r="AW646" s="223"/>
    </row>
    <row r="647" ht="15.75" customHeight="1">
      <c r="G647" s="212"/>
      <c r="O647" s="224"/>
      <c r="W647" s="216"/>
      <c r="AI647" s="222"/>
      <c r="AV647" s="223"/>
      <c r="AW647" s="223"/>
    </row>
    <row r="648" ht="15.75" customHeight="1">
      <c r="G648" s="212"/>
      <c r="O648" s="224"/>
      <c r="W648" s="216"/>
      <c r="AI648" s="222"/>
      <c r="AV648" s="223"/>
      <c r="AW648" s="223"/>
    </row>
    <row r="649" ht="15.75" customHeight="1">
      <c r="G649" s="212"/>
      <c r="O649" s="224"/>
      <c r="W649" s="216"/>
      <c r="AI649" s="222"/>
      <c r="AV649" s="223"/>
      <c r="AW649" s="223"/>
    </row>
    <row r="650" ht="15.75" customHeight="1">
      <c r="G650" s="212"/>
      <c r="O650" s="224"/>
      <c r="W650" s="216"/>
      <c r="AI650" s="222"/>
      <c r="AV650" s="223"/>
      <c r="AW650" s="223"/>
    </row>
    <row r="651" ht="15.75" customHeight="1">
      <c r="G651" s="212"/>
      <c r="O651" s="224"/>
      <c r="W651" s="216"/>
      <c r="AI651" s="222"/>
      <c r="AV651" s="223"/>
      <c r="AW651" s="223"/>
    </row>
    <row r="652" ht="15.75" customHeight="1">
      <c r="G652" s="212"/>
      <c r="O652" s="224"/>
      <c r="W652" s="216"/>
      <c r="AI652" s="222"/>
      <c r="AV652" s="223"/>
      <c r="AW652" s="223"/>
    </row>
    <row r="653" ht="15.75" customHeight="1">
      <c r="G653" s="212"/>
      <c r="O653" s="224"/>
      <c r="W653" s="216"/>
      <c r="AI653" s="222"/>
      <c r="AV653" s="223"/>
      <c r="AW653" s="223"/>
    </row>
    <row r="654" ht="15.75" customHeight="1">
      <c r="G654" s="212"/>
      <c r="O654" s="224"/>
      <c r="W654" s="216"/>
      <c r="AI654" s="222"/>
      <c r="AV654" s="223"/>
      <c r="AW654" s="223"/>
    </row>
    <row r="655" ht="15.75" customHeight="1">
      <c r="G655" s="212"/>
      <c r="O655" s="224"/>
      <c r="W655" s="216"/>
      <c r="AI655" s="222"/>
      <c r="AV655" s="223"/>
      <c r="AW655" s="223"/>
    </row>
    <row r="656" ht="15.75" customHeight="1">
      <c r="G656" s="212"/>
      <c r="O656" s="224"/>
      <c r="W656" s="216"/>
      <c r="AI656" s="222"/>
      <c r="AV656" s="223"/>
      <c r="AW656" s="223"/>
    </row>
    <row r="657" ht="15.75" customHeight="1">
      <c r="G657" s="212"/>
      <c r="O657" s="224"/>
      <c r="W657" s="216"/>
      <c r="AI657" s="222"/>
      <c r="AV657" s="223"/>
      <c r="AW657" s="223"/>
    </row>
    <row r="658" ht="15.75" customHeight="1">
      <c r="G658" s="212"/>
      <c r="O658" s="224"/>
      <c r="W658" s="216"/>
      <c r="AI658" s="222"/>
      <c r="AV658" s="223"/>
      <c r="AW658" s="223"/>
    </row>
    <row r="659" ht="15.75" customHeight="1">
      <c r="G659" s="212"/>
      <c r="O659" s="224"/>
      <c r="W659" s="216"/>
      <c r="AI659" s="222"/>
      <c r="AV659" s="223"/>
      <c r="AW659" s="223"/>
    </row>
    <row r="660" ht="15.75" customHeight="1">
      <c r="G660" s="212"/>
      <c r="O660" s="224"/>
      <c r="W660" s="216"/>
      <c r="AI660" s="222"/>
      <c r="AV660" s="223"/>
      <c r="AW660" s="223"/>
    </row>
    <row r="661" ht="15.75" customHeight="1">
      <c r="G661" s="212"/>
      <c r="O661" s="224"/>
      <c r="W661" s="216"/>
      <c r="AI661" s="222"/>
      <c r="AV661" s="223"/>
      <c r="AW661" s="223"/>
    </row>
    <row r="662" ht="15.75" customHeight="1">
      <c r="G662" s="212"/>
      <c r="O662" s="224"/>
      <c r="W662" s="216"/>
      <c r="AI662" s="222"/>
      <c r="AV662" s="223"/>
      <c r="AW662" s="223"/>
    </row>
    <row r="663" ht="15.75" customHeight="1">
      <c r="G663" s="212"/>
      <c r="O663" s="224"/>
      <c r="W663" s="216"/>
      <c r="AI663" s="222"/>
      <c r="AV663" s="223"/>
      <c r="AW663" s="223"/>
    </row>
    <row r="664" ht="15.75" customHeight="1">
      <c r="G664" s="212"/>
      <c r="O664" s="224"/>
      <c r="W664" s="216"/>
      <c r="AI664" s="222"/>
      <c r="AV664" s="223"/>
      <c r="AW664" s="223"/>
    </row>
    <row r="665" ht="15.75" customHeight="1">
      <c r="G665" s="212"/>
      <c r="O665" s="224"/>
      <c r="W665" s="216"/>
      <c r="AI665" s="222"/>
      <c r="AV665" s="223"/>
      <c r="AW665" s="223"/>
    </row>
    <row r="666" ht="15.75" customHeight="1">
      <c r="G666" s="212"/>
      <c r="O666" s="224"/>
      <c r="W666" s="216"/>
      <c r="AI666" s="222"/>
      <c r="AV666" s="223"/>
      <c r="AW666" s="223"/>
    </row>
    <row r="667" ht="15.75" customHeight="1">
      <c r="G667" s="212"/>
      <c r="O667" s="224"/>
      <c r="W667" s="216"/>
      <c r="AI667" s="222"/>
      <c r="AV667" s="223"/>
      <c r="AW667" s="223"/>
    </row>
    <row r="668" ht="15.75" customHeight="1">
      <c r="G668" s="212"/>
      <c r="O668" s="224"/>
      <c r="W668" s="216"/>
      <c r="AI668" s="222"/>
      <c r="AV668" s="223"/>
      <c r="AW668" s="223"/>
    </row>
    <row r="669" ht="15.75" customHeight="1">
      <c r="G669" s="212"/>
      <c r="O669" s="224"/>
      <c r="W669" s="216"/>
      <c r="AI669" s="222"/>
      <c r="AV669" s="223"/>
      <c r="AW669" s="223"/>
    </row>
    <row r="670" ht="15.75" customHeight="1">
      <c r="G670" s="212"/>
      <c r="O670" s="224"/>
      <c r="W670" s="216"/>
      <c r="AI670" s="222"/>
      <c r="AV670" s="223"/>
      <c r="AW670" s="223"/>
    </row>
    <row r="671" ht="15.75" customHeight="1">
      <c r="G671" s="212"/>
      <c r="O671" s="224"/>
      <c r="W671" s="216"/>
      <c r="AI671" s="222"/>
      <c r="AV671" s="223"/>
      <c r="AW671" s="223"/>
    </row>
    <row r="672" ht="15.75" customHeight="1">
      <c r="G672" s="212"/>
      <c r="O672" s="224"/>
      <c r="W672" s="216"/>
      <c r="AI672" s="222"/>
      <c r="AV672" s="223"/>
      <c r="AW672" s="223"/>
    </row>
    <row r="673" ht="15.75" customHeight="1">
      <c r="G673" s="212"/>
      <c r="O673" s="224"/>
      <c r="W673" s="216"/>
      <c r="AI673" s="222"/>
      <c r="AV673" s="223"/>
      <c r="AW673" s="223"/>
    </row>
    <row r="674" ht="15.75" customHeight="1">
      <c r="G674" s="212"/>
      <c r="O674" s="224"/>
      <c r="W674" s="216"/>
      <c r="AI674" s="222"/>
      <c r="AV674" s="223"/>
      <c r="AW674" s="223"/>
    </row>
    <row r="675" ht="15.75" customHeight="1">
      <c r="G675" s="212"/>
      <c r="O675" s="224"/>
      <c r="W675" s="216"/>
      <c r="AI675" s="222"/>
      <c r="AV675" s="223"/>
      <c r="AW675" s="223"/>
    </row>
    <row r="676" ht="15.75" customHeight="1">
      <c r="G676" s="212"/>
      <c r="O676" s="224"/>
      <c r="W676" s="216"/>
      <c r="AI676" s="222"/>
      <c r="AV676" s="223"/>
      <c r="AW676" s="223"/>
    </row>
    <row r="677" ht="15.75" customHeight="1">
      <c r="G677" s="212"/>
      <c r="O677" s="224"/>
      <c r="W677" s="216"/>
      <c r="AI677" s="222"/>
      <c r="AV677" s="223"/>
      <c r="AW677" s="223"/>
    </row>
    <row r="678" ht="15.75" customHeight="1">
      <c r="G678" s="212"/>
      <c r="O678" s="224"/>
      <c r="W678" s="216"/>
      <c r="AI678" s="222"/>
      <c r="AV678" s="223"/>
      <c r="AW678" s="223"/>
    </row>
    <row r="679" ht="15.75" customHeight="1">
      <c r="G679" s="212"/>
      <c r="O679" s="224"/>
      <c r="W679" s="216"/>
      <c r="AI679" s="222"/>
      <c r="AV679" s="223"/>
      <c r="AW679" s="223"/>
    </row>
    <row r="680" ht="15.75" customHeight="1">
      <c r="G680" s="212"/>
      <c r="O680" s="224"/>
      <c r="W680" s="216"/>
      <c r="AI680" s="222"/>
      <c r="AV680" s="223"/>
      <c r="AW680" s="223"/>
    </row>
    <row r="681" ht="15.75" customHeight="1">
      <c r="G681" s="212"/>
      <c r="O681" s="224"/>
      <c r="W681" s="216"/>
      <c r="AI681" s="222"/>
      <c r="AV681" s="223"/>
      <c r="AW681" s="223"/>
    </row>
    <row r="682" ht="15.75" customHeight="1">
      <c r="G682" s="212"/>
      <c r="O682" s="224"/>
      <c r="W682" s="216"/>
      <c r="AI682" s="222"/>
      <c r="AV682" s="223"/>
      <c r="AW682" s="223"/>
    </row>
    <row r="683" ht="15.75" customHeight="1">
      <c r="G683" s="212"/>
      <c r="O683" s="224"/>
      <c r="W683" s="216"/>
      <c r="AI683" s="222"/>
      <c r="AV683" s="223"/>
      <c r="AW683" s="223"/>
    </row>
    <row r="684" ht="15.75" customHeight="1">
      <c r="G684" s="212"/>
      <c r="O684" s="224"/>
      <c r="W684" s="216"/>
      <c r="AI684" s="222"/>
      <c r="AV684" s="223"/>
      <c r="AW684" s="223"/>
    </row>
    <row r="685" ht="15.75" customHeight="1">
      <c r="G685" s="212"/>
      <c r="O685" s="224"/>
      <c r="W685" s="216"/>
      <c r="AI685" s="222"/>
      <c r="AV685" s="223"/>
      <c r="AW685" s="223"/>
    </row>
    <row r="686" ht="15.75" customHeight="1">
      <c r="G686" s="212"/>
      <c r="O686" s="224"/>
      <c r="W686" s="216"/>
      <c r="AI686" s="222"/>
      <c r="AV686" s="223"/>
      <c r="AW686" s="223"/>
    </row>
    <row r="687" ht="15.75" customHeight="1">
      <c r="G687" s="212"/>
      <c r="O687" s="224"/>
      <c r="W687" s="216"/>
      <c r="AI687" s="222"/>
      <c r="AV687" s="223"/>
      <c r="AW687" s="223"/>
    </row>
    <row r="688" ht="15.75" customHeight="1">
      <c r="G688" s="212"/>
      <c r="O688" s="224"/>
      <c r="W688" s="216"/>
      <c r="AI688" s="222"/>
      <c r="AV688" s="223"/>
      <c r="AW688" s="223"/>
    </row>
    <row r="689" ht="15.75" customHeight="1">
      <c r="G689" s="212"/>
      <c r="O689" s="224"/>
      <c r="W689" s="216"/>
      <c r="AI689" s="222"/>
      <c r="AV689" s="223"/>
      <c r="AW689" s="223"/>
    </row>
    <row r="690" ht="15.75" customHeight="1">
      <c r="G690" s="212"/>
      <c r="O690" s="224"/>
      <c r="W690" s="216"/>
      <c r="AI690" s="222"/>
      <c r="AV690" s="223"/>
      <c r="AW690" s="223"/>
    </row>
    <row r="691" ht="15.75" customHeight="1">
      <c r="G691" s="212"/>
      <c r="O691" s="224"/>
      <c r="W691" s="216"/>
      <c r="AI691" s="222"/>
      <c r="AV691" s="223"/>
      <c r="AW691" s="223"/>
    </row>
    <row r="692" ht="15.75" customHeight="1">
      <c r="G692" s="212"/>
      <c r="O692" s="224"/>
      <c r="W692" s="216"/>
      <c r="AI692" s="222"/>
      <c r="AV692" s="223"/>
      <c r="AW692" s="223"/>
    </row>
    <row r="693" ht="15.75" customHeight="1">
      <c r="G693" s="212"/>
      <c r="O693" s="224"/>
      <c r="W693" s="216"/>
      <c r="AI693" s="222"/>
      <c r="AV693" s="223"/>
      <c r="AW693" s="223"/>
    </row>
    <row r="694" ht="15.75" customHeight="1">
      <c r="G694" s="212"/>
      <c r="O694" s="224"/>
      <c r="W694" s="216"/>
      <c r="AI694" s="222"/>
      <c r="AV694" s="223"/>
      <c r="AW694" s="223"/>
    </row>
    <row r="695" ht="15.75" customHeight="1">
      <c r="G695" s="212"/>
      <c r="O695" s="224"/>
      <c r="W695" s="216"/>
      <c r="AI695" s="222"/>
      <c r="AV695" s="223"/>
      <c r="AW695" s="223"/>
    </row>
    <row r="696" ht="15.75" customHeight="1">
      <c r="G696" s="212"/>
      <c r="O696" s="224"/>
      <c r="W696" s="216"/>
      <c r="AI696" s="222"/>
      <c r="AV696" s="223"/>
      <c r="AW696" s="223"/>
    </row>
    <row r="697" ht="15.75" customHeight="1">
      <c r="G697" s="212"/>
      <c r="O697" s="224"/>
      <c r="W697" s="216"/>
      <c r="AI697" s="222"/>
      <c r="AV697" s="223"/>
      <c r="AW697" s="223"/>
    </row>
    <row r="698" ht="15.75" customHeight="1">
      <c r="G698" s="212"/>
      <c r="O698" s="224"/>
      <c r="W698" s="216"/>
      <c r="AI698" s="222"/>
      <c r="AV698" s="223"/>
      <c r="AW698" s="223"/>
    </row>
    <row r="699" ht="15.75" customHeight="1">
      <c r="G699" s="212"/>
      <c r="O699" s="224"/>
      <c r="W699" s="216"/>
      <c r="AI699" s="222"/>
      <c r="AV699" s="223"/>
      <c r="AW699" s="223"/>
    </row>
    <row r="700" ht="15.75" customHeight="1">
      <c r="G700" s="212"/>
      <c r="O700" s="224"/>
      <c r="W700" s="216"/>
      <c r="AI700" s="222"/>
      <c r="AV700" s="223"/>
      <c r="AW700" s="223"/>
    </row>
    <row r="701" ht="15.75" customHeight="1">
      <c r="G701" s="212"/>
      <c r="O701" s="224"/>
      <c r="W701" s="216"/>
      <c r="AI701" s="222"/>
      <c r="AV701" s="223"/>
      <c r="AW701" s="223"/>
    </row>
    <row r="702" ht="15.75" customHeight="1">
      <c r="G702" s="212"/>
      <c r="O702" s="224"/>
      <c r="W702" s="216"/>
      <c r="AI702" s="222"/>
      <c r="AV702" s="223"/>
      <c r="AW702" s="223"/>
    </row>
    <row r="703" ht="15.75" customHeight="1">
      <c r="G703" s="212"/>
      <c r="O703" s="224"/>
      <c r="W703" s="216"/>
      <c r="AI703" s="222"/>
      <c r="AV703" s="223"/>
      <c r="AW703" s="223"/>
    </row>
    <row r="704" ht="15.75" customHeight="1">
      <c r="G704" s="212"/>
      <c r="O704" s="224"/>
      <c r="W704" s="216"/>
      <c r="AI704" s="222"/>
      <c r="AV704" s="223"/>
      <c r="AW704" s="223"/>
    </row>
    <row r="705" ht="15.75" customHeight="1">
      <c r="G705" s="212"/>
      <c r="O705" s="224"/>
      <c r="W705" s="216"/>
      <c r="AI705" s="222"/>
      <c r="AV705" s="223"/>
      <c r="AW705" s="223"/>
    </row>
    <row r="706" ht="15.75" customHeight="1">
      <c r="G706" s="212"/>
      <c r="O706" s="224"/>
      <c r="W706" s="216"/>
      <c r="AI706" s="222"/>
      <c r="AV706" s="223"/>
      <c r="AW706" s="223"/>
    </row>
    <row r="707" ht="15.75" customHeight="1">
      <c r="G707" s="212"/>
      <c r="O707" s="224"/>
      <c r="W707" s="216"/>
      <c r="AI707" s="222"/>
      <c r="AV707" s="223"/>
      <c r="AW707" s="223"/>
    </row>
    <row r="708" ht="15.75" customHeight="1">
      <c r="G708" s="212"/>
      <c r="O708" s="224"/>
      <c r="W708" s="216"/>
      <c r="AI708" s="222"/>
      <c r="AV708" s="223"/>
      <c r="AW708" s="223"/>
    </row>
    <row r="709" ht="15.75" customHeight="1">
      <c r="G709" s="212"/>
      <c r="O709" s="224"/>
      <c r="W709" s="216"/>
      <c r="AI709" s="222"/>
      <c r="AV709" s="223"/>
      <c r="AW709" s="223"/>
    </row>
    <row r="710" ht="15.75" customHeight="1">
      <c r="G710" s="212"/>
      <c r="O710" s="224"/>
      <c r="W710" s="216"/>
      <c r="AI710" s="222"/>
      <c r="AV710" s="223"/>
      <c r="AW710" s="223"/>
    </row>
    <row r="711" ht="15.75" customHeight="1">
      <c r="G711" s="212"/>
      <c r="O711" s="224"/>
      <c r="W711" s="216"/>
      <c r="AI711" s="222"/>
      <c r="AV711" s="223"/>
      <c r="AW711" s="223"/>
    </row>
    <row r="712" ht="15.75" customHeight="1">
      <c r="G712" s="212"/>
      <c r="O712" s="224"/>
      <c r="W712" s="216"/>
      <c r="AI712" s="222"/>
      <c r="AV712" s="223"/>
      <c r="AW712" s="223"/>
    </row>
    <row r="713" ht="15.75" customHeight="1">
      <c r="G713" s="212"/>
      <c r="O713" s="224"/>
      <c r="W713" s="216"/>
      <c r="AI713" s="222"/>
      <c r="AV713" s="223"/>
      <c r="AW713" s="223"/>
    </row>
    <row r="714" ht="15.75" customHeight="1">
      <c r="G714" s="212"/>
      <c r="O714" s="224"/>
      <c r="W714" s="216"/>
      <c r="AI714" s="222"/>
      <c r="AV714" s="223"/>
      <c r="AW714" s="223"/>
    </row>
    <row r="715" ht="15.75" customHeight="1">
      <c r="G715" s="212"/>
      <c r="O715" s="224"/>
      <c r="W715" s="216"/>
      <c r="AI715" s="222"/>
      <c r="AV715" s="223"/>
      <c r="AW715" s="223"/>
    </row>
    <row r="716" ht="15.75" customHeight="1">
      <c r="G716" s="212"/>
      <c r="O716" s="224"/>
      <c r="W716" s="216"/>
      <c r="AI716" s="222"/>
      <c r="AV716" s="223"/>
      <c r="AW716" s="223"/>
    </row>
    <row r="717" ht="15.75" customHeight="1">
      <c r="G717" s="212"/>
      <c r="O717" s="224"/>
      <c r="W717" s="216"/>
      <c r="AI717" s="222"/>
      <c r="AV717" s="223"/>
      <c r="AW717" s="223"/>
    </row>
    <row r="718" ht="15.75" customHeight="1">
      <c r="G718" s="212"/>
      <c r="O718" s="224"/>
      <c r="W718" s="216"/>
      <c r="AI718" s="222"/>
      <c r="AV718" s="223"/>
      <c r="AW718" s="223"/>
    </row>
    <row r="719" ht="15.75" customHeight="1">
      <c r="G719" s="212"/>
      <c r="O719" s="224"/>
      <c r="W719" s="216"/>
      <c r="AI719" s="222"/>
      <c r="AV719" s="223"/>
      <c r="AW719" s="223"/>
    </row>
    <row r="720" ht="15.75" customHeight="1">
      <c r="G720" s="212"/>
      <c r="O720" s="224"/>
      <c r="W720" s="216"/>
      <c r="AI720" s="222"/>
      <c r="AV720" s="223"/>
      <c r="AW720" s="223"/>
    </row>
    <row r="721" ht="15.75" customHeight="1">
      <c r="G721" s="212"/>
      <c r="O721" s="224"/>
      <c r="W721" s="216"/>
      <c r="AI721" s="222"/>
      <c r="AV721" s="223"/>
      <c r="AW721" s="223"/>
    </row>
    <row r="722" ht="15.75" customHeight="1">
      <c r="G722" s="212"/>
      <c r="O722" s="224"/>
      <c r="W722" s="216"/>
      <c r="AI722" s="222"/>
      <c r="AV722" s="223"/>
      <c r="AW722" s="223"/>
    </row>
    <row r="723" ht="15.75" customHeight="1">
      <c r="G723" s="212"/>
      <c r="O723" s="224"/>
      <c r="W723" s="216"/>
      <c r="AI723" s="222"/>
      <c r="AV723" s="223"/>
      <c r="AW723" s="223"/>
    </row>
    <row r="724" ht="15.75" customHeight="1">
      <c r="G724" s="212"/>
      <c r="O724" s="224"/>
      <c r="W724" s="216"/>
      <c r="AI724" s="222"/>
      <c r="AV724" s="223"/>
      <c r="AW724" s="223"/>
    </row>
    <row r="725" ht="15.75" customHeight="1">
      <c r="G725" s="212"/>
      <c r="O725" s="224"/>
      <c r="W725" s="216"/>
      <c r="AI725" s="222"/>
      <c r="AV725" s="223"/>
      <c r="AW725" s="223"/>
    </row>
    <row r="726" ht="15.75" customHeight="1">
      <c r="G726" s="212"/>
      <c r="O726" s="224"/>
      <c r="W726" s="216"/>
      <c r="AI726" s="222"/>
      <c r="AV726" s="223"/>
      <c r="AW726" s="223"/>
    </row>
    <row r="727" ht="15.75" customHeight="1">
      <c r="G727" s="212"/>
      <c r="O727" s="224"/>
      <c r="W727" s="216"/>
      <c r="AI727" s="222"/>
      <c r="AV727" s="223"/>
      <c r="AW727" s="223"/>
    </row>
    <row r="728" ht="15.75" customHeight="1">
      <c r="G728" s="212"/>
      <c r="O728" s="224"/>
      <c r="W728" s="216"/>
      <c r="AI728" s="222"/>
      <c r="AV728" s="223"/>
      <c r="AW728" s="223"/>
    </row>
    <row r="729" ht="15.75" customHeight="1">
      <c r="G729" s="212"/>
      <c r="O729" s="224"/>
      <c r="W729" s="216"/>
      <c r="AI729" s="222"/>
      <c r="AV729" s="223"/>
      <c r="AW729" s="223"/>
    </row>
    <row r="730" ht="15.75" customHeight="1">
      <c r="G730" s="212"/>
      <c r="O730" s="224"/>
      <c r="W730" s="216"/>
      <c r="AI730" s="222"/>
      <c r="AV730" s="223"/>
      <c r="AW730" s="223"/>
    </row>
    <row r="731" ht="15.75" customHeight="1">
      <c r="G731" s="212"/>
      <c r="O731" s="224"/>
      <c r="W731" s="216"/>
      <c r="AI731" s="222"/>
      <c r="AV731" s="223"/>
      <c r="AW731" s="223"/>
    </row>
    <row r="732" ht="15.75" customHeight="1">
      <c r="G732" s="212"/>
      <c r="O732" s="224"/>
      <c r="W732" s="216"/>
      <c r="AI732" s="222"/>
      <c r="AV732" s="223"/>
      <c r="AW732" s="223"/>
    </row>
    <row r="733" ht="15.75" customHeight="1">
      <c r="G733" s="212"/>
      <c r="O733" s="224"/>
      <c r="W733" s="216"/>
      <c r="AI733" s="222"/>
      <c r="AV733" s="223"/>
      <c r="AW733" s="223"/>
    </row>
    <row r="734" ht="15.75" customHeight="1">
      <c r="G734" s="212"/>
      <c r="O734" s="224"/>
      <c r="W734" s="216"/>
      <c r="AI734" s="222"/>
      <c r="AV734" s="223"/>
      <c r="AW734" s="223"/>
    </row>
    <row r="735" ht="15.75" customHeight="1">
      <c r="G735" s="212"/>
      <c r="O735" s="224"/>
      <c r="W735" s="216"/>
      <c r="AI735" s="222"/>
      <c r="AV735" s="223"/>
      <c r="AW735" s="223"/>
    </row>
    <row r="736" ht="15.75" customHeight="1">
      <c r="G736" s="212"/>
      <c r="O736" s="224"/>
      <c r="W736" s="216"/>
      <c r="AI736" s="222"/>
      <c r="AV736" s="223"/>
      <c r="AW736" s="223"/>
    </row>
    <row r="737" ht="15.75" customHeight="1">
      <c r="G737" s="212"/>
      <c r="O737" s="224"/>
      <c r="W737" s="216"/>
      <c r="AI737" s="222"/>
      <c r="AV737" s="223"/>
      <c r="AW737" s="223"/>
    </row>
    <row r="738" ht="15.75" customHeight="1">
      <c r="G738" s="212"/>
      <c r="O738" s="224"/>
      <c r="W738" s="216"/>
      <c r="AI738" s="222"/>
      <c r="AV738" s="223"/>
      <c r="AW738" s="223"/>
    </row>
    <row r="739" ht="15.75" customHeight="1">
      <c r="G739" s="212"/>
      <c r="O739" s="224"/>
      <c r="W739" s="216"/>
      <c r="AI739" s="222"/>
      <c r="AV739" s="223"/>
      <c r="AW739" s="223"/>
    </row>
    <row r="740" ht="15.75" customHeight="1">
      <c r="G740" s="212"/>
      <c r="O740" s="224"/>
      <c r="W740" s="216"/>
      <c r="AI740" s="222"/>
      <c r="AV740" s="223"/>
      <c r="AW740" s="223"/>
    </row>
    <row r="741" ht="15.75" customHeight="1">
      <c r="G741" s="212"/>
      <c r="O741" s="224"/>
      <c r="W741" s="216"/>
      <c r="AI741" s="222"/>
      <c r="AV741" s="223"/>
      <c r="AW741" s="223"/>
    </row>
    <row r="742" ht="15.75" customHeight="1">
      <c r="G742" s="212"/>
      <c r="O742" s="224"/>
      <c r="W742" s="216"/>
      <c r="AI742" s="222"/>
      <c r="AV742" s="223"/>
      <c r="AW742" s="223"/>
    </row>
    <row r="743" ht="15.75" customHeight="1">
      <c r="G743" s="212"/>
      <c r="O743" s="224"/>
      <c r="W743" s="216"/>
      <c r="AI743" s="222"/>
      <c r="AV743" s="223"/>
      <c r="AW743" s="223"/>
    </row>
    <row r="744" ht="15.75" customHeight="1">
      <c r="G744" s="212"/>
      <c r="O744" s="224"/>
      <c r="W744" s="216"/>
      <c r="AI744" s="222"/>
      <c r="AV744" s="223"/>
      <c r="AW744" s="223"/>
    </row>
    <row r="745" ht="15.75" customHeight="1">
      <c r="G745" s="212"/>
      <c r="O745" s="224"/>
      <c r="W745" s="216"/>
      <c r="AI745" s="222"/>
      <c r="AV745" s="223"/>
      <c r="AW745" s="223"/>
    </row>
    <row r="746" ht="15.75" customHeight="1">
      <c r="G746" s="212"/>
      <c r="O746" s="224"/>
      <c r="W746" s="216"/>
      <c r="AI746" s="222"/>
      <c r="AV746" s="223"/>
      <c r="AW746" s="223"/>
    </row>
    <row r="747" ht="15.75" customHeight="1">
      <c r="G747" s="212"/>
      <c r="O747" s="224"/>
      <c r="W747" s="216"/>
      <c r="AI747" s="222"/>
      <c r="AV747" s="223"/>
      <c r="AW747" s="223"/>
    </row>
    <row r="748" ht="15.75" customHeight="1">
      <c r="G748" s="212"/>
      <c r="O748" s="224"/>
      <c r="W748" s="216"/>
      <c r="AI748" s="222"/>
      <c r="AV748" s="223"/>
      <c r="AW748" s="223"/>
    </row>
    <row r="749" ht="15.75" customHeight="1">
      <c r="G749" s="212"/>
      <c r="O749" s="224"/>
      <c r="W749" s="216"/>
      <c r="AI749" s="222"/>
      <c r="AV749" s="223"/>
      <c r="AW749" s="223"/>
    </row>
    <row r="750" ht="15.75" customHeight="1">
      <c r="G750" s="212"/>
      <c r="O750" s="224"/>
      <c r="W750" s="216"/>
      <c r="AI750" s="222"/>
      <c r="AV750" s="223"/>
      <c r="AW750" s="223"/>
    </row>
    <row r="751" ht="15.75" customHeight="1">
      <c r="G751" s="212"/>
      <c r="O751" s="224"/>
      <c r="W751" s="216"/>
      <c r="AI751" s="222"/>
      <c r="AV751" s="223"/>
      <c r="AW751" s="223"/>
    </row>
    <row r="752" ht="15.75" customHeight="1">
      <c r="G752" s="212"/>
      <c r="O752" s="224"/>
      <c r="W752" s="216"/>
      <c r="AI752" s="222"/>
      <c r="AV752" s="223"/>
      <c r="AW752" s="223"/>
    </row>
    <row r="753" ht="15.75" customHeight="1">
      <c r="G753" s="212"/>
      <c r="O753" s="224"/>
      <c r="W753" s="216"/>
      <c r="AI753" s="222"/>
      <c r="AV753" s="223"/>
      <c r="AW753" s="223"/>
    </row>
    <row r="754" ht="15.75" customHeight="1">
      <c r="G754" s="212"/>
      <c r="O754" s="224"/>
      <c r="W754" s="216"/>
      <c r="AI754" s="222"/>
      <c r="AV754" s="223"/>
      <c r="AW754" s="223"/>
    </row>
    <row r="755" ht="15.75" customHeight="1">
      <c r="G755" s="212"/>
      <c r="O755" s="224"/>
      <c r="W755" s="216"/>
      <c r="AI755" s="222"/>
      <c r="AV755" s="223"/>
      <c r="AW755" s="223"/>
    </row>
    <row r="756" ht="15.75" customHeight="1">
      <c r="G756" s="212"/>
      <c r="O756" s="224"/>
      <c r="W756" s="216"/>
      <c r="AI756" s="222"/>
      <c r="AV756" s="223"/>
      <c r="AW756" s="223"/>
    </row>
    <row r="757" ht="15.75" customHeight="1">
      <c r="G757" s="212"/>
      <c r="O757" s="224"/>
      <c r="W757" s="216"/>
      <c r="AI757" s="222"/>
      <c r="AV757" s="223"/>
      <c r="AW757" s="223"/>
    </row>
    <row r="758" ht="15.75" customHeight="1">
      <c r="G758" s="212"/>
      <c r="O758" s="224"/>
      <c r="W758" s="216"/>
      <c r="AI758" s="222"/>
      <c r="AV758" s="223"/>
      <c r="AW758" s="223"/>
    </row>
    <row r="759" ht="15.75" customHeight="1">
      <c r="G759" s="212"/>
      <c r="O759" s="224"/>
      <c r="W759" s="216"/>
      <c r="AI759" s="222"/>
      <c r="AV759" s="223"/>
      <c r="AW759" s="223"/>
    </row>
    <row r="760" ht="15.75" customHeight="1">
      <c r="G760" s="212"/>
      <c r="O760" s="224"/>
      <c r="W760" s="216"/>
      <c r="AI760" s="222"/>
      <c r="AV760" s="223"/>
      <c r="AW760" s="223"/>
    </row>
    <row r="761" ht="15.75" customHeight="1">
      <c r="G761" s="212"/>
      <c r="O761" s="224"/>
      <c r="W761" s="216"/>
      <c r="AI761" s="222"/>
      <c r="AV761" s="223"/>
      <c r="AW761" s="223"/>
    </row>
    <row r="762" ht="15.75" customHeight="1">
      <c r="G762" s="212"/>
      <c r="O762" s="224"/>
      <c r="W762" s="216"/>
      <c r="AI762" s="222"/>
      <c r="AV762" s="223"/>
      <c r="AW762" s="223"/>
    </row>
    <row r="763" ht="15.75" customHeight="1">
      <c r="G763" s="212"/>
      <c r="O763" s="224"/>
      <c r="W763" s="216"/>
      <c r="AI763" s="222"/>
      <c r="AV763" s="223"/>
      <c r="AW763" s="223"/>
    </row>
    <row r="764" ht="15.75" customHeight="1">
      <c r="G764" s="212"/>
      <c r="O764" s="224"/>
      <c r="W764" s="216"/>
      <c r="AI764" s="222"/>
      <c r="AV764" s="223"/>
      <c r="AW764" s="223"/>
    </row>
    <row r="765" ht="15.75" customHeight="1">
      <c r="G765" s="212"/>
      <c r="O765" s="224"/>
      <c r="W765" s="216"/>
      <c r="AI765" s="222"/>
      <c r="AV765" s="223"/>
      <c r="AW765" s="223"/>
    </row>
    <row r="766" ht="15.75" customHeight="1">
      <c r="G766" s="212"/>
      <c r="O766" s="224"/>
      <c r="W766" s="216"/>
      <c r="AI766" s="222"/>
      <c r="AV766" s="223"/>
      <c r="AW766" s="223"/>
    </row>
    <row r="767" ht="15.75" customHeight="1">
      <c r="G767" s="212"/>
      <c r="O767" s="224"/>
      <c r="W767" s="216"/>
      <c r="AI767" s="222"/>
      <c r="AV767" s="223"/>
      <c r="AW767" s="223"/>
    </row>
    <row r="768" ht="15.75" customHeight="1">
      <c r="G768" s="212"/>
      <c r="O768" s="224"/>
      <c r="W768" s="216"/>
      <c r="AI768" s="222"/>
      <c r="AV768" s="223"/>
      <c r="AW768" s="223"/>
    </row>
    <row r="769" ht="15.75" customHeight="1">
      <c r="G769" s="212"/>
      <c r="O769" s="224"/>
      <c r="W769" s="216"/>
      <c r="AI769" s="222"/>
      <c r="AV769" s="223"/>
      <c r="AW769" s="223"/>
    </row>
    <row r="770" ht="15.75" customHeight="1">
      <c r="G770" s="212"/>
      <c r="O770" s="224"/>
      <c r="W770" s="216"/>
      <c r="AI770" s="222"/>
      <c r="AV770" s="223"/>
      <c r="AW770" s="223"/>
    </row>
    <row r="771" ht="15.75" customHeight="1">
      <c r="G771" s="212"/>
      <c r="O771" s="224"/>
      <c r="W771" s="216"/>
      <c r="AI771" s="222"/>
      <c r="AV771" s="223"/>
      <c r="AW771" s="223"/>
    </row>
    <row r="772" ht="15.75" customHeight="1">
      <c r="G772" s="212"/>
      <c r="O772" s="224"/>
      <c r="W772" s="216"/>
      <c r="AI772" s="222"/>
      <c r="AV772" s="223"/>
      <c r="AW772" s="223"/>
    </row>
    <row r="773" ht="15.75" customHeight="1">
      <c r="G773" s="212"/>
      <c r="O773" s="224"/>
      <c r="W773" s="216"/>
      <c r="AI773" s="222"/>
      <c r="AV773" s="223"/>
      <c r="AW773" s="223"/>
    </row>
    <row r="774" ht="15.75" customHeight="1">
      <c r="G774" s="212"/>
      <c r="O774" s="224"/>
      <c r="W774" s="216"/>
      <c r="AI774" s="222"/>
      <c r="AV774" s="223"/>
      <c r="AW774" s="223"/>
    </row>
    <row r="775" ht="15.75" customHeight="1">
      <c r="G775" s="212"/>
      <c r="O775" s="224"/>
      <c r="W775" s="216"/>
      <c r="AI775" s="222"/>
      <c r="AV775" s="223"/>
      <c r="AW775" s="223"/>
    </row>
    <row r="776" ht="15.75" customHeight="1">
      <c r="G776" s="212"/>
      <c r="O776" s="224"/>
      <c r="W776" s="216"/>
      <c r="AI776" s="222"/>
      <c r="AV776" s="223"/>
      <c r="AW776" s="223"/>
    </row>
    <row r="777" ht="15.75" customHeight="1">
      <c r="G777" s="212"/>
      <c r="O777" s="224"/>
      <c r="W777" s="216"/>
      <c r="AI777" s="222"/>
      <c r="AV777" s="223"/>
      <c r="AW777" s="223"/>
    </row>
    <row r="778" ht="15.75" customHeight="1">
      <c r="G778" s="212"/>
      <c r="O778" s="224"/>
      <c r="W778" s="216"/>
      <c r="AI778" s="222"/>
      <c r="AV778" s="223"/>
      <c r="AW778" s="223"/>
    </row>
    <row r="779" ht="15.75" customHeight="1">
      <c r="G779" s="212"/>
      <c r="O779" s="224"/>
      <c r="W779" s="216"/>
      <c r="AI779" s="222"/>
      <c r="AV779" s="223"/>
      <c r="AW779" s="223"/>
    </row>
    <row r="780" ht="15.75" customHeight="1">
      <c r="G780" s="212"/>
      <c r="O780" s="224"/>
      <c r="W780" s="216"/>
      <c r="AI780" s="222"/>
      <c r="AV780" s="223"/>
      <c r="AW780" s="223"/>
    </row>
    <row r="781" ht="15.75" customHeight="1">
      <c r="G781" s="212"/>
      <c r="O781" s="224"/>
      <c r="W781" s="216"/>
      <c r="AI781" s="222"/>
      <c r="AV781" s="223"/>
      <c r="AW781" s="223"/>
    </row>
    <row r="782" ht="15.75" customHeight="1">
      <c r="G782" s="212"/>
      <c r="O782" s="224"/>
      <c r="W782" s="216"/>
      <c r="AI782" s="222"/>
      <c r="AV782" s="223"/>
      <c r="AW782" s="223"/>
    </row>
    <row r="783" ht="15.75" customHeight="1">
      <c r="G783" s="212"/>
      <c r="O783" s="224"/>
      <c r="W783" s="216"/>
      <c r="AI783" s="222"/>
      <c r="AV783" s="223"/>
      <c r="AW783" s="223"/>
    </row>
    <row r="784" ht="15.75" customHeight="1">
      <c r="G784" s="212"/>
      <c r="O784" s="224"/>
      <c r="W784" s="216"/>
      <c r="AI784" s="222"/>
      <c r="AV784" s="223"/>
      <c r="AW784" s="223"/>
    </row>
    <row r="785" ht="15.75" customHeight="1">
      <c r="G785" s="212"/>
      <c r="O785" s="224"/>
      <c r="W785" s="216"/>
      <c r="AI785" s="222"/>
      <c r="AV785" s="223"/>
      <c r="AW785" s="223"/>
    </row>
    <row r="786" ht="15.75" customHeight="1">
      <c r="G786" s="212"/>
      <c r="O786" s="224"/>
      <c r="W786" s="216"/>
      <c r="AI786" s="222"/>
      <c r="AV786" s="223"/>
      <c r="AW786" s="223"/>
    </row>
    <row r="787" ht="15.75" customHeight="1">
      <c r="G787" s="212"/>
      <c r="O787" s="224"/>
      <c r="W787" s="216"/>
      <c r="AI787" s="222"/>
      <c r="AV787" s="223"/>
      <c r="AW787" s="223"/>
    </row>
    <row r="788" ht="15.75" customHeight="1">
      <c r="G788" s="212"/>
      <c r="O788" s="224"/>
      <c r="W788" s="216"/>
      <c r="AI788" s="222"/>
      <c r="AV788" s="223"/>
      <c r="AW788" s="223"/>
    </row>
    <row r="789" ht="15.75" customHeight="1">
      <c r="G789" s="212"/>
      <c r="O789" s="224"/>
      <c r="W789" s="216"/>
      <c r="AI789" s="222"/>
      <c r="AV789" s="223"/>
      <c r="AW789" s="223"/>
    </row>
    <row r="790" ht="15.75" customHeight="1">
      <c r="G790" s="212"/>
      <c r="O790" s="224"/>
      <c r="W790" s="216"/>
      <c r="AI790" s="222"/>
      <c r="AV790" s="223"/>
      <c r="AW790" s="223"/>
    </row>
    <row r="791" ht="15.75" customHeight="1">
      <c r="G791" s="212"/>
      <c r="O791" s="224"/>
      <c r="W791" s="216"/>
      <c r="AI791" s="222"/>
      <c r="AV791" s="223"/>
      <c r="AW791" s="223"/>
    </row>
    <row r="792" ht="15.75" customHeight="1">
      <c r="G792" s="212"/>
      <c r="O792" s="224"/>
      <c r="W792" s="216"/>
      <c r="AI792" s="222"/>
      <c r="AV792" s="223"/>
      <c r="AW792" s="223"/>
    </row>
    <row r="793" ht="15.75" customHeight="1">
      <c r="G793" s="212"/>
      <c r="O793" s="224"/>
      <c r="W793" s="216"/>
      <c r="AI793" s="222"/>
      <c r="AV793" s="223"/>
      <c r="AW793" s="223"/>
    </row>
    <row r="794" ht="15.75" customHeight="1">
      <c r="G794" s="212"/>
      <c r="O794" s="224"/>
      <c r="W794" s="216"/>
      <c r="AI794" s="222"/>
      <c r="AV794" s="223"/>
      <c r="AW794" s="223"/>
    </row>
    <row r="795" ht="15.75" customHeight="1">
      <c r="G795" s="212"/>
      <c r="O795" s="224"/>
      <c r="W795" s="216"/>
      <c r="AI795" s="222"/>
      <c r="AV795" s="223"/>
      <c r="AW795" s="223"/>
    </row>
    <row r="796" ht="15.75" customHeight="1">
      <c r="G796" s="212"/>
      <c r="O796" s="224"/>
      <c r="W796" s="216"/>
      <c r="AI796" s="222"/>
      <c r="AV796" s="223"/>
      <c r="AW796" s="223"/>
    </row>
    <row r="797" ht="15.75" customHeight="1">
      <c r="G797" s="212"/>
      <c r="O797" s="224"/>
      <c r="W797" s="216"/>
      <c r="AI797" s="222"/>
      <c r="AV797" s="223"/>
      <c r="AW797" s="223"/>
    </row>
    <row r="798" ht="15.75" customHeight="1">
      <c r="G798" s="212"/>
      <c r="O798" s="224"/>
      <c r="W798" s="216"/>
      <c r="AI798" s="222"/>
      <c r="AV798" s="223"/>
      <c r="AW798" s="223"/>
    </row>
    <row r="799" ht="15.75" customHeight="1">
      <c r="G799" s="212"/>
      <c r="O799" s="224"/>
      <c r="W799" s="216"/>
      <c r="AI799" s="222"/>
      <c r="AV799" s="223"/>
      <c r="AW799" s="223"/>
    </row>
    <row r="800" ht="15.75" customHeight="1">
      <c r="G800" s="212"/>
      <c r="O800" s="224"/>
      <c r="W800" s="216"/>
      <c r="AI800" s="222"/>
      <c r="AV800" s="223"/>
      <c r="AW800" s="223"/>
    </row>
    <row r="801" ht="15.75" customHeight="1">
      <c r="G801" s="212"/>
      <c r="O801" s="224"/>
      <c r="W801" s="216"/>
      <c r="AI801" s="222"/>
      <c r="AV801" s="223"/>
      <c r="AW801" s="223"/>
    </row>
    <row r="802" ht="15.75" customHeight="1">
      <c r="G802" s="212"/>
      <c r="O802" s="224"/>
      <c r="W802" s="216"/>
      <c r="AI802" s="222"/>
      <c r="AV802" s="223"/>
      <c r="AW802" s="223"/>
    </row>
    <row r="803" ht="15.75" customHeight="1">
      <c r="G803" s="212"/>
      <c r="O803" s="224"/>
      <c r="W803" s="216"/>
      <c r="AI803" s="222"/>
      <c r="AV803" s="223"/>
      <c r="AW803" s="223"/>
    </row>
    <row r="804" ht="15.75" customHeight="1">
      <c r="G804" s="212"/>
      <c r="O804" s="224"/>
      <c r="W804" s="216"/>
      <c r="AI804" s="222"/>
      <c r="AV804" s="223"/>
      <c r="AW804" s="223"/>
    </row>
    <row r="805" ht="15.75" customHeight="1">
      <c r="G805" s="212"/>
      <c r="O805" s="224"/>
      <c r="W805" s="216"/>
      <c r="AI805" s="222"/>
      <c r="AV805" s="223"/>
      <c r="AW805" s="223"/>
    </row>
    <row r="806" ht="15.75" customHeight="1">
      <c r="G806" s="212"/>
      <c r="O806" s="224"/>
      <c r="W806" s="216"/>
      <c r="AI806" s="222"/>
      <c r="AV806" s="223"/>
      <c r="AW806" s="223"/>
    </row>
    <row r="807" ht="15.75" customHeight="1">
      <c r="G807" s="212"/>
      <c r="O807" s="224"/>
      <c r="W807" s="216"/>
      <c r="AI807" s="222"/>
      <c r="AV807" s="223"/>
      <c r="AW807" s="223"/>
    </row>
    <row r="808" ht="15.75" customHeight="1">
      <c r="G808" s="212"/>
      <c r="O808" s="224"/>
      <c r="W808" s="216"/>
      <c r="AI808" s="222"/>
      <c r="AV808" s="223"/>
      <c r="AW808" s="223"/>
    </row>
    <row r="809" ht="15.75" customHeight="1">
      <c r="G809" s="212"/>
      <c r="O809" s="224"/>
      <c r="W809" s="216"/>
      <c r="AI809" s="222"/>
      <c r="AV809" s="223"/>
      <c r="AW809" s="223"/>
    </row>
    <row r="810" ht="15.75" customHeight="1">
      <c r="G810" s="212"/>
      <c r="O810" s="224"/>
      <c r="W810" s="216"/>
      <c r="AI810" s="222"/>
      <c r="AV810" s="223"/>
      <c r="AW810" s="223"/>
    </row>
    <row r="811" ht="15.75" customHeight="1">
      <c r="G811" s="212"/>
      <c r="O811" s="224"/>
      <c r="W811" s="216"/>
      <c r="AI811" s="222"/>
      <c r="AV811" s="223"/>
      <c r="AW811" s="223"/>
    </row>
    <row r="812" ht="15.75" customHeight="1">
      <c r="G812" s="212"/>
      <c r="O812" s="224"/>
      <c r="W812" s="216"/>
      <c r="AI812" s="222"/>
      <c r="AV812" s="223"/>
      <c r="AW812" s="223"/>
    </row>
    <row r="813" ht="15.75" customHeight="1">
      <c r="G813" s="212"/>
      <c r="O813" s="224"/>
      <c r="W813" s="216"/>
      <c r="AI813" s="222"/>
      <c r="AV813" s="223"/>
      <c r="AW813" s="223"/>
    </row>
    <row r="814" ht="15.75" customHeight="1">
      <c r="G814" s="212"/>
      <c r="O814" s="224"/>
      <c r="W814" s="216"/>
      <c r="AI814" s="222"/>
      <c r="AV814" s="223"/>
      <c r="AW814" s="223"/>
    </row>
    <row r="815" ht="15.75" customHeight="1">
      <c r="G815" s="212"/>
      <c r="O815" s="224"/>
      <c r="W815" s="216"/>
      <c r="AI815" s="222"/>
      <c r="AV815" s="223"/>
      <c r="AW815" s="223"/>
    </row>
    <row r="816" ht="15.75" customHeight="1">
      <c r="G816" s="212"/>
      <c r="O816" s="224"/>
      <c r="W816" s="216"/>
      <c r="AI816" s="222"/>
      <c r="AV816" s="223"/>
      <c r="AW816" s="223"/>
    </row>
    <row r="817" ht="15.75" customHeight="1">
      <c r="G817" s="212"/>
      <c r="O817" s="224"/>
      <c r="W817" s="216"/>
      <c r="AI817" s="222"/>
      <c r="AV817" s="223"/>
      <c r="AW817" s="223"/>
    </row>
    <row r="818" ht="15.75" customHeight="1">
      <c r="G818" s="212"/>
      <c r="O818" s="224"/>
      <c r="W818" s="216"/>
      <c r="AI818" s="222"/>
      <c r="AV818" s="223"/>
      <c r="AW818" s="223"/>
    </row>
    <row r="819" ht="15.75" customHeight="1">
      <c r="G819" s="212"/>
      <c r="O819" s="224"/>
      <c r="W819" s="216"/>
      <c r="AI819" s="222"/>
      <c r="AV819" s="223"/>
      <c r="AW819" s="223"/>
    </row>
    <row r="820" ht="15.75" customHeight="1">
      <c r="G820" s="212"/>
      <c r="O820" s="224"/>
      <c r="W820" s="216"/>
      <c r="AI820" s="222"/>
      <c r="AV820" s="223"/>
      <c r="AW820" s="223"/>
    </row>
    <row r="821" ht="15.75" customHeight="1">
      <c r="G821" s="212"/>
      <c r="O821" s="224"/>
      <c r="W821" s="216"/>
      <c r="AI821" s="222"/>
      <c r="AV821" s="223"/>
      <c r="AW821" s="223"/>
    </row>
    <row r="822" ht="15.75" customHeight="1">
      <c r="G822" s="212"/>
      <c r="O822" s="224"/>
      <c r="W822" s="216"/>
      <c r="AI822" s="222"/>
      <c r="AV822" s="223"/>
      <c r="AW822" s="223"/>
    </row>
    <row r="823" ht="15.75" customHeight="1">
      <c r="G823" s="212"/>
      <c r="O823" s="224"/>
      <c r="W823" s="216"/>
      <c r="AI823" s="222"/>
      <c r="AV823" s="223"/>
      <c r="AW823" s="223"/>
    </row>
    <row r="824" ht="15.75" customHeight="1">
      <c r="G824" s="212"/>
      <c r="O824" s="224"/>
      <c r="W824" s="216"/>
      <c r="AI824" s="222"/>
      <c r="AV824" s="223"/>
      <c r="AW824" s="223"/>
    </row>
    <row r="825" ht="15.75" customHeight="1">
      <c r="G825" s="212"/>
      <c r="O825" s="224"/>
      <c r="W825" s="216"/>
      <c r="AI825" s="222"/>
      <c r="AV825" s="223"/>
      <c r="AW825" s="223"/>
    </row>
    <row r="826" ht="15.75" customHeight="1">
      <c r="G826" s="212"/>
      <c r="O826" s="224"/>
      <c r="W826" s="216"/>
      <c r="AI826" s="222"/>
      <c r="AV826" s="223"/>
      <c r="AW826" s="223"/>
    </row>
    <row r="827" ht="15.75" customHeight="1">
      <c r="G827" s="212"/>
      <c r="O827" s="224"/>
      <c r="W827" s="216"/>
      <c r="AI827" s="222"/>
      <c r="AV827" s="223"/>
      <c r="AW827" s="223"/>
    </row>
    <row r="828" ht="15.75" customHeight="1">
      <c r="G828" s="212"/>
      <c r="O828" s="224"/>
      <c r="W828" s="216"/>
      <c r="AI828" s="222"/>
      <c r="AV828" s="223"/>
      <c r="AW828" s="223"/>
    </row>
    <row r="829" ht="15.75" customHeight="1">
      <c r="G829" s="212"/>
      <c r="O829" s="224"/>
      <c r="W829" s="216"/>
      <c r="AI829" s="222"/>
      <c r="AV829" s="223"/>
      <c r="AW829" s="223"/>
    </row>
    <row r="830" ht="15.75" customHeight="1">
      <c r="G830" s="212"/>
      <c r="O830" s="224"/>
      <c r="W830" s="216"/>
      <c r="AI830" s="222"/>
      <c r="AV830" s="223"/>
      <c r="AW830" s="223"/>
    </row>
    <row r="831" ht="15.75" customHeight="1">
      <c r="G831" s="212"/>
      <c r="O831" s="224"/>
      <c r="W831" s="216"/>
      <c r="AI831" s="222"/>
      <c r="AV831" s="223"/>
      <c r="AW831" s="223"/>
    </row>
    <row r="832" ht="15.75" customHeight="1">
      <c r="G832" s="212"/>
      <c r="O832" s="224"/>
      <c r="W832" s="216"/>
      <c r="AI832" s="222"/>
      <c r="AV832" s="223"/>
      <c r="AW832" s="223"/>
    </row>
    <row r="833" ht="15.75" customHeight="1">
      <c r="G833" s="212"/>
      <c r="O833" s="224"/>
      <c r="W833" s="216"/>
      <c r="AI833" s="222"/>
      <c r="AV833" s="223"/>
      <c r="AW833" s="223"/>
    </row>
    <row r="834" ht="15.75" customHeight="1">
      <c r="G834" s="212"/>
      <c r="O834" s="224"/>
      <c r="W834" s="216"/>
      <c r="AI834" s="222"/>
      <c r="AV834" s="223"/>
      <c r="AW834" s="223"/>
    </row>
    <row r="835" ht="15.75" customHeight="1">
      <c r="G835" s="212"/>
      <c r="O835" s="224"/>
      <c r="W835" s="216"/>
      <c r="AI835" s="222"/>
      <c r="AV835" s="223"/>
      <c r="AW835" s="223"/>
    </row>
    <row r="836" ht="15.75" customHeight="1">
      <c r="G836" s="212"/>
      <c r="O836" s="224"/>
      <c r="W836" s="216"/>
      <c r="AI836" s="222"/>
      <c r="AV836" s="223"/>
      <c r="AW836" s="223"/>
    </row>
    <row r="837" ht="15.75" customHeight="1">
      <c r="G837" s="212"/>
      <c r="O837" s="224"/>
      <c r="W837" s="216"/>
      <c r="AI837" s="222"/>
      <c r="AV837" s="223"/>
      <c r="AW837" s="223"/>
    </row>
    <row r="838" ht="15.75" customHeight="1">
      <c r="G838" s="212"/>
      <c r="O838" s="224"/>
      <c r="W838" s="216"/>
      <c r="AI838" s="222"/>
      <c r="AV838" s="223"/>
      <c r="AW838" s="223"/>
    </row>
    <row r="839" ht="15.75" customHeight="1">
      <c r="G839" s="212"/>
      <c r="O839" s="224"/>
      <c r="W839" s="216"/>
      <c r="AI839" s="222"/>
      <c r="AV839" s="223"/>
      <c r="AW839" s="223"/>
    </row>
    <row r="840" ht="15.75" customHeight="1">
      <c r="G840" s="212"/>
      <c r="O840" s="224"/>
      <c r="W840" s="216"/>
      <c r="AI840" s="222"/>
      <c r="AV840" s="223"/>
      <c r="AW840" s="223"/>
    </row>
    <row r="841" ht="15.75" customHeight="1">
      <c r="G841" s="212"/>
      <c r="O841" s="224"/>
      <c r="W841" s="216"/>
      <c r="AI841" s="222"/>
      <c r="AV841" s="223"/>
      <c r="AW841" s="223"/>
    </row>
    <row r="842" ht="15.75" customHeight="1">
      <c r="G842" s="212"/>
      <c r="O842" s="224"/>
      <c r="W842" s="216"/>
      <c r="AI842" s="222"/>
      <c r="AV842" s="223"/>
      <c r="AW842" s="223"/>
    </row>
    <row r="843" ht="15.75" customHeight="1">
      <c r="G843" s="212"/>
      <c r="O843" s="224"/>
      <c r="W843" s="216"/>
      <c r="AI843" s="222"/>
      <c r="AV843" s="223"/>
      <c r="AW843" s="223"/>
    </row>
    <row r="844" ht="15.75" customHeight="1">
      <c r="G844" s="212"/>
      <c r="O844" s="224"/>
      <c r="W844" s="216"/>
      <c r="AI844" s="222"/>
      <c r="AV844" s="223"/>
      <c r="AW844" s="223"/>
    </row>
    <row r="845" ht="15.75" customHeight="1">
      <c r="G845" s="212"/>
      <c r="O845" s="224"/>
      <c r="W845" s="216"/>
      <c r="AI845" s="222"/>
      <c r="AV845" s="223"/>
      <c r="AW845" s="223"/>
    </row>
    <row r="846" ht="15.75" customHeight="1">
      <c r="G846" s="212"/>
      <c r="O846" s="224"/>
      <c r="W846" s="216"/>
      <c r="AI846" s="222"/>
      <c r="AV846" s="223"/>
      <c r="AW846" s="223"/>
    </row>
    <row r="847" ht="15.75" customHeight="1">
      <c r="G847" s="212"/>
      <c r="O847" s="224"/>
      <c r="W847" s="216"/>
      <c r="AI847" s="222"/>
      <c r="AV847" s="223"/>
      <c r="AW847" s="223"/>
    </row>
    <row r="848" ht="15.75" customHeight="1">
      <c r="G848" s="212"/>
      <c r="O848" s="224"/>
      <c r="W848" s="216"/>
      <c r="AI848" s="222"/>
      <c r="AV848" s="223"/>
      <c r="AW848" s="223"/>
    </row>
    <row r="849" ht="15.75" customHeight="1">
      <c r="G849" s="212"/>
      <c r="O849" s="224"/>
      <c r="W849" s="216"/>
      <c r="AI849" s="222"/>
      <c r="AV849" s="223"/>
      <c r="AW849" s="223"/>
    </row>
    <row r="850" ht="15.75" customHeight="1">
      <c r="G850" s="212"/>
      <c r="O850" s="224"/>
      <c r="W850" s="216"/>
      <c r="AI850" s="222"/>
      <c r="AV850" s="223"/>
      <c r="AW850" s="223"/>
    </row>
    <row r="851" ht="15.75" customHeight="1">
      <c r="G851" s="212"/>
      <c r="O851" s="224"/>
      <c r="W851" s="216"/>
      <c r="AI851" s="222"/>
      <c r="AV851" s="223"/>
      <c r="AW851" s="223"/>
    </row>
    <row r="852" ht="15.75" customHeight="1">
      <c r="G852" s="212"/>
      <c r="O852" s="224"/>
      <c r="W852" s="216"/>
      <c r="AI852" s="222"/>
      <c r="AV852" s="223"/>
      <c r="AW852" s="223"/>
    </row>
    <row r="853" ht="15.75" customHeight="1">
      <c r="G853" s="212"/>
      <c r="O853" s="224"/>
      <c r="W853" s="216"/>
      <c r="AI853" s="222"/>
      <c r="AV853" s="223"/>
      <c r="AW853" s="223"/>
    </row>
    <row r="854" ht="15.75" customHeight="1">
      <c r="G854" s="212"/>
      <c r="O854" s="224"/>
      <c r="W854" s="216"/>
      <c r="AI854" s="222"/>
      <c r="AV854" s="223"/>
      <c r="AW854" s="223"/>
    </row>
    <row r="855" ht="15.75" customHeight="1">
      <c r="G855" s="212"/>
      <c r="O855" s="224"/>
      <c r="W855" s="216"/>
      <c r="AI855" s="222"/>
      <c r="AV855" s="223"/>
      <c r="AW855" s="223"/>
    </row>
    <row r="856" ht="15.75" customHeight="1">
      <c r="G856" s="212"/>
      <c r="O856" s="224"/>
      <c r="W856" s="216"/>
      <c r="AI856" s="222"/>
      <c r="AV856" s="223"/>
      <c r="AW856" s="223"/>
    </row>
    <row r="857" ht="15.75" customHeight="1">
      <c r="G857" s="212"/>
      <c r="O857" s="224"/>
      <c r="W857" s="216"/>
      <c r="AI857" s="222"/>
      <c r="AV857" s="223"/>
      <c r="AW857" s="223"/>
    </row>
    <row r="858" ht="15.75" customHeight="1">
      <c r="G858" s="212"/>
      <c r="O858" s="224"/>
      <c r="W858" s="216"/>
      <c r="AI858" s="222"/>
      <c r="AV858" s="223"/>
      <c r="AW858" s="223"/>
    </row>
    <row r="859" ht="15.75" customHeight="1">
      <c r="G859" s="212"/>
      <c r="O859" s="224"/>
      <c r="W859" s="216"/>
      <c r="AI859" s="222"/>
      <c r="AV859" s="223"/>
      <c r="AW859" s="223"/>
    </row>
    <row r="860" ht="15.75" customHeight="1">
      <c r="G860" s="212"/>
      <c r="O860" s="224"/>
      <c r="W860" s="216"/>
      <c r="AI860" s="222"/>
      <c r="AV860" s="223"/>
      <c r="AW860" s="223"/>
    </row>
    <row r="861" ht="15.75" customHeight="1">
      <c r="G861" s="212"/>
      <c r="O861" s="224"/>
      <c r="W861" s="216"/>
      <c r="AI861" s="222"/>
      <c r="AV861" s="223"/>
      <c r="AW861" s="223"/>
    </row>
    <row r="862" ht="15.75" customHeight="1">
      <c r="G862" s="212"/>
      <c r="O862" s="224"/>
      <c r="W862" s="216"/>
      <c r="AI862" s="222"/>
      <c r="AV862" s="223"/>
      <c r="AW862" s="223"/>
    </row>
    <row r="863" ht="15.75" customHeight="1">
      <c r="G863" s="212"/>
      <c r="O863" s="224"/>
      <c r="W863" s="216"/>
      <c r="AI863" s="222"/>
      <c r="AV863" s="223"/>
      <c r="AW863" s="223"/>
    </row>
    <row r="864" ht="15.75" customHeight="1">
      <c r="G864" s="212"/>
      <c r="O864" s="224"/>
      <c r="W864" s="216"/>
      <c r="AI864" s="222"/>
      <c r="AV864" s="223"/>
      <c r="AW864" s="223"/>
    </row>
    <row r="865" ht="15.75" customHeight="1">
      <c r="G865" s="212"/>
      <c r="O865" s="224"/>
      <c r="W865" s="216"/>
      <c r="AI865" s="222"/>
      <c r="AV865" s="223"/>
      <c r="AW865" s="223"/>
    </row>
    <row r="866" ht="15.75" customHeight="1">
      <c r="G866" s="212"/>
      <c r="O866" s="224"/>
      <c r="W866" s="216"/>
      <c r="AI866" s="222"/>
      <c r="AV866" s="223"/>
      <c r="AW866" s="223"/>
    </row>
    <row r="867" ht="15.75" customHeight="1">
      <c r="G867" s="212"/>
      <c r="O867" s="224"/>
      <c r="W867" s="216"/>
      <c r="AI867" s="222"/>
      <c r="AV867" s="223"/>
      <c r="AW867" s="223"/>
    </row>
    <row r="868" ht="15.75" customHeight="1">
      <c r="G868" s="212"/>
      <c r="O868" s="224"/>
      <c r="W868" s="216"/>
      <c r="AI868" s="222"/>
      <c r="AV868" s="223"/>
      <c r="AW868" s="223"/>
    </row>
    <row r="869" ht="15.75" customHeight="1">
      <c r="G869" s="212"/>
      <c r="O869" s="224"/>
      <c r="W869" s="216"/>
      <c r="AI869" s="222"/>
      <c r="AV869" s="223"/>
      <c r="AW869" s="223"/>
    </row>
    <row r="870" ht="15.75" customHeight="1">
      <c r="G870" s="212"/>
      <c r="O870" s="224"/>
      <c r="W870" s="216"/>
      <c r="AI870" s="222"/>
      <c r="AV870" s="223"/>
      <c r="AW870" s="223"/>
    </row>
    <row r="871" ht="15.75" customHeight="1">
      <c r="G871" s="212"/>
      <c r="O871" s="224"/>
      <c r="W871" s="216"/>
      <c r="AI871" s="222"/>
      <c r="AV871" s="223"/>
      <c r="AW871" s="223"/>
    </row>
    <row r="872" ht="15.75" customHeight="1">
      <c r="G872" s="212"/>
      <c r="O872" s="224"/>
      <c r="W872" s="216"/>
      <c r="AI872" s="222"/>
      <c r="AV872" s="223"/>
      <c r="AW872" s="223"/>
    </row>
    <row r="873" ht="15.75" customHeight="1">
      <c r="G873" s="212"/>
      <c r="O873" s="224"/>
      <c r="W873" s="216"/>
      <c r="AI873" s="222"/>
      <c r="AV873" s="223"/>
      <c r="AW873" s="223"/>
    </row>
    <row r="874" ht="15.75" customHeight="1">
      <c r="G874" s="212"/>
      <c r="O874" s="224"/>
      <c r="W874" s="216"/>
      <c r="AI874" s="222"/>
      <c r="AV874" s="223"/>
      <c r="AW874" s="223"/>
    </row>
    <row r="875" ht="15.75" customHeight="1">
      <c r="G875" s="212"/>
      <c r="O875" s="224"/>
      <c r="W875" s="216"/>
      <c r="AI875" s="222"/>
      <c r="AV875" s="223"/>
      <c r="AW875" s="223"/>
    </row>
    <row r="876" ht="15.75" customHeight="1">
      <c r="G876" s="212"/>
      <c r="O876" s="224"/>
      <c r="W876" s="216"/>
      <c r="AI876" s="222"/>
      <c r="AV876" s="223"/>
      <c r="AW876" s="223"/>
    </row>
    <row r="877" ht="15.75" customHeight="1">
      <c r="G877" s="212"/>
      <c r="O877" s="224"/>
      <c r="W877" s="216"/>
      <c r="AI877" s="222"/>
      <c r="AV877" s="223"/>
      <c r="AW877" s="223"/>
    </row>
    <row r="878" ht="15.75" customHeight="1">
      <c r="G878" s="212"/>
      <c r="O878" s="224"/>
      <c r="W878" s="216"/>
      <c r="AI878" s="222"/>
      <c r="AV878" s="223"/>
      <c r="AW878" s="223"/>
    </row>
    <row r="879" ht="15.75" customHeight="1">
      <c r="G879" s="212"/>
      <c r="O879" s="224"/>
      <c r="W879" s="216"/>
      <c r="AI879" s="222"/>
      <c r="AV879" s="223"/>
      <c r="AW879" s="223"/>
    </row>
    <row r="880" ht="15.75" customHeight="1">
      <c r="G880" s="212"/>
      <c r="O880" s="224"/>
      <c r="W880" s="216"/>
      <c r="AI880" s="222"/>
      <c r="AV880" s="223"/>
      <c r="AW880" s="223"/>
    </row>
    <row r="881" ht="15.75" customHeight="1">
      <c r="G881" s="212"/>
      <c r="O881" s="224"/>
      <c r="W881" s="216"/>
      <c r="AI881" s="222"/>
      <c r="AV881" s="223"/>
      <c r="AW881" s="223"/>
    </row>
    <row r="882" ht="15.75" customHeight="1">
      <c r="G882" s="212"/>
      <c r="O882" s="224"/>
      <c r="W882" s="216"/>
      <c r="AI882" s="222"/>
      <c r="AV882" s="223"/>
      <c r="AW882" s="223"/>
    </row>
    <row r="883" ht="15.75" customHeight="1">
      <c r="G883" s="212"/>
      <c r="O883" s="224"/>
      <c r="W883" s="216"/>
      <c r="AI883" s="222"/>
      <c r="AV883" s="223"/>
      <c r="AW883" s="223"/>
    </row>
    <row r="884" ht="15.75" customHeight="1">
      <c r="G884" s="212"/>
      <c r="O884" s="224"/>
      <c r="W884" s="216"/>
      <c r="AI884" s="222"/>
      <c r="AV884" s="223"/>
      <c r="AW884" s="223"/>
    </row>
    <row r="885" ht="15.75" customHeight="1">
      <c r="G885" s="212"/>
      <c r="O885" s="224"/>
      <c r="W885" s="216"/>
      <c r="AI885" s="222"/>
      <c r="AV885" s="223"/>
      <c r="AW885" s="223"/>
    </row>
    <row r="886" ht="15.75" customHeight="1">
      <c r="G886" s="212"/>
      <c r="O886" s="224"/>
      <c r="W886" s="216"/>
      <c r="AI886" s="222"/>
      <c r="AV886" s="223"/>
      <c r="AW886" s="223"/>
    </row>
    <row r="887" ht="15.75" customHeight="1">
      <c r="G887" s="212"/>
      <c r="O887" s="224"/>
      <c r="W887" s="216"/>
      <c r="AI887" s="222"/>
      <c r="AV887" s="223"/>
      <c r="AW887" s="223"/>
    </row>
    <row r="888" ht="15.75" customHeight="1">
      <c r="G888" s="212"/>
      <c r="O888" s="224"/>
      <c r="W888" s="216"/>
      <c r="AI888" s="222"/>
      <c r="AV888" s="223"/>
      <c r="AW888" s="223"/>
    </row>
    <row r="889" ht="15.75" customHeight="1">
      <c r="G889" s="212"/>
      <c r="O889" s="224"/>
      <c r="W889" s="216"/>
      <c r="AI889" s="222"/>
      <c r="AV889" s="223"/>
      <c r="AW889" s="223"/>
    </row>
    <row r="890" ht="15.75" customHeight="1">
      <c r="G890" s="212"/>
      <c r="O890" s="224"/>
      <c r="W890" s="216"/>
      <c r="AI890" s="222"/>
      <c r="AV890" s="223"/>
      <c r="AW890" s="223"/>
    </row>
    <row r="891" ht="15.75" customHeight="1">
      <c r="G891" s="212"/>
      <c r="O891" s="224"/>
      <c r="W891" s="216"/>
      <c r="AI891" s="222"/>
      <c r="AV891" s="223"/>
      <c r="AW891" s="223"/>
    </row>
    <row r="892" ht="15.75" customHeight="1">
      <c r="G892" s="212"/>
      <c r="O892" s="224"/>
      <c r="W892" s="216"/>
      <c r="AI892" s="222"/>
      <c r="AV892" s="223"/>
      <c r="AW892" s="223"/>
    </row>
    <row r="893" ht="15.75" customHeight="1">
      <c r="G893" s="212"/>
      <c r="O893" s="224"/>
      <c r="W893" s="216"/>
      <c r="AI893" s="222"/>
      <c r="AV893" s="223"/>
      <c r="AW893" s="223"/>
    </row>
    <row r="894" ht="15.75" customHeight="1">
      <c r="G894" s="212"/>
      <c r="O894" s="224"/>
      <c r="W894" s="216"/>
      <c r="AI894" s="222"/>
      <c r="AV894" s="223"/>
      <c r="AW894" s="223"/>
    </row>
    <row r="895" ht="15.75" customHeight="1">
      <c r="G895" s="212"/>
      <c r="O895" s="224"/>
      <c r="W895" s="216"/>
      <c r="AI895" s="222"/>
      <c r="AV895" s="223"/>
      <c r="AW895" s="223"/>
    </row>
    <row r="896" ht="15.75" customHeight="1">
      <c r="G896" s="212"/>
      <c r="O896" s="224"/>
      <c r="W896" s="216"/>
      <c r="AI896" s="222"/>
      <c r="AV896" s="223"/>
      <c r="AW896" s="223"/>
    </row>
    <row r="897" ht="15.75" customHeight="1">
      <c r="G897" s="212"/>
      <c r="O897" s="224"/>
      <c r="W897" s="216"/>
      <c r="AI897" s="222"/>
      <c r="AV897" s="223"/>
      <c r="AW897" s="223"/>
    </row>
    <row r="898" ht="15.75" customHeight="1">
      <c r="G898" s="212"/>
      <c r="O898" s="224"/>
      <c r="W898" s="216"/>
      <c r="AI898" s="222"/>
      <c r="AV898" s="223"/>
      <c r="AW898" s="223"/>
    </row>
    <row r="899" ht="15.75" customHeight="1">
      <c r="G899" s="212"/>
      <c r="O899" s="224"/>
      <c r="W899" s="216"/>
      <c r="AI899" s="222"/>
      <c r="AV899" s="223"/>
      <c r="AW899" s="223"/>
    </row>
    <row r="900" ht="15.75" customHeight="1">
      <c r="G900" s="212"/>
      <c r="O900" s="224"/>
      <c r="W900" s="216"/>
      <c r="AI900" s="222"/>
      <c r="AV900" s="223"/>
      <c r="AW900" s="223"/>
    </row>
    <row r="901" ht="15.75" customHeight="1">
      <c r="G901" s="212"/>
      <c r="O901" s="224"/>
      <c r="W901" s="216"/>
      <c r="AI901" s="222"/>
      <c r="AV901" s="223"/>
      <c r="AW901" s="223"/>
    </row>
    <row r="902" ht="15.75" customHeight="1">
      <c r="G902" s="212"/>
      <c r="O902" s="224"/>
      <c r="W902" s="216"/>
      <c r="AI902" s="222"/>
      <c r="AV902" s="223"/>
      <c r="AW902" s="223"/>
    </row>
    <row r="903" ht="15.75" customHeight="1">
      <c r="G903" s="212"/>
      <c r="O903" s="224"/>
      <c r="W903" s="216"/>
      <c r="AI903" s="222"/>
      <c r="AV903" s="223"/>
      <c r="AW903" s="223"/>
    </row>
    <row r="904" ht="15.75" customHeight="1">
      <c r="G904" s="212"/>
      <c r="O904" s="224"/>
      <c r="W904" s="216"/>
      <c r="AI904" s="222"/>
      <c r="AV904" s="223"/>
      <c r="AW904" s="223"/>
    </row>
    <row r="905" ht="15.75" customHeight="1">
      <c r="G905" s="212"/>
      <c r="O905" s="224"/>
      <c r="W905" s="216"/>
      <c r="AI905" s="222"/>
      <c r="AV905" s="223"/>
      <c r="AW905" s="223"/>
    </row>
    <row r="906" ht="15.75" customHeight="1">
      <c r="G906" s="212"/>
      <c r="O906" s="224"/>
      <c r="W906" s="216"/>
      <c r="AI906" s="222"/>
      <c r="AV906" s="223"/>
      <c r="AW906" s="223"/>
    </row>
    <row r="907" ht="15.75" customHeight="1">
      <c r="G907" s="212"/>
      <c r="O907" s="224"/>
      <c r="W907" s="216"/>
      <c r="AI907" s="222"/>
      <c r="AV907" s="223"/>
      <c r="AW907" s="223"/>
    </row>
    <row r="908" ht="15.75" customHeight="1">
      <c r="G908" s="212"/>
      <c r="O908" s="224"/>
      <c r="W908" s="216"/>
      <c r="AI908" s="222"/>
      <c r="AV908" s="223"/>
      <c r="AW908" s="223"/>
    </row>
    <row r="909" ht="15.75" customHeight="1">
      <c r="G909" s="212"/>
      <c r="O909" s="224"/>
      <c r="W909" s="216"/>
      <c r="AI909" s="222"/>
      <c r="AV909" s="223"/>
      <c r="AW909" s="223"/>
    </row>
    <row r="910" ht="15.75" customHeight="1">
      <c r="G910" s="212"/>
      <c r="O910" s="224"/>
      <c r="W910" s="216"/>
      <c r="AI910" s="222"/>
      <c r="AV910" s="223"/>
      <c r="AW910" s="223"/>
    </row>
    <row r="911" ht="15.75" customHeight="1">
      <c r="G911" s="212"/>
      <c r="O911" s="224"/>
      <c r="W911" s="216"/>
      <c r="AI911" s="222"/>
      <c r="AV911" s="223"/>
      <c r="AW911" s="223"/>
    </row>
    <row r="912" ht="15.75" customHeight="1">
      <c r="G912" s="212"/>
      <c r="O912" s="224"/>
      <c r="W912" s="216"/>
      <c r="AI912" s="222"/>
      <c r="AV912" s="223"/>
      <c r="AW912" s="223"/>
    </row>
    <row r="913" ht="15.75" customHeight="1">
      <c r="G913" s="212"/>
      <c r="O913" s="224"/>
      <c r="W913" s="216"/>
      <c r="AI913" s="222"/>
      <c r="AV913" s="223"/>
      <c r="AW913" s="223"/>
    </row>
    <row r="914" ht="15.75" customHeight="1">
      <c r="G914" s="212"/>
      <c r="O914" s="224"/>
      <c r="W914" s="216"/>
      <c r="AI914" s="222"/>
      <c r="AV914" s="223"/>
      <c r="AW914" s="223"/>
    </row>
    <row r="915" ht="15.75" customHeight="1">
      <c r="G915" s="212"/>
      <c r="O915" s="224"/>
      <c r="W915" s="216"/>
      <c r="AI915" s="222"/>
      <c r="AV915" s="223"/>
      <c r="AW915" s="223"/>
    </row>
    <row r="916" ht="15.75" customHeight="1">
      <c r="G916" s="212"/>
      <c r="O916" s="224"/>
      <c r="W916" s="216"/>
      <c r="AI916" s="222"/>
      <c r="AV916" s="223"/>
      <c r="AW916" s="223"/>
    </row>
    <row r="917" ht="15.75" customHeight="1">
      <c r="G917" s="212"/>
      <c r="O917" s="224"/>
      <c r="W917" s="216"/>
      <c r="AI917" s="222"/>
      <c r="AV917" s="223"/>
      <c r="AW917" s="223"/>
    </row>
    <row r="918" ht="15.75" customHeight="1">
      <c r="G918" s="212"/>
      <c r="O918" s="224"/>
      <c r="W918" s="216"/>
      <c r="AI918" s="222"/>
      <c r="AV918" s="223"/>
      <c r="AW918" s="223"/>
    </row>
    <row r="919" ht="15.75" customHeight="1">
      <c r="G919" s="212"/>
      <c r="O919" s="224"/>
      <c r="W919" s="216"/>
      <c r="AI919" s="222"/>
      <c r="AV919" s="223"/>
      <c r="AW919" s="223"/>
    </row>
    <row r="920" ht="15.75" customHeight="1">
      <c r="G920" s="212"/>
      <c r="O920" s="224"/>
      <c r="W920" s="216"/>
      <c r="AI920" s="222"/>
      <c r="AV920" s="223"/>
      <c r="AW920" s="223"/>
    </row>
    <row r="921" ht="15.75" customHeight="1">
      <c r="G921" s="212"/>
      <c r="O921" s="224"/>
      <c r="W921" s="216"/>
      <c r="AI921" s="222"/>
      <c r="AV921" s="223"/>
      <c r="AW921" s="223"/>
    </row>
    <row r="922" ht="15.75" customHeight="1">
      <c r="G922" s="212"/>
      <c r="O922" s="224"/>
      <c r="W922" s="216"/>
      <c r="AI922" s="222"/>
      <c r="AV922" s="223"/>
      <c r="AW922" s="223"/>
    </row>
    <row r="923" ht="15.75" customHeight="1">
      <c r="G923" s="212"/>
      <c r="O923" s="224"/>
      <c r="W923" s="216"/>
      <c r="AI923" s="222"/>
      <c r="AV923" s="223"/>
      <c r="AW923" s="223"/>
    </row>
    <row r="924" ht="15.75" customHeight="1">
      <c r="G924" s="212"/>
      <c r="O924" s="224"/>
      <c r="W924" s="216"/>
      <c r="AI924" s="222"/>
      <c r="AV924" s="223"/>
      <c r="AW924" s="223"/>
    </row>
    <row r="925" ht="15.75" customHeight="1">
      <c r="G925" s="212"/>
      <c r="O925" s="224"/>
      <c r="W925" s="216"/>
      <c r="AI925" s="222"/>
      <c r="AV925" s="223"/>
      <c r="AW925" s="223"/>
    </row>
    <row r="926" ht="15.75" customHeight="1">
      <c r="G926" s="212"/>
      <c r="O926" s="224"/>
      <c r="W926" s="216"/>
      <c r="AI926" s="222"/>
      <c r="AV926" s="223"/>
      <c r="AW926" s="223"/>
    </row>
    <row r="927" ht="15.75" customHeight="1">
      <c r="G927" s="212"/>
      <c r="O927" s="224"/>
      <c r="W927" s="216"/>
      <c r="AI927" s="222"/>
      <c r="AV927" s="223"/>
      <c r="AW927" s="223"/>
    </row>
    <row r="928" ht="15.75" customHeight="1">
      <c r="G928" s="212"/>
      <c r="O928" s="224"/>
      <c r="W928" s="216"/>
      <c r="AI928" s="222"/>
      <c r="AV928" s="223"/>
      <c r="AW928" s="223"/>
    </row>
    <row r="929" ht="15.75" customHeight="1">
      <c r="G929" s="212"/>
      <c r="O929" s="224"/>
      <c r="W929" s="216"/>
      <c r="AI929" s="222"/>
      <c r="AV929" s="223"/>
      <c r="AW929" s="223"/>
    </row>
    <row r="930" ht="15.75" customHeight="1">
      <c r="G930" s="212"/>
      <c r="O930" s="224"/>
      <c r="W930" s="216"/>
      <c r="AI930" s="222"/>
      <c r="AV930" s="223"/>
      <c r="AW930" s="223"/>
    </row>
    <row r="931" ht="15.75" customHeight="1">
      <c r="G931" s="212"/>
      <c r="O931" s="224"/>
      <c r="W931" s="216"/>
      <c r="AI931" s="222"/>
      <c r="AV931" s="223"/>
      <c r="AW931" s="223"/>
    </row>
    <row r="932" ht="15.75" customHeight="1">
      <c r="G932" s="212"/>
      <c r="O932" s="224"/>
      <c r="W932" s="216"/>
      <c r="AI932" s="222"/>
      <c r="AV932" s="223"/>
      <c r="AW932" s="223"/>
    </row>
    <row r="933" ht="15.75" customHeight="1">
      <c r="G933" s="212"/>
      <c r="O933" s="224"/>
      <c r="W933" s="216"/>
      <c r="AI933" s="222"/>
      <c r="AV933" s="223"/>
      <c r="AW933" s="223"/>
    </row>
    <row r="934" ht="15.75" customHeight="1">
      <c r="G934" s="212"/>
      <c r="O934" s="224"/>
      <c r="W934" s="216"/>
      <c r="AI934" s="222"/>
      <c r="AV934" s="223"/>
      <c r="AW934" s="223"/>
    </row>
    <row r="935" ht="15.75" customHeight="1">
      <c r="G935" s="212"/>
      <c r="O935" s="224"/>
      <c r="W935" s="216"/>
      <c r="AI935" s="222"/>
      <c r="AV935" s="223"/>
      <c r="AW935" s="223"/>
    </row>
    <row r="936" ht="15.75" customHeight="1">
      <c r="G936" s="212"/>
      <c r="O936" s="224"/>
      <c r="W936" s="216"/>
      <c r="AI936" s="222"/>
      <c r="AV936" s="223"/>
      <c r="AW936" s="223"/>
    </row>
    <row r="937" ht="15.75" customHeight="1">
      <c r="G937" s="212"/>
      <c r="O937" s="224"/>
      <c r="W937" s="216"/>
      <c r="AI937" s="222"/>
      <c r="AV937" s="223"/>
      <c r="AW937" s="223"/>
    </row>
    <row r="938" ht="15.75" customHeight="1">
      <c r="G938" s="212"/>
      <c r="O938" s="224"/>
      <c r="W938" s="216"/>
      <c r="AI938" s="222"/>
      <c r="AV938" s="223"/>
      <c r="AW938" s="223"/>
    </row>
    <row r="939" ht="15.75" customHeight="1">
      <c r="G939" s="212"/>
      <c r="O939" s="224"/>
      <c r="W939" s="216"/>
      <c r="AI939" s="222"/>
      <c r="AV939" s="223"/>
      <c r="AW939" s="223"/>
    </row>
    <row r="940" ht="15.75" customHeight="1">
      <c r="G940" s="212"/>
      <c r="O940" s="224"/>
      <c r="W940" s="216"/>
      <c r="AI940" s="222"/>
      <c r="AV940" s="223"/>
      <c r="AW940" s="223"/>
    </row>
    <row r="941" ht="15.75" customHeight="1">
      <c r="G941" s="212"/>
      <c r="O941" s="224"/>
      <c r="W941" s="216"/>
      <c r="AI941" s="222"/>
      <c r="AV941" s="223"/>
      <c r="AW941" s="223"/>
    </row>
    <row r="942" ht="15.75" customHeight="1">
      <c r="G942" s="212"/>
      <c r="O942" s="224"/>
      <c r="W942" s="216"/>
      <c r="AI942" s="222"/>
      <c r="AV942" s="223"/>
      <c r="AW942" s="223"/>
    </row>
    <row r="943" ht="15.75" customHeight="1">
      <c r="G943" s="212"/>
      <c r="O943" s="224"/>
      <c r="W943" s="216"/>
      <c r="AI943" s="222"/>
      <c r="AV943" s="223"/>
      <c r="AW943" s="223"/>
    </row>
    <row r="944" ht="15.75" customHeight="1">
      <c r="G944" s="212"/>
      <c r="O944" s="224"/>
      <c r="W944" s="216"/>
      <c r="AI944" s="222"/>
      <c r="AV944" s="223"/>
      <c r="AW944" s="223"/>
    </row>
    <row r="945" ht="15.75" customHeight="1">
      <c r="G945" s="212"/>
      <c r="O945" s="224"/>
      <c r="W945" s="216"/>
      <c r="AI945" s="222"/>
      <c r="AV945" s="223"/>
      <c r="AW945" s="223"/>
    </row>
    <row r="946" ht="15.75" customHeight="1">
      <c r="G946" s="212"/>
      <c r="O946" s="224"/>
      <c r="W946" s="216"/>
      <c r="AI946" s="222"/>
      <c r="AV946" s="223"/>
      <c r="AW946" s="223"/>
    </row>
    <row r="947" ht="15.75" customHeight="1">
      <c r="G947" s="212"/>
      <c r="O947" s="224"/>
      <c r="W947" s="216"/>
      <c r="AI947" s="222"/>
      <c r="AV947" s="223"/>
      <c r="AW947" s="223"/>
    </row>
    <row r="948" ht="15.75" customHeight="1">
      <c r="G948" s="212"/>
      <c r="O948" s="224"/>
      <c r="W948" s="216"/>
      <c r="AI948" s="222"/>
      <c r="AV948" s="223"/>
      <c r="AW948" s="223"/>
    </row>
    <row r="949" ht="15.75" customHeight="1">
      <c r="G949" s="212"/>
      <c r="O949" s="224"/>
      <c r="W949" s="216"/>
      <c r="AI949" s="222"/>
      <c r="AV949" s="223"/>
      <c r="AW949" s="223"/>
    </row>
    <row r="950" ht="15.75" customHeight="1">
      <c r="G950" s="212"/>
      <c r="O950" s="224"/>
      <c r="W950" s="216"/>
      <c r="AI950" s="222"/>
      <c r="AV950" s="223"/>
      <c r="AW950" s="223"/>
    </row>
    <row r="951" ht="15.75" customHeight="1">
      <c r="G951" s="212"/>
      <c r="O951" s="224"/>
      <c r="W951" s="216"/>
      <c r="AI951" s="222"/>
      <c r="AV951" s="223"/>
      <c r="AW951" s="223"/>
    </row>
    <row r="952" ht="15.75" customHeight="1">
      <c r="G952" s="212"/>
      <c r="O952" s="224"/>
      <c r="W952" s="216"/>
      <c r="AI952" s="222"/>
      <c r="AV952" s="223"/>
      <c r="AW952" s="223"/>
    </row>
    <row r="953" ht="15.75" customHeight="1">
      <c r="G953" s="212"/>
      <c r="O953" s="224"/>
      <c r="W953" s="216"/>
      <c r="AI953" s="222"/>
      <c r="AV953" s="223"/>
      <c r="AW953" s="223"/>
    </row>
    <row r="954" ht="15.75" customHeight="1">
      <c r="G954" s="212"/>
      <c r="O954" s="224"/>
      <c r="W954" s="216"/>
      <c r="AI954" s="222"/>
      <c r="AV954" s="223"/>
      <c r="AW954" s="223"/>
    </row>
    <row r="955" ht="15.75" customHeight="1">
      <c r="G955" s="212"/>
      <c r="O955" s="224"/>
      <c r="W955" s="216"/>
      <c r="AI955" s="222"/>
      <c r="AV955" s="223"/>
      <c r="AW955" s="223"/>
    </row>
    <row r="956" ht="15.75" customHeight="1">
      <c r="G956" s="212"/>
      <c r="O956" s="224"/>
      <c r="W956" s="216"/>
      <c r="AI956" s="222"/>
      <c r="AV956" s="223"/>
      <c r="AW956" s="223"/>
    </row>
    <row r="957" ht="15.75" customHeight="1">
      <c r="G957" s="212"/>
      <c r="O957" s="224"/>
      <c r="W957" s="216"/>
      <c r="AI957" s="222"/>
      <c r="AV957" s="223"/>
      <c r="AW957" s="223"/>
    </row>
    <row r="958" ht="15.75" customHeight="1">
      <c r="G958" s="212"/>
      <c r="O958" s="224"/>
      <c r="W958" s="216"/>
      <c r="AI958" s="222"/>
      <c r="AV958" s="223"/>
      <c r="AW958" s="223"/>
    </row>
    <row r="959" ht="15.75" customHeight="1">
      <c r="G959" s="212"/>
      <c r="O959" s="224"/>
      <c r="W959" s="216"/>
      <c r="AI959" s="222"/>
      <c r="AV959" s="223"/>
      <c r="AW959" s="223"/>
    </row>
    <row r="960" ht="15.75" customHeight="1">
      <c r="G960" s="212"/>
      <c r="O960" s="224"/>
      <c r="W960" s="216"/>
      <c r="AI960" s="222"/>
      <c r="AV960" s="223"/>
      <c r="AW960" s="223"/>
    </row>
    <row r="961" ht="15.75" customHeight="1">
      <c r="G961" s="212"/>
      <c r="O961" s="224"/>
      <c r="W961" s="216"/>
      <c r="AI961" s="222"/>
      <c r="AV961" s="223"/>
      <c r="AW961" s="223"/>
    </row>
    <row r="962" ht="15.75" customHeight="1">
      <c r="G962" s="212"/>
      <c r="O962" s="224"/>
      <c r="W962" s="216"/>
      <c r="AI962" s="222"/>
      <c r="AV962" s="223"/>
      <c r="AW962" s="223"/>
    </row>
    <row r="963" ht="15.75" customHeight="1">
      <c r="G963" s="212"/>
      <c r="O963" s="224"/>
      <c r="W963" s="216"/>
      <c r="AI963" s="222"/>
      <c r="AV963" s="223"/>
      <c r="AW963" s="223"/>
    </row>
    <row r="964" ht="15.75" customHeight="1">
      <c r="G964" s="212"/>
      <c r="O964" s="224"/>
      <c r="W964" s="216"/>
      <c r="AI964" s="222"/>
      <c r="AV964" s="223"/>
      <c r="AW964" s="223"/>
    </row>
    <row r="965" ht="15.75" customHeight="1">
      <c r="G965" s="212"/>
      <c r="O965" s="224"/>
      <c r="W965" s="216"/>
      <c r="AI965" s="222"/>
      <c r="AV965" s="223"/>
      <c r="AW965" s="223"/>
    </row>
    <row r="966" ht="15.75" customHeight="1">
      <c r="G966" s="212"/>
      <c r="O966" s="224"/>
      <c r="W966" s="216"/>
      <c r="AI966" s="222"/>
      <c r="AV966" s="223"/>
      <c r="AW966" s="223"/>
    </row>
    <row r="967" ht="15.75" customHeight="1">
      <c r="G967" s="212"/>
      <c r="O967" s="224"/>
      <c r="W967" s="216"/>
      <c r="AI967" s="222"/>
      <c r="AV967" s="223"/>
      <c r="AW967" s="223"/>
    </row>
    <row r="968" ht="15.75" customHeight="1">
      <c r="G968" s="212"/>
      <c r="O968" s="224"/>
      <c r="W968" s="216"/>
      <c r="AI968" s="222"/>
      <c r="AV968" s="223"/>
      <c r="AW968" s="223"/>
    </row>
    <row r="969" ht="15.75" customHeight="1">
      <c r="G969" s="212"/>
      <c r="O969" s="224"/>
      <c r="W969" s="216"/>
      <c r="AI969" s="222"/>
      <c r="AV969" s="223"/>
      <c r="AW969" s="223"/>
    </row>
    <row r="970" ht="15.75" customHeight="1">
      <c r="G970" s="212"/>
      <c r="O970" s="224"/>
      <c r="W970" s="216"/>
      <c r="AI970" s="222"/>
      <c r="AV970" s="223"/>
      <c r="AW970" s="223"/>
    </row>
    <row r="971" ht="15.75" customHeight="1">
      <c r="G971" s="212"/>
      <c r="O971" s="224"/>
      <c r="W971" s="216"/>
      <c r="AI971" s="222"/>
      <c r="AV971" s="223"/>
      <c r="AW971" s="223"/>
    </row>
    <row r="972" ht="15.75" customHeight="1">
      <c r="G972" s="212"/>
      <c r="O972" s="224"/>
      <c r="W972" s="216"/>
      <c r="AI972" s="222"/>
      <c r="AV972" s="223"/>
      <c r="AW972" s="223"/>
    </row>
    <row r="973" ht="15.75" customHeight="1">
      <c r="G973" s="212"/>
      <c r="O973" s="224"/>
      <c r="W973" s="216"/>
      <c r="AI973" s="222"/>
      <c r="AV973" s="223"/>
      <c r="AW973" s="223"/>
    </row>
    <row r="974" ht="15.75" customHeight="1">
      <c r="G974" s="212"/>
      <c r="O974" s="224"/>
      <c r="W974" s="216"/>
      <c r="AI974" s="222"/>
      <c r="AV974" s="223"/>
      <c r="AW974" s="223"/>
    </row>
    <row r="975" ht="15.75" customHeight="1">
      <c r="G975" s="212"/>
      <c r="O975" s="224"/>
      <c r="W975" s="216"/>
      <c r="AI975" s="222"/>
      <c r="AV975" s="223"/>
      <c r="AW975" s="223"/>
    </row>
    <row r="976" ht="15.75" customHeight="1">
      <c r="G976" s="212"/>
      <c r="O976" s="224"/>
      <c r="W976" s="216"/>
      <c r="AI976" s="222"/>
      <c r="AV976" s="223"/>
      <c r="AW976" s="223"/>
    </row>
    <row r="977" ht="15.75" customHeight="1">
      <c r="G977" s="212"/>
      <c r="O977" s="224"/>
      <c r="W977" s="216"/>
      <c r="AI977" s="222"/>
      <c r="AV977" s="223"/>
      <c r="AW977" s="223"/>
    </row>
    <row r="978" ht="15.75" customHeight="1">
      <c r="G978" s="212"/>
      <c r="O978" s="224"/>
      <c r="W978" s="216"/>
      <c r="AI978" s="222"/>
      <c r="AV978" s="223"/>
      <c r="AW978" s="223"/>
    </row>
    <row r="979" ht="15.75" customHeight="1">
      <c r="G979" s="212"/>
      <c r="O979" s="224"/>
      <c r="W979" s="216"/>
      <c r="AI979" s="222"/>
      <c r="AV979" s="223"/>
      <c r="AW979" s="223"/>
    </row>
    <row r="980" ht="15.75" customHeight="1">
      <c r="G980" s="212"/>
      <c r="O980" s="224"/>
      <c r="W980" s="216"/>
      <c r="AI980" s="222"/>
      <c r="AV980" s="223"/>
      <c r="AW980" s="223"/>
    </row>
    <row r="981" ht="15.75" customHeight="1">
      <c r="G981" s="212"/>
      <c r="O981" s="224"/>
      <c r="W981" s="216"/>
      <c r="AI981" s="222"/>
      <c r="AV981" s="223"/>
      <c r="AW981" s="223"/>
    </row>
    <row r="982" ht="15.75" customHeight="1">
      <c r="G982" s="212"/>
      <c r="O982" s="224"/>
      <c r="W982" s="216"/>
      <c r="AI982" s="222"/>
      <c r="AV982" s="223"/>
      <c r="AW982" s="223"/>
    </row>
    <row r="983" ht="15.75" customHeight="1">
      <c r="G983" s="212"/>
      <c r="O983" s="224"/>
      <c r="W983" s="216"/>
      <c r="AI983" s="222"/>
      <c r="AV983" s="223"/>
      <c r="AW983" s="223"/>
    </row>
    <row r="984" ht="15.75" customHeight="1">
      <c r="G984" s="212"/>
      <c r="O984" s="224"/>
      <c r="W984" s="216"/>
      <c r="AI984" s="222"/>
      <c r="AV984" s="223"/>
      <c r="AW984" s="223"/>
    </row>
    <row r="985" ht="15.75" customHeight="1">
      <c r="G985" s="212"/>
      <c r="O985" s="224"/>
      <c r="W985" s="216"/>
      <c r="AI985" s="222"/>
      <c r="AV985" s="223"/>
      <c r="AW985" s="223"/>
    </row>
    <row r="986" ht="15.75" customHeight="1">
      <c r="G986" s="212"/>
      <c r="O986" s="224"/>
      <c r="W986" s="216"/>
      <c r="AI986" s="222"/>
      <c r="AV986" s="223"/>
      <c r="AW986" s="223"/>
    </row>
    <row r="987" ht="15.75" customHeight="1">
      <c r="G987" s="212"/>
      <c r="O987" s="224"/>
      <c r="W987" s="216"/>
      <c r="AI987" s="222"/>
      <c r="AV987" s="223"/>
      <c r="AW987" s="223"/>
    </row>
    <row r="988" ht="15.75" customHeight="1">
      <c r="G988" s="212"/>
      <c r="O988" s="224"/>
      <c r="W988" s="216"/>
      <c r="AI988" s="222"/>
      <c r="AV988" s="223"/>
      <c r="AW988" s="223"/>
    </row>
    <row r="989" ht="15.75" customHeight="1">
      <c r="G989" s="212"/>
      <c r="O989" s="224"/>
      <c r="W989" s="216"/>
      <c r="AI989" s="222"/>
      <c r="AV989" s="223"/>
      <c r="AW989" s="223"/>
    </row>
    <row r="990" ht="15.75" customHeight="1">
      <c r="G990" s="212"/>
      <c r="O990" s="224"/>
      <c r="W990" s="216"/>
      <c r="AI990" s="222"/>
      <c r="AV990" s="223"/>
      <c r="AW990" s="223"/>
    </row>
    <row r="991" ht="15.75" customHeight="1">
      <c r="G991" s="212"/>
      <c r="O991" s="224"/>
      <c r="W991" s="216"/>
      <c r="AI991" s="222"/>
      <c r="AV991" s="223"/>
      <c r="AW991" s="223"/>
    </row>
    <row r="992" ht="15.75" customHeight="1">
      <c r="G992" s="212"/>
      <c r="O992" s="224"/>
      <c r="W992" s="216"/>
      <c r="AI992" s="222"/>
      <c r="AV992" s="223"/>
      <c r="AW992" s="223"/>
    </row>
    <row r="993" ht="15.75" customHeight="1">
      <c r="G993" s="212"/>
      <c r="O993" s="224"/>
      <c r="W993" s="216"/>
      <c r="AI993" s="222"/>
      <c r="AV993" s="223"/>
      <c r="AW993" s="223"/>
    </row>
    <row r="994" ht="15.75" customHeight="1">
      <c r="G994" s="212"/>
      <c r="O994" s="224"/>
      <c r="AV994" s="223"/>
      <c r="AW994" s="223"/>
    </row>
    <row r="995" ht="15.75" customHeight="1">
      <c r="G995" s="212"/>
      <c r="O995" s="224"/>
      <c r="AV995" s="223"/>
      <c r="AW995" s="223"/>
    </row>
    <row r="996" ht="15.75" customHeight="1">
      <c r="G996" s="212"/>
      <c r="O996" s="224"/>
      <c r="AV996" s="223"/>
      <c r="AW996" s="223"/>
    </row>
    <row r="997" ht="15.75" customHeight="1">
      <c r="G997" s="212"/>
      <c r="O997" s="224"/>
      <c r="AV997" s="223"/>
      <c r="AW997" s="223"/>
    </row>
    <row r="998" ht="15.75" customHeight="1">
      <c r="G998" s="212"/>
      <c r="O998" s="224"/>
      <c r="AV998" s="223"/>
      <c r="AW998" s="223"/>
    </row>
    <row r="999" ht="15.75" customHeight="1">
      <c r="G999" s="212"/>
      <c r="O999" s="224"/>
      <c r="AV999" s="223"/>
      <c r="AW999" s="223"/>
    </row>
    <row r="1000" ht="15.75" customHeight="1">
      <c r="G1000" s="212"/>
      <c r="O1000" s="224"/>
      <c r="AV1000" s="223"/>
      <c r="AW1000" s="223"/>
    </row>
    <row r="1001" ht="15.75" customHeight="1">
      <c r="G1001" s="212"/>
      <c r="O1001" s="224"/>
      <c r="AV1001" s="223"/>
      <c r="AW1001" s="223"/>
    </row>
    <row r="1002" ht="15.75" customHeight="1">
      <c r="G1002" s="212"/>
      <c r="O1002" s="224"/>
      <c r="AV1002" s="223"/>
      <c r="AW1002" s="223"/>
    </row>
    <row r="1003" ht="15.75" customHeight="1">
      <c r="G1003" s="212"/>
      <c r="O1003" s="224"/>
      <c r="AV1003" s="223"/>
      <c r="AW1003" s="223"/>
    </row>
    <row r="1004" ht="15.75" customHeight="1">
      <c r="G1004" s="212"/>
      <c r="O1004" s="224"/>
      <c r="AV1004" s="223"/>
      <c r="AW1004" s="223"/>
    </row>
    <row r="1005" ht="15.75" customHeight="1">
      <c r="G1005" s="212"/>
      <c r="O1005" s="224"/>
      <c r="AV1005" s="223"/>
      <c r="AW1005" s="223"/>
    </row>
    <row r="1006" ht="15.75" customHeight="1">
      <c r="G1006" s="212"/>
      <c r="O1006" s="224"/>
      <c r="AV1006" s="223"/>
      <c r="AW1006" s="223"/>
    </row>
    <row r="1007" ht="15.75" customHeight="1">
      <c r="G1007" s="212"/>
      <c r="O1007" s="224"/>
      <c r="AV1007" s="223"/>
      <c r="AW1007" s="223"/>
    </row>
    <row r="1008" ht="15.75" customHeight="1">
      <c r="G1008" s="212"/>
      <c r="O1008" s="224"/>
      <c r="AV1008" s="223"/>
      <c r="AW1008" s="223"/>
    </row>
    <row r="1009" ht="15.75" customHeight="1">
      <c r="G1009" s="212"/>
      <c r="O1009" s="224"/>
      <c r="AV1009" s="223"/>
      <c r="AW1009" s="223"/>
    </row>
    <row r="1010" ht="15.75" customHeight="1">
      <c r="G1010" s="212"/>
      <c r="O1010" s="224"/>
      <c r="AV1010" s="223"/>
      <c r="AW1010" s="223"/>
    </row>
    <row r="1011" ht="15.75" customHeight="1">
      <c r="G1011" s="212"/>
      <c r="O1011" s="224"/>
      <c r="AV1011" s="223"/>
      <c r="AW1011" s="223"/>
    </row>
    <row r="1012" ht="15.75" customHeight="1">
      <c r="G1012" s="212"/>
      <c r="O1012" s="224"/>
      <c r="AV1012" s="223"/>
      <c r="AW1012" s="223"/>
    </row>
    <row r="1013" ht="15.75" customHeight="1">
      <c r="G1013" s="212"/>
      <c r="O1013" s="224"/>
      <c r="AV1013" s="223"/>
      <c r="AW1013" s="223"/>
    </row>
    <row r="1014" ht="15.75" customHeight="1">
      <c r="G1014" s="212"/>
      <c r="O1014" s="224"/>
      <c r="AV1014" s="223"/>
      <c r="AW1014" s="223"/>
    </row>
    <row r="1015" ht="15.75" customHeight="1">
      <c r="G1015" s="212"/>
      <c r="O1015" s="224"/>
      <c r="AV1015" s="223"/>
      <c r="AW1015" s="223"/>
    </row>
    <row r="1016" ht="15.75" customHeight="1">
      <c r="G1016" s="212"/>
      <c r="O1016" s="224"/>
      <c r="AV1016" s="223"/>
      <c r="AW1016" s="223"/>
    </row>
    <row r="1017" ht="15.75" customHeight="1">
      <c r="G1017" s="212"/>
      <c r="O1017" s="224"/>
      <c r="AV1017" s="223"/>
      <c r="AW1017" s="223"/>
    </row>
    <row r="1018" ht="15.75" customHeight="1">
      <c r="G1018" s="212"/>
      <c r="O1018" s="224"/>
      <c r="AV1018" s="223"/>
      <c r="AW1018" s="223"/>
    </row>
  </sheetData>
  <autoFilter ref="$A$1:$AX$1018"/>
  <mergeCells count="3">
    <mergeCell ref="AO53:AQ53"/>
    <mergeCell ref="AO54:AQ54"/>
    <mergeCell ref="AO55:AQ55"/>
  </mergeCells>
  <conditionalFormatting sqref="AI1:AI993">
    <cfRule type="notContainsBlanks" dxfId="8" priority="1">
      <formula>LEN(TRIM(AI1))&gt;0</formula>
    </cfRule>
  </conditionalFormatting>
  <conditionalFormatting sqref="A2:AY77">
    <cfRule type="expression" dxfId="5" priority="2">
      <formula>$AW2="Recomendado"</formula>
    </cfRule>
  </conditionalFormatting>
  <conditionalFormatting sqref="A2:AY77">
    <cfRule type="expression" dxfId="9" priority="3">
      <formula>$AW2="Dado de baja"</formula>
    </cfRule>
  </conditionalFormatting>
  <conditionalFormatting sqref="N1:N1018 O9 O11 AV53:AW55">
    <cfRule type="cellIs" dxfId="10" priority="4" operator="equal">
      <formula>"Pendiente"</formula>
    </cfRule>
  </conditionalFormatting>
  <dataValidations>
    <dataValidation type="list" allowBlank="1" showErrorMessage="1" sqref="E2:E52">
      <formula1>'Feriados y Comunas'!$C$2:$C$36</formula1>
    </dataValidation>
    <dataValidation type="list" allowBlank="1" showErrorMessage="1" sqref="AW2:AW51">
      <formula1>"Recomendado,Observado,Dado de baja"</formula1>
    </dataValidation>
  </dataValidations>
  <printOptions/>
  <pageMargins bottom="0.7480314960629921" footer="0.0" header="0.0" left="0.7086614173228347" right="0.7086614173228347" top="0.7480314960629921"/>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8.71"/>
    <col customWidth="1" min="4" max="4" width="12.29"/>
    <col customWidth="1" min="5" max="5" width="15.14"/>
    <col customWidth="1" min="6" max="26" width="10.71"/>
  </cols>
  <sheetData>
    <row r="1">
      <c r="A1" s="1" t="s">
        <v>0</v>
      </c>
      <c r="C1" s="3" t="s">
        <v>2</v>
      </c>
      <c r="D1" s="3" t="s">
        <v>4</v>
      </c>
    </row>
    <row r="2">
      <c r="A2" s="5">
        <v>45292.0</v>
      </c>
      <c r="C2" s="1" t="s">
        <v>6</v>
      </c>
      <c r="D2" s="1" t="s">
        <v>8</v>
      </c>
    </row>
    <row r="3">
      <c r="A3" s="5">
        <v>45380.0</v>
      </c>
      <c r="C3" s="1" t="s">
        <v>9</v>
      </c>
      <c r="D3" s="1" t="s">
        <v>8</v>
      </c>
    </row>
    <row r="4">
      <c r="A4" s="5">
        <v>45413.0</v>
      </c>
      <c r="C4" s="1" t="s">
        <v>11</v>
      </c>
      <c r="D4" s="1" t="s">
        <v>8</v>
      </c>
    </row>
    <row r="5">
      <c r="A5" s="5">
        <v>45433.0</v>
      </c>
      <c r="C5" s="1" t="s">
        <v>12</v>
      </c>
      <c r="D5" s="1" t="s">
        <v>8</v>
      </c>
    </row>
    <row r="6">
      <c r="A6" s="5">
        <v>45463.0</v>
      </c>
      <c r="C6" s="1" t="s">
        <v>14</v>
      </c>
      <c r="D6" s="1" t="s">
        <v>8</v>
      </c>
    </row>
    <row r="7">
      <c r="A7" s="5">
        <v>45489.0</v>
      </c>
      <c r="C7" s="1" t="s">
        <v>16</v>
      </c>
      <c r="D7" s="1" t="s">
        <v>8</v>
      </c>
    </row>
    <row r="8">
      <c r="A8" s="5">
        <v>45519.0</v>
      </c>
      <c r="C8" s="1" t="s">
        <v>18</v>
      </c>
      <c r="D8" s="1" t="s">
        <v>8</v>
      </c>
    </row>
    <row r="9">
      <c r="A9" s="5">
        <v>45553.0</v>
      </c>
      <c r="C9" s="1" t="s">
        <v>20</v>
      </c>
      <c r="D9" s="1" t="s">
        <v>8</v>
      </c>
    </row>
    <row r="10">
      <c r="A10" s="5">
        <v>45554.0</v>
      </c>
      <c r="C10" s="1" t="s">
        <v>22</v>
      </c>
      <c r="D10" s="1" t="s">
        <v>8</v>
      </c>
    </row>
    <row r="11">
      <c r="A11" s="5">
        <v>45579.0</v>
      </c>
      <c r="C11" s="1" t="s">
        <v>24</v>
      </c>
      <c r="D11" s="1" t="s">
        <v>8</v>
      </c>
    </row>
    <row r="12">
      <c r="A12" s="5">
        <v>45596.0</v>
      </c>
      <c r="C12" s="1" t="s">
        <v>26</v>
      </c>
      <c r="D12" s="1" t="s">
        <v>27</v>
      </c>
    </row>
    <row r="13">
      <c r="A13" s="5">
        <v>45597.0</v>
      </c>
      <c r="C13" s="1" t="s">
        <v>28</v>
      </c>
      <c r="D13" s="1" t="s">
        <v>27</v>
      </c>
    </row>
    <row r="14">
      <c r="A14" s="5">
        <v>45651.0</v>
      </c>
      <c r="C14" s="1" t="s">
        <v>30</v>
      </c>
      <c r="D14" s="1" t="s">
        <v>27</v>
      </c>
    </row>
    <row r="15">
      <c r="A15" s="5">
        <v>45658.0</v>
      </c>
      <c r="C15" s="1" t="s">
        <v>31</v>
      </c>
      <c r="D15" s="1" t="s">
        <v>27</v>
      </c>
    </row>
    <row r="16">
      <c r="A16" s="5">
        <v>45765.0</v>
      </c>
      <c r="C16" s="1" t="s">
        <v>32</v>
      </c>
      <c r="D16" s="1" t="s">
        <v>27</v>
      </c>
    </row>
    <row r="17">
      <c r="A17" s="5">
        <v>45778.0</v>
      </c>
      <c r="C17" s="1" t="s">
        <v>36</v>
      </c>
      <c r="D17" s="1" t="s">
        <v>27</v>
      </c>
    </row>
    <row r="18">
      <c r="A18" s="5">
        <v>45798.0</v>
      </c>
      <c r="C18" s="1" t="s">
        <v>39</v>
      </c>
      <c r="D18" s="1" t="s">
        <v>27</v>
      </c>
    </row>
    <row r="19">
      <c r="A19" s="5">
        <v>45828.0</v>
      </c>
      <c r="C19" s="1" t="s">
        <v>41</v>
      </c>
      <c r="D19" s="1" t="s">
        <v>27</v>
      </c>
    </row>
    <row r="20">
      <c r="A20" s="5">
        <v>45854.0</v>
      </c>
      <c r="C20" s="1" t="s">
        <v>43</v>
      </c>
      <c r="D20" s="1" t="s">
        <v>27</v>
      </c>
    </row>
    <row r="21" ht="15.75" customHeight="1">
      <c r="A21" s="5">
        <v>45884.0</v>
      </c>
      <c r="C21" s="1" t="s">
        <v>45</v>
      </c>
      <c r="D21" s="1" t="s">
        <v>27</v>
      </c>
    </row>
    <row r="22" ht="15.75" customHeight="1">
      <c r="A22" s="5">
        <v>45918.0</v>
      </c>
      <c r="C22" s="1" t="s">
        <v>48</v>
      </c>
      <c r="D22" s="1" t="s">
        <v>27</v>
      </c>
    </row>
    <row r="23" ht="15.75" customHeight="1">
      <c r="A23" s="5">
        <v>45919.0</v>
      </c>
      <c r="C23" s="1" t="s">
        <v>51</v>
      </c>
      <c r="D23" s="1" t="s">
        <v>52</v>
      </c>
    </row>
    <row r="24" ht="15.75" customHeight="1">
      <c r="A24" s="5">
        <v>45961.0</v>
      </c>
      <c r="C24" s="1" t="s">
        <v>54</v>
      </c>
      <c r="D24" s="1" t="s">
        <v>52</v>
      </c>
    </row>
    <row r="25" ht="15.75" customHeight="1">
      <c r="A25" s="5">
        <v>45999.0</v>
      </c>
      <c r="C25" s="1" t="s">
        <v>57</v>
      </c>
      <c r="D25" s="1" t="s">
        <v>52</v>
      </c>
    </row>
    <row r="26" ht="15.75" customHeight="1">
      <c r="A26" s="5">
        <v>46016.0</v>
      </c>
      <c r="C26" s="1" t="s">
        <v>61</v>
      </c>
      <c r="D26" s="1" t="s">
        <v>52</v>
      </c>
    </row>
    <row r="27" ht="15.75" customHeight="1">
      <c r="A27" s="5"/>
      <c r="C27" s="1" t="s">
        <v>65</v>
      </c>
      <c r="D27" s="1" t="s">
        <v>52</v>
      </c>
    </row>
    <row r="28" ht="15.75" customHeight="1">
      <c r="A28" s="5"/>
      <c r="C28" s="1" t="s">
        <v>66</v>
      </c>
      <c r="D28" s="1" t="s">
        <v>52</v>
      </c>
    </row>
    <row r="29" ht="15.75" customHeight="1">
      <c r="A29" s="5"/>
      <c r="C29" s="1" t="s">
        <v>67</v>
      </c>
      <c r="D29" s="1" t="s">
        <v>52</v>
      </c>
    </row>
    <row r="30" ht="15.75" customHeight="1">
      <c r="A30" s="5"/>
      <c r="C30" s="1" t="s">
        <v>68</v>
      </c>
      <c r="D30" s="1" t="s">
        <v>52</v>
      </c>
    </row>
    <row r="31" ht="15.75" customHeight="1">
      <c r="A31" s="5"/>
      <c r="C31" s="1" t="s">
        <v>70</v>
      </c>
      <c r="D31" s="1" t="s">
        <v>71</v>
      </c>
    </row>
    <row r="32" ht="15.75" customHeight="1">
      <c r="A32" s="5"/>
      <c r="C32" s="1" t="s">
        <v>72</v>
      </c>
      <c r="D32" s="1" t="s">
        <v>71</v>
      </c>
    </row>
    <row r="33" ht="15.75" customHeight="1">
      <c r="A33" s="5"/>
      <c r="C33" s="1" t="s">
        <v>74</v>
      </c>
      <c r="D33" s="1" t="s">
        <v>71</v>
      </c>
    </row>
    <row r="34" ht="15.75" customHeight="1">
      <c r="A34" s="5"/>
      <c r="C34" s="1" t="s">
        <v>76</v>
      </c>
      <c r="D34" s="1" t="s">
        <v>71</v>
      </c>
    </row>
    <row r="35" ht="15.75" customHeight="1">
      <c r="A35" s="5"/>
      <c r="C35" s="1" t="s">
        <v>77</v>
      </c>
      <c r="D35" s="1" t="s">
        <v>71</v>
      </c>
    </row>
    <row r="36" ht="15.75" customHeight="1">
      <c r="A36" s="5"/>
      <c r="C36" s="1" t="s">
        <v>80</v>
      </c>
      <c r="D36" s="1" t="s">
        <v>81</v>
      </c>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86"/>
    <col customWidth="1" min="3" max="3" width="15.0"/>
    <col customWidth="1" min="4" max="4" width="13.43"/>
    <col customWidth="1" min="5" max="5" width="69.29"/>
    <col customWidth="1" min="6" max="6" width="17.57"/>
    <col customWidth="1" min="7" max="7" width="15.57"/>
    <col customWidth="1" min="8" max="8" width="17.29"/>
    <col customWidth="1" min="9" max="9" width="9.71"/>
    <col customWidth="1" min="10" max="10" width="13.71"/>
    <col customWidth="1" min="11" max="11" width="18.43"/>
    <col customWidth="1" min="12" max="12" width="21.0"/>
    <col customWidth="1" min="13" max="13" width="19.29"/>
    <col customWidth="1" min="14" max="15" width="37.14"/>
    <col customWidth="1" min="16" max="16" width="6.86"/>
  </cols>
  <sheetData>
    <row r="1">
      <c r="C1" s="11"/>
      <c r="D1" s="11"/>
      <c r="E1" s="11"/>
      <c r="F1" s="11"/>
      <c r="G1" s="11"/>
      <c r="H1" s="11"/>
    </row>
    <row r="2" ht="35.25" customHeight="1">
      <c r="A2" s="14"/>
      <c r="B2" s="21" t="s">
        <v>1</v>
      </c>
      <c r="C2" s="23" t="s">
        <v>64</v>
      </c>
      <c r="D2" s="23" t="s">
        <v>69</v>
      </c>
      <c r="E2" s="23" t="s">
        <v>73</v>
      </c>
      <c r="F2" s="23" t="s">
        <v>2</v>
      </c>
      <c r="G2" s="23" t="s">
        <v>79</v>
      </c>
      <c r="H2" s="23" t="s">
        <v>83</v>
      </c>
      <c r="I2" s="27" t="s">
        <v>86</v>
      </c>
      <c r="J2" s="27" t="s">
        <v>87</v>
      </c>
      <c r="K2" s="27" t="s">
        <v>90</v>
      </c>
      <c r="L2" s="32" t="s">
        <v>93</v>
      </c>
      <c r="M2" s="36" t="s">
        <v>96</v>
      </c>
    </row>
    <row r="3" ht="22.5" customHeight="1">
      <c r="A3" s="14"/>
      <c r="B3" s="40">
        <v>1.0</v>
      </c>
      <c r="C3" s="43" t="s">
        <v>101</v>
      </c>
      <c r="D3" s="43">
        <v>4.0079024E7</v>
      </c>
      <c r="E3" s="43" t="s">
        <v>103</v>
      </c>
      <c r="F3" s="40" t="s">
        <v>51</v>
      </c>
      <c r="G3" s="46">
        <v>46252.0</v>
      </c>
      <c r="H3" s="46">
        <v>46253.0</v>
      </c>
      <c r="I3" s="47" t="s">
        <v>104</v>
      </c>
      <c r="J3" s="58">
        <f>WORKDAY(H3, 21, 'Feriados y Comunas'!$A$2:$A$26)</f>
        <v>46282</v>
      </c>
      <c r="K3" s="60" t="str">
        <f t="shared" ref="K3:K26" si="1">IF(TODAY() &gt; J3, "Atrasado", "Ok")</f>
        <v>Atrasado</v>
      </c>
      <c r="L3" s="62" t="s">
        <v>112</v>
      </c>
      <c r="M3" s="65" t="s">
        <v>114</v>
      </c>
      <c r="N3" s="67"/>
      <c r="O3" s="69" t="s">
        <v>116</v>
      </c>
      <c r="P3" s="69" t="s">
        <v>120</v>
      </c>
    </row>
    <row r="4" ht="22.5" customHeight="1">
      <c r="A4" s="14"/>
      <c r="B4" s="40">
        <v>2.0</v>
      </c>
      <c r="C4" s="43" t="s">
        <v>101</v>
      </c>
      <c r="D4" s="43">
        <v>4.0079109E7</v>
      </c>
      <c r="E4" s="43" t="s">
        <v>132</v>
      </c>
      <c r="F4" s="40" t="s">
        <v>51</v>
      </c>
      <c r="G4" s="46">
        <v>46252.0</v>
      </c>
      <c r="H4" s="46">
        <v>46253.0</v>
      </c>
      <c r="I4" s="47" t="s">
        <v>104</v>
      </c>
      <c r="J4" s="58">
        <f>WORKDAY(H4, 21, 'Feriados y Comunas'!$A$2:$A$26)</f>
        <v>46282</v>
      </c>
      <c r="K4" s="60" t="str">
        <f t="shared" si="1"/>
        <v>Atrasado</v>
      </c>
      <c r="L4" s="89" t="s">
        <v>112</v>
      </c>
      <c r="M4" s="65" t="s">
        <v>114</v>
      </c>
      <c r="N4" s="14"/>
      <c r="O4" s="91" t="s">
        <v>138</v>
      </c>
      <c r="P4" s="92">
        <v>11.0</v>
      </c>
    </row>
    <row r="5" ht="22.5" customHeight="1">
      <c r="A5" s="14"/>
      <c r="B5" s="40">
        <v>3.0</v>
      </c>
      <c r="C5" s="43" t="s">
        <v>101</v>
      </c>
      <c r="D5" s="43">
        <v>4.0082408E7</v>
      </c>
      <c r="E5" s="43" t="s">
        <v>144</v>
      </c>
      <c r="F5" s="40" t="s">
        <v>51</v>
      </c>
      <c r="G5" s="46">
        <v>46258.0</v>
      </c>
      <c r="H5" s="46">
        <v>46258.0</v>
      </c>
      <c r="I5" s="47" t="s">
        <v>153</v>
      </c>
      <c r="J5" s="58">
        <f>WORKDAY(H5, 21, 'Feriados y Comunas'!$A$2:$A$26)</f>
        <v>46287</v>
      </c>
      <c r="K5" s="60" t="str">
        <f t="shared" si="1"/>
        <v>Atrasado</v>
      </c>
      <c r="L5" s="89" t="s">
        <v>156</v>
      </c>
      <c r="M5" s="65" t="s">
        <v>160</v>
      </c>
      <c r="N5" s="14"/>
      <c r="O5" s="91" t="s">
        <v>162</v>
      </c>
      <c r="P5" s="92">
        <v>10.0</v>
      </c>
    </row>
    <row r="6" ht="22.5" customHeight="1">
      <c r="A6" s="14"/>
      <c r="B6" s="40">
        <v>4.0</v>
      </c>
      <c r="C6" s="43" t="s">
        <v>173</v>
      </c>
      <c r="D6" s="43">
        <v>4.0081417E7</v>
      </c>
      <c r="E6" s="43" t="s">
        <v>176</v>
      </c>
      <c r="F6" s="40" t="s">
        <v>6</v>
      </c>
      <c r="G6" s="46">
        <v>46261.0</v>
      </c>
      <c r="H6" s="46">
        <v>46261.0</v>
      </c>
      <c r="I6" s="47" t="s">
        <v>104</v>
      </c>
      <c r="J6" s="58">
        <f>WORKDAY(H6, 21, 'Feriados y Comunas'!$A$2:$A$26)</f>
        <v>46290</v>
      </c>
      <c r="K6" s="60" t="str">
        <f t="shared" si="1"/>
        <v>Ok</v>
      </c>
      <c r="L6" s="89" t="s">
        <v>112</v>
      </c>
      <c r="M6" s="65" t="s">
        <v>114</v>
      </c>
      <c r="N6" s="14"/>
      <c r="O6" s="91" t="s">
        <v>184</v>
      </c>
      <c r="P6" s="92">
        <v>10.0</v>
      </c>
    </row>
    <row r="7" ht="22.5" customHeight="1">
      <c r="A7" s="14"/>
      <c r="B7" s="40">
        <v>5.0</v>
      </c>
      <c r="C7" s="43" t="s">
        <v>186</v>
      </c>
      <c r="D7" s="43">
        <v>4.0072916E7</v>
      </c>
      <c r="E7" s="43" t="s">
        <v>187</v>
      </c>
      <c r="F7" s="40" t="s">
        <v>9</v>
      </c>
      <c r="G7" s="46">
        <v>46261.0</v>
      </c>
      <c r="H7" s="46">
        <v>46261.0</v>
      </c>
      <c r="I7" s="47" t="s">
        <v>104</v>
      </c>
      <c r="J7" s="58">
        <f>WORKDAY(H7, 21, 'Feriados y Comunas'!$A$2:$A$26)</f>
        <v>46290</v>
      </c>
      <c r="K7" s="60" t="str">
        <f t="shared" si="1"/>
        <v>Ok</v>
      </c>
      <c r="L7" s="89" t="s">
        <v>197</v>
      </c>
      <c r="M7" s="65" t="s">
        <v>160</v>
      </c>
    </row>
    <row r="8" ht="22.5" customHeight="1">
      <c r="A8" s="14"/>
      <c r="B8" s="40">
        <v>6.0</v>
      </c>
      <c r="C8" s="43" t="s">
        <v>101</v>
      </c>
      <c r="D8" s="43">
        <v>4.0081118E7</v>
      </c>
      <c r="E8" s="43" t="s">
        <v>199</v>
      </c>
      <c r="F8" s="40" t="s">
        <v>45</v>
      </c>
      <c r="G8" s="46">
        <v>46265.0</v>
      </c>
      <c r="H8" s="46">
        <v>46265.0</v>
      </c>
      <c r="I8" s="47" t="s">
        <v>104</v>
      </c>
      <c r="J8" s="58">
        <f>WORKDAY(H8, 21, 'Feriados y Comunas'!$A$2:$A$26)</f>
        <v>46294</v>
      </c>
      <c r="K8" s="60" t="str">
        <f t="shared" si="1"/>
        <v>Ok</v>
      </c>
      <c r="L8" s="89" t="s">
        <v>160</v>
      </c>
      <c r="M8" s="65" t="s">
        <v>160</v>
      </c>
    </row>
    <row r="9" ht="22.5" customHeight="1">
      <c r="A9" s="14"/>
      <c r="B9" s="40">
        <v>7.0</v>
      </c>
      <c r="C9" s="43" t="s">
        <v>101</v>
      </c>
      <c r="D9" s="43">
        <v>4.0079931E7</v>
      </c>
      <c r="E9" s="43" t="s">
        <v>214</v>
      </c>
      <c r="F9" s="40" t="s">
        <v>45</v>
      </c>
      <c r="G9" s="46">
        <v>46253.0</v>
      </c>
      <c r="H9" s="46">
        <v>46267.0</v>
      </c>
      <c r="I9" s="47" t="s">
        <v>104</v>
      </c>
      <c r="J9" s="58">
        <f>WORKDAY(H9, 21, 'Feriados y Comunas'!$A$2:$A$26)</f>
        <v>46296</v>
      </c>
      <c r="K9" s="60" t="str">
        <f t="shared" si="1"/>
        <v>Ok</v>
      </c>
      <c r="L9" s="89" t="s">
        <v>160</v>
      </c>
      <c r="M9" s="65" t="s">
        <v>160</v>
      </c>
    </row>
    <row r="10" ht="22.5" customHeight="1">
      <c r="A10" s="14"/>
      <c r="B10" s="40">
        <v>8.0</v>
      </c>
      <c r="C10" s="43" t="s">
        <v>101</v>
      </c>
      <c r="D10" s="43">
        <v>4.0081119E7</v>
      </c>
      <c r="E10" s="43" t="s">
        <v>230</v>
      </c>
      <c r="F10" s="40" t="s">
        <v>45</v>
      </c>
      <c r="G10" s="46">
        <v>46265.0</v>
      </c>
      <c r="H10" s="46">
        <v>46267.0</v>
      </c>
      <c r="I10" s="47" t="s">
        <v>104</v>
      </c>
      <c r="J10" s="58">
        <f>WORKDAY(H10, 21, 'Feriados y Comunas'!$A$2:$A$26)</f>
        <v>46296</v>
      </c>
      <c r="K10" s="60" t="str">
        <f t="shared" si="1"/>
        <v>Ok</v>
      </c>
      <c r="L10" s="89" t="s">
        <v>160</v>
      </c>
      <c r="M10" s="65" t="s">
        <v>160</v>
      </c>
    </row>
    <row r="11" ht="22.5" customHeight="1">
      <c r="A11" s="14"/>
      <c r="B11" s="40">
        <v>9.0</v>
      </c>
      <c r="C11" s="43" t="s">
        <v>101</v>
      </c>
      <c r="D11" s="43">
        <v>4.0079935E7</v>
      </c>
      <c r="E11" s="43" t="s">
        <v>245</v>
      </c>
      <c r="F11" s="40" t="s">
        <v>45</v>
      </c>
      <c r="G11" s="46">
        <v>46253.0</v>
      </c>
      <c r="H11" s="46">
        <v>46269.0</v>
      </c>
      <c r="I11" s="47" t="s">
        <v>104</v>
      </c>
      <c r="J11" s="58">
        <f>WORKDAY(H11, 21, 'Feriados y Comunas'!$A$2:$A$26)</f>
        <v>46300</v>
      </c>
      <c r="K11" s="60" t="str">
        <f t="shared" si="1"/>
        <v>Ok</v>
      </c>
      <c r="L11" s="89" t="s">
        <v>160</v>
      </c>
      <c r="M11" s="65" t="s">
        <v>160</v>
      </c>
    </row>
    <row r="12" ht="22.5" customHeight="1">
      <c r="A12" s="14"/>
      <c r="B12" s="40">
        <v>10.0</v>
      </c>
      <c r="C12" s="43" t="s">
        <v>257</v>
      </c>
      <c r="D12" s="43">
        <v>4.0079338E7</v>
      </c>
      <c r="E12" s="43" t="s">
        <v>258</v>
      </c>
      <c r="F12" s="40" t="s">
        <v>39</v>
      </c>
      <c r="G12" s="46">
        <v>46272.0</v>
      </c>
      <c r="H12" s="46">
        <v>46273.0</v>
      </c>
      <c r="I12" s="47" t="s">
        <v>104</v>
      </c>
      <c r="J12" s="58">
        <f>WORKDAY(H12, 21, 'Feriados y Comunas'!$A$2:$A$26)</f>
        <v>46302</v>
      </c>
      <c r="K12" s="60" t="str">
        <f t="shared" si="1"/>
        <v>Ok</v>
      </c>
      <c r="L12" s="89" t="s">
        <v>160</v>
      </c>
      <c r="M12" s="65" t="s">
        <v>160</v>
      </c>
    </row>
    <row r="13" ht="22.5" customHeight="1">
      <c r="A13" s="14"/>
      <c r="B13" s="40">
        <v>11.0</v>
      </c>
      <c r="C13" s="43" t="s">
        <v>101</v>
      </c>
      <c r="D13" s="43">
        <v>4.0071279E7</v>
      </c>
      <c r="E13" s="43" t="s">
        <v>274</v>
      </c>
      <c r="F13" s="40" t="s">
        <v>39</v>
      </c>
      <c r="G13" s="46">
        <v>46272.0</v>
      </c>
      <c r="H13" s="46">
        <v>46273.0</v>
      </c>
      <c r="I13" s="47" t="s">
        <v>104</v>
      </c>
      <c r="J13" s="58">
        <f>WORKDAY(H13, 21, 'Feriados y Comunas'!$A$2:$A$26)</f>
        <v>46302</v>
      </c>
      <c r="K13" s="60" t="str">
        <f t="shared" si="1"/>
        <v>Ok</v>
      </c>
      <c r="L13" s="89" t="s">
        <v>160</v>
      </c>
      <c r="M13" s="65" t="s">
        <v>160</v>
      </c>
    </row>
    <row r="14" ht="22.5" customHeight="1">
      <c r="A14" s="14"/>
      <c r="B14" s="40">
        <v>12.0</v>
      </c>
      <c r="C14" s="43" t="s">
        <v>281</v>
      </c>
      <c r="D14" s="43">
        <v>4.0069991E7</v>
      </c>
      <c r="E14" s="43" t="s">
        <v>282</v>
      </c>
      <c r="F14" s="40" t="s">
        <v>22</v>
      </c>
      <c r="G14" s="46">
        <v>46273.0</v>
      </c>
      <c r="H14" s="46">
        <v>46273.0</v>
      </c>
      <c r="I14" s="47" t="s">
        <v>131</v>
      </c>
      <c r="J14" s="58">
        <f>WORKDAY(H14, 10, 'Feriados y Comunas'!$A$2:$A$26)</f>
        <v>46287</v>
      </c>
      <c r="K14" s="60" t="str">
        <f t="shared" si="1"/>
        <v>Atrasado</v>
      </c>
      <c r="L14" s="89" t="s">
        <v>112</v>
      </c>
      <c r="M14" s="65" t="s">
        <v>114</v>
      </c>
    </row>
    <row r="15" ht="22.5" customHeight="1">
      <c r="A15" s="14"/>
      <c r="B15" s="40">
        <v>13.0</v>
      </c>
      <c r="C15" s="43" t="s">
        <v>173</v>
      </c>
      <c r="D15" s="43">
        <v>4.0071282E7</v>
      </c>
      <c r="E15" s="43" t="s">
        <v>293</v>
      </c>
      <c r="F15" s="40" t="s">
        <v>39</v>
      </c>
      <c r="G15" s="46">
        <v>46274.0</v>
      </c>
      <c r="H15" s="46">
        <v>46274.0</v>
      </c>
      <c r="I15" s="47" t="s">
        <v>104</v>
      </c>
      <c r="J15" s="58">
        <f>WORKDAY(H15, 21, 'Feriados y Comunas'!$A$2:$A$26)</f>
        <v>46303</v>
      </c>
      <c r="K15" s="60" t="str">
        <f t="shared" si="1"/>
        <v>Ok</v>
      </c>
      <c r="L15" s="89" t="s">
        <v>160</v>
      </c>
      <c r="M15" s="65" t="s">
        <v>160</v>
      </c>
    </row>
    <row r="16" ht="22.5" customHeight="1">
      <c r="A16" s="14"/>
      <c r="B16" s="40">
        <v>14.0</v>
      </c>
      <c r="C16" s="43" t="s">
        <v>101</v>
      </c>
      <c r="D16" s="43" t="s">
        <v>302</v>
      </c>
      <c r="E16" s="43" t="s">
        <v>303</v>
      </c>
      <c r="F16" s="40" t="s">
        <v>54</v>
      </c>
      <c r="G16" s="46">
        <v>46269.0</v>
      </c>
      <c r="H16" s="46">
        <v>46276.0</v>
      </c>
      <c r="I16" s="47" t="s">
        <v>153</v>
      </c>
      <c r="J16" s="58">
        <f>WORKDAY(H16, 21, 'Feriados y Comunas'!$A$2:$A$26)</f>
        <v>46307</v>
      </c>
      <c r="K16" s="60" t="str">
        <f t="shared" si="1"/>
        <v>Ok</v>
      </c>
      <c r="L16" s="89" t="s">
        <v>156</v>
      </c>
      <c r="M16" s="65" t="s">
        <v>160</v>
      </c>
    </row>
    <row r="17" ht="22.5" customHeight="1">
      <c r="A17" s="14"/>
      <c r="B17" s="40">
        <v>15.0</v>
      </c>
      <c r="C17" s="43" t="s">
        <v>101</v>
      </c>
      <c r="D17" s="43" t="s">
        <v>302</v>
      </c>
      <c r="E17" s="43" t="s">
        <v>315</v>
      </c>
      <c r="F17" s="40" t="s">
        <v>74</v>
      </c>
      <c r="G17" s="46">
        <v>46225.0</v>
      </c>
      <c r="H17" s="46">
        <v>46276.0</v>
      </c>
      <c r="I17" s="47" t="s">
        <v>153</v>
      </c>
      <c r="J17" s="58">
        <f>WORKDAY(H17, 21, 'Feriados y Comunas'!$A$2:$A$26)</f>
        <v>46307</v>
      </c>
      <c r="K17" s="60" t="str">
        <f t="shared" si="1"/>
        <v>Ok</v>
      </c>
      <c r="L17" s="89" t="s">
        <v>156</v>
      </c>
      <c r="M17" s="65" t="s">
        <v>160</v>
      </c>
    </row>
    <row r="18" ht="22.5" customHeight="1">
      <c r="A18" s="14"/>
      <c r="B18" s="40">
        <v>16.0</v>
      </c>
      <c r="C18" s="43" t="s">
        <v>173</v>
      </c>
      <c r="D18" s="43">
        <v>4.0075435E7</v>
      </c>
      <c r="E18" s="43" t="s">
        <v>325</v>
      </c>
      <c r="F18" s="40" t="s">
        <v>11</v>
      </c>
      <c r="G18" s="46">
        <v>46276.0</v>
      </c>
      <c r="H18" s="46">
        <v>46279.0</v>
      </c>
      <c r="I18" s="47" t="s">
        <v>104</v>
      </c>
      <c r="J18" s="58">
        <f>WORKDAY(H18, 21, 'Feriados y Comunas'!$A$2:$A$26)</f>
        <v>46308</v>
      </c>
      <c r="K18" s="60" t="str">
        <f t="shared" si="1"/>
        <v>Ok</v>
      </c>
      <c r="L18" s="89" t="s">
        <v>160</v>
      </c>
      <c r="M18" s="65" t="s">
        <v>160</v>
      </c>
    </row>
    <row r="19" ht="22.5" customHeight="1">
      <c r="A19" s="14"/>
      <c r="B19" s="40">
        <v>17.0</v>
      </c>
      <c r="C19" s="43" t="s">
        <v>101</v>
      </c>
      <c r="D19" s="43">
        <v>4.0079568E7</v>
      </c>
      <c r="E19" s="43" t="s">
        <v>332</v>
      </c>
      <c r="F19" s="40" t="s">
        <v>11</v>
      </c>
      <c r="G19" s="46">
        <v>46276.0</v>
      </c>
      <c r="H19" s="46">
        <v>46279.0</v>
      </c>
      <c r="I19" s="47" t="s">
        <v>104</v>
      </c>
      <c r="J19" s="58">
        <f>WORKDAY(H19, 21, 'Feriados y Comunas'!$A$2:$A$26)</f>
        <v>46308</v>
      </c>
      <c r="K19" s="60" t="str">
        <f t="shared" si="1"/>
        <v>Ok</v>
      </c>
      <c r="L19" s="89" t="s">
        <v>160</v>
      </c>
      <c r="M19" s="65" t="s">
        <v>160</v>
      </c>
    </row>
    <row r="20" ht="22.5" customHeight="1">
      <c r="A20" s="14"/>
      <c r="B20" s="40">
        <v>18.0</v>
      </c>
      <c r="C20" s="43" t="s">
        <v>101</v>
      </c>
      <c r="D20" s="43">
        <v>4.0079128E7</v>
      </c>
      <c r="E20" s="43" t="s">
        <v>339</v>
      </c>
      <c r="F20" s="40" t="s">
        <v>51</v>
      </c>
      <c r="G20" s="46">
        <v>46276.0</v>
      </c>
      <c r="H20" s="46">
        <v>46279.0</v>
      </c>
      <c r="I20" s="47" t="s">
        <v>104</v>
      </c>
      <c r="J20" s="58">
        <f>WORKDAY(H20, 21, 'Feriados y Comunas'!$A$2:$A$26)</f>
        <v>46308</v>
      </c>
      <c r="K20" s="60" t="str">
        <f t="shared" si="1"/>
        <v>Ok</v>
      </c>
      <c r="L20" s="89" t="s">
        <v>160</v>
      </c>
      <c r="M20" s="65" t="s">
        <v>160</v>
      </c>
    </row>
    <row r="21" ht="22.5" customHeight="1">
      <c r="B21" s="40">
        <v>19.0</v>
      </c>
      <c r="C21" s="43" t="s">
        <v>101</v>
      </c>
      <c r="D21" s="43"/>
      <c r="E21" s="43" t="s">
        <v>345</v>
      </c>
      <c r="F21" s="40" t="s">
        <v>54</v>
      </c>
      <c r="G21" s="46">
        <v>46281.0</v>
      </c>
      <c r="H21" s="46">
        <v>46281.0</v>
      </c>
      <c r="I21" s="47" t="s">
        <v>104</v>
      </c>
      <c r="J21" s="58">
        <f>WORKDAY(H21, 21, 'Feriados y Comunas'!$A$2:$A$26)</f>
        <v>46310</v>
      </c>
      <c r="K21" s="60" t="str">
        <f t="shared" si="1"/>
        <v>Ok</v>
      </c>
      <c r="L21" s="89" t="s">
        <v>160</v>
      </c>
      <c r="M21" s="65" t="s">
        <v>160</v>
      </c>
    </row>
    <row r="22" ht="22.5" customHeight="1">
      <c r="B22" s="169">
        <v>20.0</v>
      </c>
      <c r="C22" s="170" t="s">
        <v>101</v>
      </c>
      <c r="D22" s="171">
        <v>4.0075706E7</v>
      </c>
      <c r="E22" s="172" t="s">
        <v>348</v>
      </c>
      <c r="F22" s="169" t="s">
        <v>54</v>
      </c>
      <c r="G22" s="46">
        <v>46281.0</v>
      </c>
      <c r="H22" s="46">
        <v>46281.0</v>
      </c>
      <c r="I22" s="173" t="s">
        <v>104</v>
      </c>
      <c r="J22" s="174">
        <f>WORKDAY(H22, 21, 'Feriados y Comunas'!$A$2:$A$26)</f>
        <v>46310</v>
      </c>
      <c r="K22" s="175" t="str">
        <f t="shared" si="1"/>
        <v>Ok</v>
      </c>
      <c r="L22" s="176" t="s">
        <v>160</v>
      </c>
      <c r="M22" s="65" t="s">
        <v>160</v>
      </c>
    </row>
    <row r="23" ht="22.5" customHeight="1">
      <c r="B23" s="40">
        <v>21.0</v>
      </c>
      <c r="C23" s="170" t="s">
        <v>101</v>
      </c>
      <c r="D23" s="171">
        <v>4.0079222E7</v>
      </c>
      <c r="E23" s="172" t="s">
        <v>352</v>
      </c>
      <c r="F23" s="169" t="s">
        <v>51</v>
      </c>
      <c r="G23" s="46">
        <v>46279.0</v>
      </c>
      <c r="H23" s="46">
        <v>46286.0</v>
      </c>
      <c r="I23" s="169" t="s">
        <v>104</v>
      </c>
      <c r="J23" s="174">
        <f>WORKDAY(H23, 21, 'Feriados y Comunas'!$A$2:$A$26)</f>
        <v>46315</v>
      </c>
      <c r="K23" s="175" t="str">
        <f t="shared" si="1"/>
        <v>Ok</v>
      </c>
      <c r="L23" s="176" t="s">
        <v>160</v>
      </c>
      <c r="M23" s="65" t="s">
        <v>160</v>
      </c>
    </row>
    <row r="24" ht="22.5" customHeight="1">
      <c r="B24" s="40">
        <v>22.0</v>
      </c>
      <c r="C24" s="170" t="s">
        <v>101</v>
      </c>
      <c r="D24" s="171">
        <v>4.0080823E7</v>
      </c>
      <c r="E24" s="172" t="s">
        <v>358</v>
      </c>
      <c r="F24" s="169" t="s">
        <v>18</v>
      </c>
      <c r="G24" s="181">
        <v>46286.0</v>
      </c>
      <c r="H24" s="181">
        <v>46287.0</v>
      </c>
      <c r="I24" s="169" t="s">
        <v>153</v>
      </c>
      <c r="J24" s="174">
        <f>WORKDAY(H24, 21, 'Feriados y Comunas'!$A$2:$A$26)</f>
        <v>46316</v>
      </c>
      <c r="K24" s="175" t="str">
        <f t="shared" si="1"/>
        <v>Ok</v>
      </c>
      <c r="L24" s="176" t="s">
        <v>160</v>
      </c>
      <c r="M24" s="65" t="s">
        <v>160</v>
      </c>
    </row>
    <row r="25" ht="22.5" customHeight="1">
      <c r="B25" s="169">
        <v>23.0</v>
      </c>
      <c r="C25" s="185" t="s">
        <v>375</v>
      </c>
      <c r="D25" s="171">
        <v>4.0075003E7</v>
      </c>
      <c r="E25" s="172" t="s">
        <v>380</v>
      </c>
      <c r="F25" s="169" t="s">
        <v>18</v>
      </c>
      <c r="G25" s="181">
        <v>46288.0</v>
      </c>
      <c r="H25" s="181">
        <v>46288.0</v>
      </c>
      <c r="I25" s="169" t="s">
        <v>104</v>
      </c>
      <c r="J25" s="174">
        <f>WORKDAY(H25, 21, 'Feriados y Comunas'!$A$2:$A$26)</f>
        <v>46317</v>
      </c>
      <c r="K25" s="175" t="str">
        <f t="shared" si="1"/>
        <v>Ok</v>
      </c>
      <c r="L25" s="176" t="s">
        <v>160</v>
      </c>
      <c r="M25" s="65" t="s">
        <v>160</v>
      </c>
    </row>
    <row r="26" ht="22.5" customHeight="1">
      <c r="B26" s="169">
        <v>23.0</v>
      </c>
      <c r="C26" s="185" t="s">
        <v>281</v>
      </c>
      <c r="D26" s="171">
        <v>4.0075634E7</v>
      </c>
      <c r="E26" s="172" t="s">
        <v>388</v>
      </c>
      <c r="F26" s="169" t="s">
        <v>18</v>
      </c>
      <c r="G26" s="181">
        <v>46289.0</v>
      </c>
      <c r="H26" s="181">
        <v>46289.0</v>
      </c>
      <c r="I26" s="169" t="s">
        <v>104</v>
      </c>
      <c r="J26" s="174">
        <f>WORKDAY(H26, 10, 'Feriados y Comunas'!$A$2:$A$26)</f>
        <v>46303</v>
      </c>
      <c r="K26" s="175" t="str">
        <f t="shared" si="1"/>
        <v>Ok</v>
      </c>
      <c r="L26" s="191" t="s">
        <v>160</v>
      </c>
      <c r="M26" s="192" t="s">
        <v>160</v>
      </c>
    </row>
    <row r="28">
      <c r="C28" s="194"/>
    </row>
    <row r="29">
      <c r="C29" s="194">
        <f>COUNTIF(Ingresos[Estado],"Nuevo")</f>
        <v>16</v>
      </c>
      <c r="D29" s="196" t="s">
        <v>101</v>
      </c>
      <c r="K29" s="197" t="s">
        <v>160</v>
      </c>
      <c r="L29" s="199">
        <f>COUNTIF(Ingresos[Estado Revisión], "Pendiente")</f>
        <v>16</v>
      </c>
    </row>
    <row r="30">
      <c r="C30" s="194">
        <f>COUNTIF(Ingresos[Estado],"Ev")</f>
        <v>0</v>
      </c>
      <c r="D30" s="92" t="s">
        <v>411</v>
      </c>
      <c r="K30" s="197" t="s">
        <v>112</v>
      </c>
      <c r="L30" s="199">
        <f>COUNTIF(Ingresos[Estado Revisión], "Ok")</f>
        <v>4</v>
      </c>
    </row>
    <row r="31">
      <c r="C31" s="194">
        <f>COUNTIF(Ingresos[Estado],"Reevaluación")</f>
        <v>2</v>
      </c>
      <c r="D31" s="200" t="s">
        <v>281</v>
      </c>
      <c r="K31" s="197" t="s">
        <v>156</v>
      </c>
      <c r="L31" s="199">
        <f>COUNTIF(Ingresos[Estado Revisión], "Sin prioridad")</f>
        <v>3</v>
      </c>
    </row>
    <row r="32">
      <c r="K32" s="194"/>
      <c r="L32" s="201">
        <f>SUM(L29:L31)</f>
        <v>23</v>
      </c>
    </row>
    <row r="33">
      <c r="K33" s="194"/>
    </row>
  </sheetData>
  <conditionalFormatting sqref="C3:C50 D29:D31">
    <cfRule type="cellIs" dxfId="5" priority="1" operator="equal">
      <formula>"Nuevo"</formula>
    </cfRule>
  </conditionalFormatting>
  <conditionalFormatting sqref="C3:C50 D29:D31">
    <cfRule type="cellIs" dxfId="6" priority="2" operator="equal">
      <formula>"Reevaluación"</formula>
    </cfRule>
  </conditionalFormatting>
  <conditionalFormatting sqref="I1:I1000">
    <cfRule type="cellIs" dxfId="7" priority="3" operator="equal">
      <formula>"No"</formula>
    </cfRule>
  </conditionalFormatting>
  <conditionalFormatting sqref="K3:K28 K32:K50">
    <cfRule type="cellIs" dxfId="7" priority="4" operator="equal">
      <formula>"Atrasado"</formula>
    </cfRule>
  </conditionalFormatting>
  <conditionalFormatting sqref="K3:K28 K32:K50">
    <cfRule type="cellIs" dxfId="5" priority="5" operator="equal">
      <formula>"Ok"</formula>
    </cfRule>
  </conditionalFormatting>
  <dataValidations>
    <dataValidation type="list" allowBlank="1" sqref="M3:M26">
      <formula1>"Recomendado,Observado,Rechazado,Pendiente"</formula1>
    </dataValidation>
    <dataValidation type="list" allowBlank="1" sqref="K29:K31">
      <formula1>"En revisión,Pendiente,Sin prioridad,Ok"</formula1>
    </dataValidation>
    <dataValidation type="custom" allowBlank="1" showDropDown="1" sqref="G3:H26">
      <formula1>OR(NOT(ISERROR(DATEVALUE(G3))), AND(ISNUMBER(G3), LEFT(CELL("format", G3))="D"))</formula1>
    </dataValidation>
    <dataValidation type="list" allowBlank="1" sqref="L3:L26">
      <formula1>"En revisión,Pendiente,Sin prioridad,Ok"</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2023-01-03T15:01:54Z</dcterms:created>
  <dc:creator>Haroldt Solervicens Pino</dc:creator>
</cp:coreProperties>
</file>