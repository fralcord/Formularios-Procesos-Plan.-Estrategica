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is Archivos\Admisibilidad\Admisibilidad 2026\"/>
    </mc:Choice>
  </mc:AlternateContent>
  <bookViews>
    <workbookView xWindow="0" yWindow="0" windowWidth="28800" windowHeight="10500"/>
  </bookViews>
  <sheets>
    <sheet name="2026" sheetId="1" r:id="rId1"/>
    <sheet name="Feriados y Comunas" sheetId="2" r:id="rId2"/>
  </sheets>
  <definedNames>
    <definedName name="_xlnm._FilterDatabase" localSheetId="0" hidden="1">'2026'!$A$1:$AW$115</definedName>
  </definedNames>
  <calcPr calcId="162913"/>
  <extLst>
    <ext uri="GoogleSheetsCustomDataVersion2">
      <go:sheetsCustomData xmlns:go="http://customooxmlschemas.google.com/" r:id="rId6" roundtripDataChecksum="mw4ujLIcPOzkQ65yeNNoXhVO91vFusDiNB738Zn3n00="/>
    </ext>
  </extLst>
</workbook>
</file>

<file path=xl/calcChain.xml><?xml version="1.0" encoding="utf-8"?>
<calcChain xmlns="http://schemas.openxmlformats.org/spreadsheetml/2006/main">
  <c r="AB81" i="1" l="1"/>
  <c r="R79" i="1"/>
  <c r="R80" i="1"/>
  <c r="R81" i="1"/>
  <c r="R77" i="1"/>
  <c r="AB41" i="1" l="1"/>
  <c r="R41" i="1"/>
  <c r="AB80" i="1" l="1"/>
  <c r="AB79" i="1"/>
  <c r="AB78" i="1"/>
  <c r="AB77" i="1"/>
  <c r="R78" i="1"/>
  <c r="AB39" i="1" l="1"/>
  <c r="AB76" i="1" l="1"/>
  <c r="R76" i="1"/>
  <c r="M164" i="1" l="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AB75" i="1"/>
  <c r="R75" i="1"/>
  <c r="F75" i="1"/>
  <c r="AB40" i="1"/>
  <c r="AB42" i="1"/>
  <c r="R42" i="1"/>
  <c r="F42" i="1"/>
  <c r="AB74" i="1"/>
  <c r="R74" i="1"/>
  <c r="F74" i="1"/>
  <c r="AB45" i="1"/>
  <c r="R45" i="1"/>
  <c r="F45" i="1"/>
  <c r="AB73" i="1"/>
  <c r="R73" i="1"/>
  <c r="F73" i="1"/>
  <c r="AB72" i="1"/>
  <c r="R72" i="1"/>
  <c r="F72" i="1"/>
  <c r="AB46" i="1"/>
  <c r="R46" i="1"/>
  <c r="F46" i="1"/>
  <c r="AB71" i="1"/>
  <c r="R71" i="1"/>
  <c r="F71" i="1"/>
  <c r="AB70" i="1"/>
  <c r="R70" i="1"/>
  <c r="F70" i="1"/>
  <c r="AB38" i="1"/>
  <c r="R38" i="1"/>
  <c r="F38" i="1"/>
  <c r="AB69" i="1"/>
  <c r="R69" i="1"/>
  <c r="F69" i="1"/>
  <c r="AB68" i="1"/>
  <c r="R68" i="1"/>
  <c r="F68" i="1"/>
  <c r="AB43" i="1"/>
  <c r="R43" i="1"/>
  <c r="F43" i="1"/>
  <c r="AB67" i="1"/>
  <c r="R67" i="1"/>
  <c r="F67" i="1"/>
  <c r="AB66" i="1"/>
  <c r="R66" i="1"/>
  <c r="F66" i="1"/>
  <c r="AB65" i="1"/>
  <c r="R65" i="1"/>
  <c r="F65" i="1"/>
  <c r="AB64" i="1"/>
  <c r="F64" i="1"/>
  <c r="AB63" i="1"/>
  <c r="R63" i="1"/>
  <c r="F63" i="1"/>
  <c r="AB62" i="1"/>
  <c r="R62" i="1"/>
  <c r="F62" i="1"/>
  <c r="AB61" i="1"/>
  <c r="AB60" i="1"/>
  <c r="R60" i="1"/>
  <c r="F60" i="1"/>
  <c r="R39" i="1"/>
  <c r="F39" i="1"/>
  <c r="AB59" i="1"/>
  <c r="R59" i="1"/>
  <c r="F59" i="1"/>
  <c r="AB58" i="1"/>
  <c r="R58" i="1"/>
  <c r="F58" i="1"/>
  <c r="AB57" i="1"/>
  <c r="R57" i="1"/>
  <c r="F57" i="1"/>
  <c r="AB56" i="1"/>
  <c r="R56" i="1"/>
  <c r="F56" i="1"/>
  <c r="AB44" i="1"/>
  <c r="R44" i="1"/>
  <c r="F44" i="1"/>
  <c r="AB55" i="1"/>
  <c r="R55" i="1"/>
  <c r="F55" i="1"/>
  <c r="AB54" i="1"/>
  <c r="R54" i="1"/>
  <c r="F54" i="1"/>
  <c r="AB53" i="1"/>
  <c r="R53" i="1"/>
  <c r="F53" i="1"/>
  <c r="AB52" i="1"/>
  <c r="R52" i="1"/>
  <c r="F52" i="1"/>
  <c r="AB51" i="1"/>
  <c r="R51" i="1"/>
  <c r="F51" i="1"/>
  <c r="AB50" i="1"/>
  <c r="R50" i="1"/>
  <c r="F50" i="1"/>
  <c r="AB49" i="1"/>
  <c r="R49" i="1"/>
  <c r="F49" i="1"/>
  <c r="AB48" i="1"/>
  <c r="R48" i="1"/>
  <c r="F48" i="1"/>
  <c r="AB47" i="1"/>
  <c r="R47" i="1"/>
  <c r="F47" i="1"/>
  <c r="AB37" i="1"/>
  <c r="R37" i="1"/>
  <c r="F37" i="1"/>
  <c r="AB36" i="1"/>
  <c r="R36" i="1"/>
  <c r="F36" i="1"/>
  <c r="AB35" i="1"/>
  <c r="R35" i="1"/>
  <c r="F35" i="1"/>
  <c r="AB34" i="1"/>
  <c r="R34" i="1"/>
  <c r="F34" i="1"/>
  <c r="AB33" i="1"/>
  <c r="R33" i="1"/>
  <c r="F33" i="1"/>
  <c r="AB32" i="1"/>
  <c r="R32" i="1"/>
  <c r="F32" i="1"/>
  <c r="AB31" i="1"/>
  <c r="R31" i="1"/>
  <c r="F31" i="1"/>
  <c r="AB30" i="1"/>
  <c r="R30" i="1"/>
  <c r="F30" i="1"/>
  <c r="AB29" i="1"/>
  <c r="R29" i="1"/>
  <c r="F29" i="1"/>
  <c r="AB28" i="1"/>
  <c r="R28" i="1"/>
  <c r="F28" i="1"/>
  <c r="AB27" i="1"/>
  <c r="R27" i="1"/>
  <c r="F27" i="1"/>
  <c r="AB26" i="1"/>
  <c r="R26" i="1"/>
  <c r="F26" i="1"/>
  <c r="AB25" i="1"/>
  <c r="R25" i="1"/>
  <c r="F25" i="1"/>
  <c r="AB24" i="1"/>
  <c r="R24" i="1"/>
  <c r="F24" i="1"/>
  <c r="AB23" i="1"/>
  <c r="R23" i="1"/>
  <c r="F23" i="1"/>
  <c r="AB22" i="1"/>
  <c r="F22" i="1"/>
  <c r="AB21" i="1"/>
  <c r="AB20" i="1"/>
  <c r="R20" i="1"/>
  <c r="F20" i="1"/>
  <c r="AB19" i="1"/>
  <c r="R19" i="1"/>
  <c r="F19" i="1"/>
  <c r="AB18" i="1"/>
  <c r="R18" i="1"/>
  <c r="F18" i="1"/>
  <c r="AB17" i="1"/>
  <c r="R17" i="1"/>
  <c r="AB16" i="1"/>
  <c r="F16" i="1"/>
  <c r="AB15" i="1"/>
  <c r="R15" i="1"/>
  <c r="F15" i="1"/>
  <c r="AB14" i="1"/>
  <c r="R14" i="1"/>
  <c r="F14" i="1"/>
  <c r="AB13" i="1"/>
  <c r="F13" i="1"/>
  <c r="AB12" i="1"/>
  <c r="R12" i="1"/>
  <c r="F12" i="1"/>
  <c r="AB11" i="1"/>
  <c r="R11" i="1"/>
  <c r="F11" i="1"/>
  <c r="AB10" i="1"/>
  <c r="R10" i="1"/>
  <c r="F10" i="1"/>
  <c r="AB9" i="1"/>
  <c r="R9" i="1"/>
  <c r="F9" i="1"/>
  <c r="AB8" i="1"/>
  <c r="R8" i="1"/>
  <c r="F8" i="1"/>
  <c r="AB7" i="1"/>
  <c r="R7" i="1"/>
  <c r="F7" i="1"/>
  <c r="AB6" i="1"/>
  <c r="AB5" i="1"/>
  <c r="AB4" i="1"/>
  <c r="AB3"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B2" i="1"/>
</calcChain>
</file>

<file path=xl/sharedStrings.xml><?xml version="1.0" encoding="utf-8"?>
<sst xmlns="http://schemas.openxmlformats.org/spreadsheetml/2006/main" count="1197" uniqueCount="457">
  <si>
    <t>Feriados</t>
  </si>
  <si>
    <t>Comuna</t>
  </si>
  <si>
    <t>PROVINCIA</t>
  </si>
  <si>
    <t>Puerto Montt</t>
  </si>
  <si>
    <t>Código</t>
  </si>
  <si>
    <t>LLANQUIHUE</t>
  </si>
  <si>
    <t>Puerto Varas</t>
  </si>
  <si>
    <t>Nombre</t>
  </si>
  <si>
    <t>Cochamó</t>
  </si>
  <si>
    <t>Calbuco</t>
  </si>
  <si>
    <t>Maullín</t>
  </si>
  <si>
    <t>Provincia</t>
  </si>
  <si>
    <t>Los Muermos</t>
  </si>
  <si>
    <t>Fresia</t>
  </si>
  <si>
    <t>Ingreso Of. Partes</t>
  </si>
  <si>
    <t>Monto M$</t>
  </si>
  <si>
    <t>Llanquihue</t>
  </si>
  <si>
    <t>Frutillar</t>
  </si>
  <si>
    <t>Etapa</t>
  </si>
  <si>
    <t>Prov. Llanquihue</t>
  </si>
  <si>
    <t>Proceso</t>
  </si>
  <si>
    <t>Sector</t>
  </si>
  <si>
    <t>Observaciones</t>
  </si>
  <si>
    <t>Ancud</t>
  </si>
  <si>
    <t>CHILOÉ</t>
  </si>
  <si>
    <t>Objetivo del Pladeco</t>
  </si>
  <si>
    <t>Lineamiento ERD</t>
  </si>
  <si>
    <t>Castro</t>
  </si>
  <si>
    <t>Plan del Gobernador</t>
  </si>
  <si>
    <t>H</t>
  </si>
  <si>
    <t>Quellón</t>
  </si>
  <si>
    <t>Chonchi</t>
  </si>
  <si>
    <t>M</t>
  </si>
  <si>
    <t>Quinchao</t>
  </si>
  <si>
    <t>Quemchi</t>
  </si>
  <si>
    <t>TOT</t>
  </si>
  <si>
    <t>Dalcahue</t>
  </si>
  <si>
    <t>Queilén</t>
  </si>
  <si>
    <t>Puqueldón</t>
  </si>
  <si>
    <t>Curaco de Vélez</t>
  </si>
  <si>
    <t>Unidad Tecnica</t>
  </si>
  <si>
    <t>Prov. Chiloé</t>
  </si>
  <si>
    <t>Osorno</t>
  </si>
  <si>
    <t>Formulador Proyecto</t>
  </si>
  <si>
    <t>OSORNO</t>
  </si>
  <si>
    <t>ORD. Ingreso N°</t>
  </si>
  <si>
    <t>San Pablo</t>
  </si>
  <si>
    <t>Fecha Ord.</t>
  </si>
  <si>
    <t>Puyehue</t>
  </si>
  <si>
    <t>N° Exped.</t>
  </si>
  <si>
    <t>Puerto Octay</t>
  </si>
  <si>
    <t>Purranque</t>
  </si>
  <si>
    <t>Ingreso Of. Planificación</t>
  </si>
  <si>
    <t>Fecha Derivado a Evaluador</t>
  </si>
  <si>
    <t>Río Negro</t>
  </si>
  <si>
    <t>Plazo evaluación</t>
  </si>
  <si>
    <t>San Juan de la Costa</t>
  </si>
  <si>
    <t>Prov. Osorno</t>
  </si>
  <si>
    <t>Palena</t>
  </si>
  <si>
    <t>Derivado Unidad Técnica Evaluadora</t>
  </si>
  <si>
    <t>PALENA</t>
  </si>
  <si>
    <t>Fecha Derivación</t>
  </si>
  <si>
    <t>Reingreso Depto. Planif.</t>
  </si>
  <si>
    <t>Chaitén</t>
  </si>
  <si>
    <t>Fecha Evaluación</t>
  </si>
  <si>
    <t>Hualaihué</t>
  </si>
  <si>
    <t>observaciones Ord. Gore N°</t>
  </si>
  <si>
    <t>Futaleufú</t>
  </si>
  <si>
    <t xml:space="preserve">Fecha  Ord. </t>
  </si>
  <si>
    <t>Prov. Palena</t>
  </si>
  <si>
    <t>Regional</t>
  </si>
  <si>
    <t>Fecha Ficha Evaluación</t>
  </si>
  <si>
    <t>REGIONAL</t>
  </si>
  <si>
    <t>Informa</t>
  </si>
  <si>
    <t>Ord.Resp. Obs.</t>
  </si>
  <si>
    <t>N° EXP.</t>
  </si>
  <si>
    <t>Ingreso Oficina</t>
  </si>
  <si>
    <t>ORD. GORE  Observaciones</t>
  </si>
  <si>
    <t xml:space="preserve">Fecha Ord. </t>
  </si>
  <si>
    <t>Ord. a MDSF</t>
  </si>
  <si>
    <t>Fecha ORD.</t>
  </si>
  <si>
    <t>Estado Proyecto SEGÚN Haroldt</t>
  </si>
  <si>
    <t>Dentro de 15 días</t>
  </si>
  <si>
    <t>Reposición con Relocalización Centro Rehabilitación Chiloé, Ancud</t>
  </si>
  <si>
    <t>Diseño</t>
  </si>
  <si>
    <t>Salud</t>
  </si>
  <si>
    <t>Ok - Oficio 3289 15-12-25</t>
  </si>
  <si>
    <t>Se encuentra dentro de los de la ERD en 
- lineamientos: Conectividad y Movilidad Regional Sustentable.
- Ítem Conectividad insular y de lugares aislados.
- Obj.: Disminuir el déficit de infraestructura de conectividad para territorios insulares y aislados de la región.</t>
  </si>
  <si>
    <t xml:space="preserve">Se enlaza con el Programa Regional del Gobernador en el
- Pilar:  2. Desarrollo Económico Sostenible: una Alianza Público-Privada.
- Letra: c) Inversiones en Infraestructura: Mejorar la conectividad y la infraestructura regional para atraer inversiones y generar empleo. 
</t>
  </si>
  <si>
    <t>Municipalidad Castro</t>
  </si>
  <si>
    <t>RECOMENDADO</t>
  </si>
  <si>
    <t>OK</t>
  </si>
  <si>
    <t>Reposición Bodega y Galpon Municipal</t>
  </si>
  <si>
    <t>Ejecucion</t>
  </si>
  <si>
    <t>MultiSectorial</t>
  </si>
  <si>
    <t>Ok - Oficio 1017 23-05-25</t>
  </si>
  <si>
    <t>La iniciativa se orienta dentro de la ERD en el,
- Lineamiento: Conectividad y Movilidad Regional Sustentable.
- Ítem: Conectividad Insular y Lugares Aislados.
- Objetivo: Disminuir el déficit de infraestructura de conectividad para territorios aislados de la región. 
- Actividad: Plan de infraestructura de conectividad para territorios aislados.</t>
  </si>
  <si>
    <t xml:space="preserve">Se enlaza con el Programa Regional del Gobernador 
- Pilar: 6. Gobernanza y Participación Ciudadana.
- Letra: c) Modernización Administrativa: Digitalizar los trámites y servicios administrativos para hacerlos más eficientes y accesibles.
</t>
  </si>
  <si>
    <t>Municipalidad Palena</t>
  </si>
  <si>
    <t>113293/2025</t>
  </si>
  <si>
    <t>OBSERVADO</t>
  </si>
  <si>
    <t>Reposición Estadio Municipal</t>
  </si>
  <si>
    <t>Ejecución</t>
  </si>
  <si>
    <t>Deporte</t>
  </si>
  <si>
    <t>Ok - Oficio 064 12-01-26</t>
  </si>
  <si>
    <t xml:space="preserve">La iniciativa se orienta dentro de la ERD en el:
- Lineamiento: Bienestar Socio Territorial.
- Ítem: Espacios y Equipamiento Público
- Objetivo: Aumentar el Nro. De espacios polideportivos en la región con criterios de genero e inclusividad.
- Actividad: No hay.
</t>
  </si>
  <si>
    <t xml:space="preserve">Se enlaza con el Programa Regional del Gobernador:
- Pilar 3. Inclusión Social y Mejoramiento de la Calidad de Vida.
- Letra c) Programas de Apoyo Social: Desarrollar iniciativas para apoyar a los sectores más vulnerables de nuestra comunidad.
</t>
  </si>
  <si>
    <t>Municipalidad Quellón</t>
  </si>
  <si>
    <t>1500
2934</t>
  </si>
  <si>
    <t>30-06-2025
04-11-2025</t>
  </si>
  <si>
    <t>27-06-2025
30-10-2025</t>
  </si>
  <si>
    <t>1500                      2934</t>
  </si>
  <si>
    <t>30-06-2025                            04-11-2025</t>
  </si>
  <si>
    <t>Reposición Reten San Juan de la Costa</t>
  </si>
  <si>
    <t>San Juan de La Costa</t>
  </si>
  <si>
    <t>Seguridad</t>
  </si>
  <si>
    <t>Ok - Oficio 275 06-02-26</t>
  </si>
  <si>
    <t xml:space="preserve">Se encuentra dentro de los lineamientos de la ERD en 
- Lineamiento: Bienestar Socio Territorial.
- Ítem: Espacios y Equipamiento Público.
- Obj.: Reducir el numero de delitos de mayor connotación social en la región.
- Actividad: 
</t>
  </si>
  <si>
    <t xml:space="preserve">Se enlaza con el Programa Regional del Gobernador en el 
-Pilar: 1.Políticas Públicas en Materia de Seguridad Ciudadana
-Letra: a)Fortalecimiento de las Fuerzas de Seguridad: Incrementar la presencia policial en las comunidades, disponiendo los recursos necesarios para dotarlas de mejor equipamiento y formación.
</t>
  </si>
  <si>
    <t>MOP - DA</t>
  </si>
  <si>
    <t>Carabineros de Chile</t>
  </si>
  <si>
    <t>Analisis Alternativas de Abastecimiento de Agua Potable en Zonas de Rezago</t>
  </si>
  <si>
    <t>Recursos Hidricos</t>
  </si>
  <si>
    <t>Ok - Oficio 280 06-02-26</t>
  </si>
  <si>
    <t xml:space="preserve">Se encuentra dentro de los lineamientos de la ERD en 
Lineamiento: Bienestar Socio Territorial.
Ítem: Servicio Básicos. 
Obj.: Ampliar red de alcantarillado para dar soluciones sustentables a la población en la región.
Actividad: Plan Construcción y Mejoramiento de infraestructura de agua potable y alcantarillado urbano y rural.
</t>
  </si>
  <si>
    <t xml:space="preserve">Se enlaza con el Programa Regional del Gobernador en el lineamiento «Crear Condiciones Para Dar Acceso Al Agua - Plan Integral De Recursos Hídricos».
</t>
  </si>
  <si>
    <t>Gobierno Regional de Los Lagos</t>
  </si>
  <si>
    <t>Construcción Gimnasio Escuela Mirasol</t>
  </si>
  <si>
    <t>Educación</t>
  </si>
  <si>
    <t>Ok - Oficio 281 06-02-26</t>
  </si>
  <si>
    <t xml:space="preserve">Se encuentra dentro de los lineamientos de la ERD en lineamiento Bienestar Socio Territorial, Ítem Educación, (Obj. Aumentar la cobertura territorial a los establecimientos de educación publica en los territorios rurales de la región).
</t>
  </si>
  <si>
    <t xml:space="preserve">Se enlaza con el Programa Regional del Gobernador en el lineamiento “Priorización de Inversiones Sectoriales y del FNDR para Nuevos Desafíos”, Acción “Proyectos que aporten a la equidad territorial”.
</t>
  </si>
  <si>
    <t>Municipalidad Puerto Montt</t>
  </si>
  <si>
    <t>Habilitación SS EE ST Chapaco y Otros</t>
  </si>
  <si>
    <t>Energía</t>
  </si>
  <si>
    <t>Ok - Oficio 515 16-03-26</t>
  </si>
  <si>
    <t xml:space="preserve">Se encuentra dentro de los lineamientos de la ERD en Bienestar Socio Territorial. Ítem Medioambiente y Eficiencia Energética, (Obj. Reducir la Pobreza Energética en las viviendas de la Región).
</t>
  </si>
  <si>
    <t xml:space="preserve">Se enlaza con el Programa Regional del Gobernador
- Pilar: 3. Inclusión Social y Mejoramiento de la Calidad de Vida. 
- Letra: c) Programas de Apoyo Social: Desarrollar iniciativas para apoyar a los sectores más vulnerables de nuestra comunidad.
</t>
  </si>
  <si>
    <t>Municipalidad Rio Negro</t>
  </si>
  <si>
    <t>Mejoramiento y Ampliación SSR ST Pichihuilma</t>
  </si>
  <si>
    <t>Ok - Oficio 518 16-03-26</t>
  </si>
  <si>
    <t xml:space="preserve">Se encuentra dentro de la ERD en: 
- Lineamiento: Bienestar Socio territorial.
- Ítem: Servicio Básicos.
- Obj.: Ampliar la Red de alcantarillado para dar soluciones sustentables.
Reducir el numero de vivienda desconectadas de un sistema de suministro de agua en las áreas rurales de la región.
- Actividad: Plan de construcción y mejoramiento de infraestructura agua potable y alcantarillado urbano y rural.
</t>
  </si>
  <si>
    <t xml:space="preserve">Se enlaza con el Programa Regional del Gobernador en el
- Pilar: 3. Inclusión Social y Mejoramiento de la Calidad de Vida
- Letra: c)Programas de Apoyo Social: Desarrollar iniciativas para apoyar a los sectores más vulnerables de nuestra comunidad.
</t>
  </si>
  <si>
    <t>1161-79</t>
  </si>
  <si>
    <t>Diagnostico Plan de Manejo Area Protegida Lagos Huillinco y Cucao</t>
  </si>
  <si>
    <t>Recursos Naturales</t>
  </si>
  <si>
    <t>Ok - Oficio 513 16-03-26</t>
  </si>
  <si>
    <t xml:space="preserve">Se encuentra dentro de la ERD en: 
Lineamiento: Cohesión e Identidad Cultural.
Ítem: Patrimonio Cultural.
Obj.:.
Actividad:.
</t>
  </si>
  <si>
    <t xml:space="preserve">Se enlaza con el Programa Regional del Gobernador en el
Pilar: 3. Protección del Medio Ambiente.
Letra: d) Protección de Ecosistemas: Implementar políticas de conservación para proteger los ecosistemas de la región, especialmente los lagos y parques nacionales.
</t>
  </si>
  <si>
    <t>Municipalidad Chonchi</t>
  </si>
  <si>
    <t>2902
3281 
292</t>
  </si>
  <si>
    <t>3-11-2025
15-12-2025
06-02-2026</t>
  </si>
  <si>
    <t>30-10-2025
12-12-2025
06-02-2026</t>
  </si>
  <si>
    <t>1116
152</t>
  </si>
  <si>
    <t>23-12-2025
03-03-2026</t>
  </si>
  <si>
    <t>2902
3281
292</t>
  </si>
  <si>
    <t>Construcción Centro Deportivo V Centenario</t>
  </si>
  <si>
    <t>Ok - Oficio 652 31-03-26</t>
  </si>
  <si>
    <t xml:space="preserve">Se enlaza con el Programa Regional del Gobernador:
- Pilar: 3. Inclusión Social y Mejoramiento de la Calidad de Vida.
- Letra: c) Programas de Apoyo Social: Desarrollar iniciativas para apoyar a los sectores más vulnerables de nuestra comunidad.
</t>
  </si>
  <si>
    <t>Municipalidad Osorno</t>
  </si>
  <si>
    <t>Reposición Gimnasio Pedro Aguirre Cerda</t>
  </si>
  <si>
    <t>Ok - Oficio 653 31-03-26</t>
  </si>
  <si>
    <t>MejoramientoVias Locales Sector Cañitas Etapa II</t>
  </si>
  <si>
    <t>Transporte</t>
  </si>
  <si>
    <t>Ok - Oficio 720 07-04-26</t>
  </si>
  <si>
    <t>Municipalidad Los Muermos</t>
  </si>
  <si>
    <t>Habilitación SS EE Varios ST. Los Muermos</t>
  </si>
  <si>
    <t>Ok - Oficio 778 13-04-26</t>
  </si>
  <si>
    <t>Habilitación SS EE Coihueria Complementario</t>
  </si>
  <si>
    <t>Ok - Oficio 777 13-04-26</t>
  </si>
  <si>
    <t>Municipalidad San Juan de La Costa</t>
  </si>
  <si>
    <t>Reposición Gimnasio Municipal El Tepual</t>
  </si>
  <si>
    <t>Ok - Oficio 776 13-04-26</t>
  </si>
  <si>
    <t>Municipalidad Hualaihue</t>
  </si>
  <si>
    <t>Reposición Segunda Cia. De Bomberos de Entre Lagos</t>
  </si>
  <si>
    <t>Ok - Oficio 775 13-04-26</t>
  </si>
  <si>
    <t xml:space="preserve">Se encuentra dentro de los lineamientos de la ERD Bienes Socio Territorial Ítem Espacios y Equipamiento Publico(Obj. Construir equipamiento publico y espacios de carácter cívico en la Región). 
</t>
  </si>
  <si>
    <t xml:space="preserve">Se enlaza con el Programa Regional del Gobernador en el 
-  Pilar: 3. Inclusión Social y Mejoramiento de la Calidad de Vida.
- Letra: c) Programas de Apoyo Social: Desarrollar iniciativas para apoyar a los sectores más vulnerables de nuestra comunidad.
</t>
  </si>
  <si>
    <t>Municipalidad Puyehue</t>
  </si>
  <si>
    <t>Construcción SSR de Puchilco</t>
  </si>
  <si>
    <t>Ok - Oficio 774 13-04-26</t>
  </si>
  <si>
    <t>Municipalidad Puqueldon</t>
  </si>
  <si>
    <t>Construcción PSR de Pichil</t>
  </si>
  <si>
    <t>Ok - Oficio 973 27-04-26</t>
  </si>
  <si>
    <t xml:space="preserve">Se encuentra dentro de la ERD en el
- Lineamiento: Bienestar Socio Territorial.
- Ítem: Salud. 
- Objetivo: Aumentar Cobertura de atención primaria en salud en la comunas de la región. 
- Actividad: Convenio de Programación.
</t>
  </si>
  <si>
    <t>Se enlaza con el programa del Gobernador Regional en el 
- Pilar: 3. Inclusión Social y Mejoramiento de la Calidad de Vida.
- Letra: e) Acceso a Servicios de Salud: Ampliar y mejorar la red de servicios de salud, especialmente en zonas rurales, garantizando atención médica de calidad para todos.</t>
  </si>
  <si>
    <t>Muicipalidad Osorno</t>
  </si>
  <si>
    <t>Construcción APR St Llicaldad</t>
  </si>
  <si>
    <t>Ok - Oficio 1215 20-05-26</t>
  </si>
  <si>
    <t>113380/2025</t>
  </si>
  <si>
    <t>349 
1225
796</t>
  </si>
  <si>
    <t>05-03-2025
09-06-2025
14-04-2026</t>
  </si>
  <si>
    <t>05-03-2025
09-06-2025
10-04-2026</t>
  </si>
  <si>
    <t>227
287
477</t>
  </si>
  <si>
    <t>04-03-2025
10-03-2026
27-04-2026</t>
  </si>
  <si>
    <t>26-05-2025
23-03-2026
04-05-2026</t>
  </si>
  <si>
    <t>Reposición Parcial y Habilitación 3° Cía. De Bomberos, Osorno.</t>
  </si>
  <si>
    <t>Ok - Oficio 1216 20-05-26</t>
  </si>
  <si>
    <t xml:space="preserve">Se encuentra dentro de los lineamientos de la ERD
-   Lineamiento: Bienes Socio Territorial.
Ítem: Espacios y Equipamiento Publico.
Obj.: Construir equipamiento publico y espacios de carácter cívico en la Región.  
</t>
  </si>
  <si>
    <t>3280
792</t>
  </si>
  <si>
    <t>15-12-2025
14-04-2026</t>
  </si>
  <si>
    <t>12-12-2025
10-04-2026</t>
  </si>
  <si>
    <t>7058
9908</t>
  </si>
  <si>
    <t>30-03-2026
24-04-2026</t>
  </si>
  <si>
    <t>31-03-2026
24-04-2026</t>
  </si>
  <si>
    <t>Construcción Servicio APR Lago Chapo</t>
  </si>
  <si>
    <t>Ok - Oficio 1217 20-05-26</t>
  </si>
  <si>
    <t>291
795</t>
  </si>
  <si>
    <t>06-02-2026
14-04-2026</t>
  </si>
  <si>
    <t>06-02-2026
10-04-2026</t>
  </si>
  <si>
    <t>247
423</t>
  </si>
  <si>
    <t>11-03-2026
14-05-2026</t>
  </si>
  <si>
    <t>Reposición PSR Coligual</t>
  </si>
  <si>
    <t>Ok - Oficio 1250 25-05-26</t>
  </si>
  <si>
    <t>Municipalidad Purranque</t>
  </si>
  <si>
    <t>Habilitación SSEE Monte Verde</t>
  </si>
  <si>
    <t>Ok - Oficio 1269 26-05-26</t>
  </si>
  <si>
    <t>Construcción SSR ST Quiao</t>
  </si>
  <si>
    <t>Ok - Oficio 1270 26-05-26</t>
  </si>
  <si>
    <t xml:space="preserve">Se encuentra dentro de la ERD en: 
Lineamiento: Bienestar Socio territorial.
Ítem: Servicio Básicos.
Obj.: Ampliar la Red de alcantarillado para dar soluciones sustentables.
Reducir el numero de vivienda desconectadas de un sistema de suministro de agua en las áreas rurales de la región.
Actividad: Plan de construcción y mejoramiento de infraestructura agua potable y alcantarillado urbano y rural.
Se vincula con la Política de Sostenibilidad Hídrica:
- Lineamiento: Seguridad Hídrica Para las Personas.
- Línea: Fortalecimiento de la inversión en infraestructura para los SSR.
- Iniciativa: Aumento de la Inversión en acceso al agua potable y saneamiento.
</t>
  </si>
  <si>
    <t xml:space="preserve">Se vincula con la Política de Sostenibilidad Hídrica:
- Lineamiento: Seguridad Hídrica Para las Personas.
- Línea: Fortalecimiento de la inversión en infraestructura para los SSR.
- Iniciativa: Aumento de la Inversión en acceso al agua potable y saneamiento.
</t>
  </si>
  <si>
    <t>Reposición Cancha Municipal Bahia Mansa</t>
  </si>
  <si>
    <t>Ok - Oficio 1330 01-05-26</t>
  </si>
  <si>
    <t>Construcción Cuartel 2° Cía. De Bomberos de Dalcahue</t>
  </si>
  <si>
    <t>Ok - Oficio 1469 16-06-26</t>
  </si>
  <si>
    <t>Municipalidad Dalcahue</t>
  </si>
  <si>
    <t>Reposición PSR Piedra Azul</t>
  </si>
  <si>
    <t>Ok - Oficio 1471 16-06-26</t>
  </si>
  <si>
    <t>Reposición PSR Trapen</t>
  </si>
  <si>
    <t>Ok - Oficio 1467 16-06-26</t>
  </si>
  <si>
    <t>Construcción SSR Tehuaco</t>
  </si>
  <si>
    <t>Ok - Oficio 1628 26-06-26</t>
  </si>
  <si>
    <t>1470    
1628</t>
  </si>
  <si>
    <t>16-06-2026
26-06-2026</t>
  </si>
  <si>
    <t>Mejoramiento 2 Tramos Calle Inmaculada, ST Barrio Industrial</t>
  </si>
  <si>
    <t>Ok - Oficio 1626 26-06-26</t>
  </si>
  <si>
    <t>Construcción Servicio APR Sector Cahuala - Coipo</t>
  </si>
  <si>
    <t>Ok - Oficio 1627 26-06-26</t>
  </si>
  <si>
    <t>Habilitación SS EE ST Costa Norte</t>
  </si>
  <si>
    <t>Ok - Oficio 1836 21-07-26</t>
  </si>
  <si>
    <t>Habilitación SS EE ST Piedra Azul Alto</t>
  </si>
  <si>
    <t>Ok - Oficio 1837 21-07-26</t>
  </si>
  <si>
    <t>Construcción Sistema Fotovoltaico Habitacional INIO</t>
  </si>
  <si>
    <t>Ok - Oficio 1835 21-07-26</t>
  </si>
  <si>
    <t>1261
1641</t>
  </si>
  <si>
    <t>26-05-2026
30-06-2026</t>
  </si>
  <si>
    <t>15-05-2026
26-06-2026</t>
  </si>
  <si>
    <t>561
597</t>
  </si>
  <si>
    <t>23-06-2026
09-07-2026</t>
  </si>
  <si>
    <t>24-06-2026
29-07-2026</t>
  </si>
  <si>
    <t>Reposicion Casa de la Musica</t>
  </si>
  <si>
    <t>Cultura</t>
  </si>
  <si>
    <t xml:space="preserve">La iniciativa se orienta dentro de la ERD en el 
- Lineamiento: Cohesión e Identidad Socio Cultural.
- Ítem: Arte y Cultura.
- Objetivo: Construir y renovar infraestructura cultural de alto estándar para habilitar el acceso y desarrollo de las culturas y las artes locales y regional.
- Actividad: No Hay.
</t>
  </si>
  <si>
    <t xml:space="preserve">Se enlaza con el Programa Regional del Gobernador Regional.
- Pilar: 5. Desarrollo Cultural y Turismo.
- Letra: c) Centros Culturales: Crear y mantener centros culturales en las principales ciudades y localidades para promover la cultura local.
</t>
  </si>
  <si>
    <t>Municipalidad Frutillar</t>
  </si>
  <si>
    <t>Construcción Istema Integral SSR ST Rivera Norte</t>
  </si>
  <si>
    <t>Prefactibilidad</t>
  </si>
  <si>
    <t>Ok - Oficio 2050 31-07-26</t>
  </si>
  <si>
    <t>Municipalidad Maullin</t>
  </si>
  <si>
    <t>Construcción Batería Sanitaria Reserva Nacional Futaleufú</t>
  </si>
  <si>
    <t xml:space="preserve">Obs. Comité 10-05-24. 1. Adjuntar EETT Firmadas por Unidad Técnica. (Se sugiere UT la DA-MOP). 2. Anexar Participación Ciudadana. 3. Incorporar Permiso Edificación, si corresponde. 4. Adjuntar Mecánica. 5. Anexar Memoria. 6. Incorporar Proyecto Ingeniería. 7. Adjuntar Revisores Independientes, si corresponde. 8. Anexar Cronograma. 9. Incorporar Modelo de Gestión. 10. Adjuntar Dominio Vigente o Destinación. 11. Anexar Factibilidades. 12. Incorporar Costos Operacionales. 13. Adjuntar Documentación al BIP. </t>
  </si>
  <si>
    <t xml:space="preserve">Se encuentra dentro de los lineamientos de la ERD en Ordenamiento Territorial Sustentable y Resiliente, Ítem Protección del Patrimonio Natural (Obj. Implementar programas de protección y conservación de áreas protegidas en la región en calidad de áreas de valor natural, asegurando sus resguardos, funcionamientos y mantenciones).
</t>
  </si>
  <si>
    <t xml:space="preserve">Se enlaza con el programa del Gobernador Regional en el lineamiento «Hagamos una Región de Acceso Universal» Acción “Facilitar el acceso a servicios, tanto en lo estructural como en la información”.
</t>
  </si>
  <si>
    <t>Conaf</t>
  </si>
  <si>
    <t>109624/2024</t>
  </si>
  <si>
    <t>Reposición Escuela Juan Soler Manfredini</t>
  </si>
  <si>
    <t>Obs. Comité 05-07-24 1. Crear Ficha 2025. 2. Corregir ficha y perfil. 3. Actualizar Factibilidad Energía y APR (2018 y 2022). 4. Actualizar Participación Ciudadana. 5. Incorporar Resolución de Calificación Ambiental (RCA). 6. Actualizar Factibilidades. 7. Finalizar Etapa de diseño. 8. Adjuntar documentación al BIP.</t>
  </si>
  <si>
    <t>Municipalidad Fresia</t>
  </si>
  <si>
    <t>110469/2024</t>
  </si>
  <si>
    <t>Construcción Planta de Compostaje</t>
  </si>
  <si>
    <t>Obs. Comité 26-07-24. 1. Incorporar EETT Firmadas por UT. 2. Actualizar Factibilidad Eléctrica. 3. Actualizar Permiso edificación. 4. Incorporar Desglose presupuestario Trincheras Firmadas. 5. Adjuntar en la Carta Gantt la Partida Ecotrincheras. 6. Acceso Falta detalle constructivo proyectado desde ruta. (Ppto. Y EETT), además del pronunciamiento de Vialidad o DOM. 7. Proyecto Eléctrico incorporar sistema para ecotrincheras y sistema para agua potable. 8. Por lo anterior se deben verificar los kw del sistema versus la factibilidad. 9. Proyecto Agua Potable, desglose partidas, EETT Incompletas (partidas como estanque sistema de cloración, bomba, tuberías de conexión a red APR.) 10. Adjuntar documentación al BIP.</t>
  </si>
  <si>
    <t>La iniciativa se orienta dentro de la ERD en el, Lineamiento: Bienestar Socio Territorial.
Ítem: Medioambiente y Eficiencia Energética. Objetivo: Reducir el volumen de generación de residuos y potenciar su valorización en la región. Actividad: Estrategia Regional de RSD (No Hay)</t>
  </si>
  <si>
    <t xml:space="preserve">Se enlaza con el Programa Regional del Gobernador Ítem “Priorización de Inversiones Sectoriales y del FNDR para Nuevos Desafíos”, Acción “Proyectos que aporten a la equidad territorial”.
</t>
  </si>
  <si>
    <t>Municipalidad Ancud</t>
  </si>
  <si>
    <t>110884/2024</t>
  </si>
  <si>
    <t>Construcción Sanitarios Sector Río Blanco, PN Hornopiren.</t>
  </si>
  <si>
    <t xml:space="preserve">Comité 04-10-24. 1. Adjuntar Permiso Edificación, si corresponde. 2. Anexar Mecánica de Suelos. 3. Incorporar Memoria de Cálculo. 4. Anexar Proyecto Ingeniería. 5. Adjuntar Revisores Independientes, si corresponde. 6. Incorporar Modelo de Gestión. 7. Adjuntar Factibilidades de Servicios Básicos. 8. Anexar Certificado de Costos Operacionales. 9. Se sugiere postular a &lt;5000 UTM, esto implica cambiar descriptor en ficha IDI. 10. Incorporar la documentación al Banco Integrado de Proyecto (BIP).
</t>
  </si>
  <si>
    <t>Normalización y Ampliación Liceo de Hombres Manuel Montt</t>
  </si>
  <si>
    <t>Obs. Comité 08-11-24. 1. Adjuntar TTR. Firmados por UT. 2. Anexar Ppto. OC. Firmado por UT. 3. Incorporar Ppto. Consultorías y AITO firmados por UT. 4. Adjuntar Ppto. De Equipos y Equipamiento Firmados por UT. 5. Anexar Permiso de edificación. 6. Actualizar EISTU.
7. Actualizar Factibilidades. 8. Incorporar Certificado de Hipotecas y Gravámenes. 9. Anexar Informe técnico situación actual con fotografías. 10. Se sugiere Explorar financiamiento compartido. 11. Adjuntar documentación al BIP.</t>
  </si>
  <si>
    <t>112174/2024</t>
  </si>
  <si>
    <t xml:space="preserve">Construcción Centro Cultural </t>
  </si>
  <si>
    <t xml:space="preserve">Comité 13-12-24 1. Adjuntar Especificaciones Técnicas firmadas por la UT. 2. Anexar Presupuesto Equipamiento. 3. Incorporar Participación Ciudadana. 4. Adjuntar Permiso de edificación. 5. Anexar Mecánica de suelos. 6. Incorporar Revisores independientes. 7. Adjuntar Cronograma. 8. Anexar Plan de mitigación. 9. Incorporar IMIV. 10. Adjuntar Dominio Vigente. 11. Anexar Hipotecas y Gravámenes. 12. Incorporar Factibilidades de servicios básicos. 13. Adjuntar documentación al BIP. </t>
  </si>
  <si>
    <t xml:space="preserve">La iniciativa se orienta dentro de la ERD en el 
Lineamiento: Cohesión e Identidad Socio Cultural.
Ítem: Arte y Cultura.
Obj.: Construir y renovar infraestructura cultural de alto estándar para habilitar el acceso y desarrollo de las culturas y las artes locales y regional.
</t>
  </si>
  <si>
    <t>112798/2024</t>
  </si>
  <si>
    <t>Reposición Liceo Hornopiren</t>
  </si>
  <si>
    <t xml:space="preserve">Obs. Comité 07-03-25.1. Se solicita cartas de compromiso financiero compartido en la etapa de ejecución. 2. Confirmar incorporación al Programa PDZE y su unidad ejecutora. 3. Ajuntar sensibilización en las proyecciones de los valores en ejecución. 4. Adjuntar Documentación al BIP. </t>
  </si>
  <si>
    <t xml:space="preserve">Se encuentra dentro de la ERD en, 
- Lineamiento: Bienestar Socio Territorial.
- Ítem: Educación.
- Objetivo: Mejorar el desempeño de los establecimientos educacionales públicos y subvencionados de la Región .
- Actividad:  No hay.
</t>
  </si>
  <si>
    <t>Se enlaza con el Programa Regional del Gobernador en el lineamiento 
- Pilar: 3. Inclusión Social y Mejoramiento de la Calidad de Vida.
- Letra: i) Infraestructura Educativa: Renovar y construir nuevas instalaciones educativas para garantizar ambientes de aprendizaje adecuados.</t>
  </si>
  <si>
    <t>113551/2025</t>
  </si>
  <si>
    <t>00-03-2025</t>
  </si>
  <si>
    <t>Construcción Sistema APR ST Choroy Triguén</t>
  </si>
  <si>
    <t xml:space="preserve">Obs. Comité 16-05-25. 1. Actualizar Presupuesto. 2. Actualizar certificaciones sectoriales. 3. Actualizar Comité APR. 4. Adjuntar Documentación al BIP. 
</t>
  </si>
  <si>
    <t>Lineamiento: Bienestar Socio territorial.
- Ítem: Servicio Básicos.
- Obj.: Ampliar la Red de alcantarillado para dar soluciones sustentables.
                                                                                                                                                                                                                                                                Reducir el numero de vivienda desconectadas de un sistema de suministro de agua en las áreas rurales de la región.
- Actividad: Plan de Construcción y mejoramiento de infraestructura agua potable y alcantarillado urbano y rural.</t>
  </si>
  <si>
    <t>Reposición Esc. Jose Abelardo Nuñez</t>
  </si>
  <si>
    <t>Comité 12-12-25. 1. Se mantiene la observación de adjuntar Financiamiento Compartido especificado porcentaje de participación. 2. Adjuntar Documentación al BIP.</t>
  </si>
  <si>
    <t xml:space="preserve">Se encuentra dentro de la ERD en:
- Lineamiento: Bienestar Socio Territorial. 
- Ítem: Educación.
- Obj.: Aumentar la cobertura territorial a los establecimientos de educación publica en los territorios rurales de la región.
- Actividad: Programa de fortalecimiento de infraestructura pre escolar.
</t>
  </si>
  <si>
    <t xml:space="preserve">Se enlaza con el Programa Regional del Gobernador en el 
- Pilar: 3. Inclusión Social y Mejoramiento de la Calidad de Vida.
- Letra: i) Infraestructura Educativa: Renovar y construir nuevas instalaciones educativas para garantizar ambientes de aprendizaje adecuados.
</t>
  </si>
  <si>
    <t>988
2128
3279</t>
  </si>
  <si>
    <t>20-05-2025
25-08-2025 
15-12-2025</t>
  </si>
  <si>
    <t>16-05-2025
22-08-2025
12-12-2025</t>
  </si>
  <si>
    <t>Ampliación y Remodelación Integral Consistorial</t>
  </si>
  <si>
    <t xml:space="preserve">Se encuentra dentro de la ERD en:
- Lineamiento: Bienestar Socio Territorial.
- Ítem: Espacios y Equipamiento Publico.
- Obj.: Construir equipamientos públicos y espacios de carácter cívico en la región.
- Actividad: Habilitación edificios públicos sin accesibilidad universal.
</t>
  </si>
  <si>
    <t>1223
1512
2124
525</t>
  </si>
  <si>
    <t>09-06-2025  
02-07-2025
25-08-2025
16-03-2026</t>
  </si>
  <si>
    <t>Reposición Escuela Rural Julio Mohr Chifca</t>
  </si>
  <si>
    <t xml:space="preserve">Comité 12-09-25. 1. Adjuntar Financiamiento Compartido. 2. Se sugiere explorar financiamiento FRC, Subdere. 3. Adjuntar Documentación al BIP. </t>
  </si>
  <si>
    <t xml:space="preserve">Se enlaza con el Programa Regional del Gobernador en el lineamiento 
- Pilar: 3. Inclusión Social y Mejoramiento de la Calidad de Vida.
-Letra: i) Infraestructura Educativa: Renovar y construir nuevas instalaciones educativas para garantizar ambientes de aprendizaje adecuados.
</t>
  </si>
  <si>
    <t>Munciplidad San Pablo</t>
  </si>
  <si>
    <t>1581
2382</t>
  </si>
  <si>
    <t>08-07-2025
16-09-2025</t>
  </si>
  <si>
    <t>04-07-2025
12-09-2025</t>
  </si>
  <si>
    <t>Construcción Sistema Integral Servicios Sanitarios ST Ten Ten y Entre Ríos.</t>
  </si>
  <si>
    <t xml:space="preserve">Comité 04-07-25. 1. Adjuntar Ppto consultorías firmado UT. 2. Anexar Cronograma. 3. Incorporar Modelo gestión. 4. Adjuntar Plan Mitigación. 5. Anexar Visación DOH, o antecedentes del 52 Bis si correspondiera. 6. Incorporar Visación DOM. 7. Adjuntar Documentación al BIP. </t>
  </si>
  <si>
    <t>Se encuentra dentro de la ERD en: 
- Lineamiento: Bienestar Socio territorial.
- Ítem: Servicio Básicos.
- Obj.: Ampliar la Red de alcantarillado para dar soluciones sustentables.
          Reducir el numero de vivienda desconectadas de un sistema de suministro de agua en las áreas rurales de la región.
- Actividad: Plan de construcción y mejoramiento de infraestructura agua potable y alcantarillado urbano y rural.
Política Sostenibilidad Hídrica:
- Lineamiento: Seguridad Hídrica para las Personas.
- Obj.: Mejorar estándares de recolección y tratamiento de aguas servidas en sectores rurales.
- Iniciativa: Proyecto de mejora de infraestructura Sanitaria en sectores desconectados.</t>
  </si>
  <si>
    <t>Municipalidad Maullín</t>
  </si>
  <si>
    <t>Reposición Edificio Municipal de Quinchao</t>
  </si>
  <si>
    <t xml:space="preserve">Comité 25-07-25. 1. Adjuntar Cronograma. 2. Anexar Participación Ciudadana. 3. Incorporar Modelo de Gestión. 4. Adjuntar Plan de Mitigación. 5. Anexar Certificado DOM. 6. Incorporar Hipotecas y Gravámenes. 7. Adjuntar Informe Técnico Situación Actual. 8. Revisar costo m2 de diseño por sobre el promedio. 9. Se sugiere ver financiamiento programa Subdere. 10. Adjuntar Documentación al BIP. 
</t>
  </si>
  <si>
    <t>Nunicipalidad Quinchao</t>
  </si>
  <si>
    <t>Diagnostico Elaboración y Prediseño del PACC</t>
  </si>
  <si>
    <t xml:space="preserve">Comité 22-08-25. 1. Antecedentes
El documento &amp;quot; Antecedentes&amp;quot; no incluye la identificación de las instituciones que actuarán como contrapartes técnicas, ni adjunta el documento de respaldo requerido.
2. Definición del problema en los TTR (Sin Firma UT)
La definición actual del problema se limita a señalar la falta del instrumento PACCC o de diagnósticos comunales, junto con la insuficiencia de capacidades municipales.
Se recomienda que la definición del problema se enfoque en los impactos potenciales del cambio climático sobre la comuna, considerando vulnerabilidades, riesgos y capacidades locales.
3. Presupuesto (Sin Firma)
El presupuesto desglosado no incluye el detalle de horas por profesional, como lo exige el MDSF.
Faltan cotizaciones de respaldo (al menos dos).
4. Uso de información disponible
Los TTR no incorporan suficientemente el reporte comunal de Futuros Climáticos para Puyehue (adjunto), pese a que ya contiene información sobre contexto climático, ambiental, socioeconómico y demográfico.
5. Objetivos específicos
Los objetivos específicos propuestos exceden el alcance del objetivo general.
Se sugiere reducirlos o reformularlos, de manera que tributen directamente al objetivo general:
“Elaborar un diagnóstico climático comunal para la comuna de Puyehue que permita identificar sus principales vulnerabilidades, riesgos, oportunidades y capacidades frente al cambio climático, como base técnica para la formulación del Plan de Acción Comunal de Cambio Climático (PACCC).”
Algunos objetivos como la definición de lineamientos estratégicos o la propuesta de medidas de mitigación y adaptación corresponden a una etapa posterior (elaboración del PACCC).
6. Actividades en los TTR
Las actividades 5 (Definición de visión y objetivos de un posible Plan de Acción) y 6 (Definición de medidas) exceden el alcance del estudio básico, pues corresponden al municipio una vez concluido este diagnóstico inicial.
Asimismo, no aplica la etapa de prediseño, ya que también escapa al objetivo general propuesto. (RIS, sección 2, exige que las actividades sean coherentes con el diagnóstico y objetivos generales).
7. Cronograma
El cronograma de actividades carece del nivel de detalle requerido. Debe expresarse en semanas o meses mediante una Carta Gantt completa. (RIS, sección 2, lo establece explícitamente).
8. Se sugiere reformular la iniciativa ya que para ser un estudio básico este debe ser conducente a una cartera de inversión de acuerdo a lo expresado en las NIP.
9. Adjuntar Documentación al BIP. </t>
  </si>
  <si>
    <t xml:space="preserve">Se encuentra dentro de la ERD 
- Lineamientos: Ordenamiento Territorial Sustentable y Resiliente.
- Ítem: Cambio Climático y Riesgo de Desastres.
- Obj.: Fortalecer el enfoque de la reducción de riesgo de desastre en instrumentos de Planificación y OT en sus diversas escalas..
- Actividad: Definición de una metodología de coordinación entre instrumentos de la gestión de riesgos en distintos niveles. 
</t>
  </si>
  <si>
    <t xml:space="preserve">Se enlaza con el programa del Gobernador Regional en el 
- Pilar: 4. Protección del Medo Ambiente.
- Letra: d) Protección de Ecosistemas: Implementar políticas de conservación para proteger los ecosistemas de la región, especialmente los lagos y parques nacionales.
</t>
  </si>
  <si>
    <t>2134
3029</t>
  </si>
  <si>
    <t>25-08-2025
11-11-2025</t>
  </si>
  <si>
    <t>Construcción Extensión  Red APR ST Aeródromo</t>
  </si>
  <si>
    <t xml:space="preserve">Comité 12-09-25. 1. Adjuntar documentación de acuerdo a las NIP y a las Orientaciones Regionales de Pre Inversión. 2. Adjuntar Documentación al BIP. </t>
  </si>
  <si>
    <t>Municipalidad Futaleufu</t>
  </si>
  <si>
    <t>Mejoramiento Cancha Liga Rural Union Sur Quilquico</t>
  </si>
  <si>
    <t>Obs. Comité 30-10-25. 1. Adjuntar Financiamiento mixto. 2. Adjuntar Documentación al BIP.</t>
  </si>
  <si>
    <t>Habilitación SS EE ST Molulco</t>
  </si>
  <si>
    <t xml:space="preserve">Comté 30-10-25. 1. Incorporar Oficio Conductor. 2. Adjuntar Participación Ciudadana. 3. Anexar Estratificación Social. 4. Incorporar Actividades Productivas. 5. Adjuntar Paralelismo. 6. Anexar Listado Beneficiarios. 7. Incorporar Copia Rut. 8. Adjuntar Instalaciones Interiores. 9. Anexar Certificado Conadi. 10. Incorporar Dominio Vigente. 11. Adjuntar Informe Unidad Energización GORE. 12. Anexar Georreferenciación v/s área de concesión. 13. Adjuntar Documentación al BIP. </t>
  </si>
  <si>
    <t>Municipalidad Quellon</t>
  </si>
  <si>
    <t xml:space="preserve">Habilitacion SS EE ST Colonia Yungay Nahuelpani </t>
  </si>
  <si>
    <t>Reposición Cuartel 7° Cía de Bomberos</t>
  </si>
  <si>
    <t>Comité 10-04-26. 1. Adjuntar Cronograma. 2. Anexara Participación Ciudadana. 3. Incorporar Informe Técnico Situación Actual. 4. Ajustar valor m2 de diseño a valor promedio provincial (2,99). 5. Modificar UT. 6. Adjuntar la Documentación al BIP.</t>
  </si>
  <si>
    <t>Delegacion Presidencial Osorno</t>
  </si>
  <si>
    <t>290
890</t>
  </si>
  <si>
    <t>06-02-2026
17-04-2026</t>
  </si>
  <si>
    <t>54    
117</t>
  </si>
  <si>
    <t>21-01-2026
05-03-2026</t>
  </si>
  <si>
    <t>13-02-2026                    
09-03-2026</t>
  </si>
  <si>
    <t>Diseño Plan Maestro Parque Nacional Vicente Perez Rosales</t>
  </si>
  <si>
    <t xml:space="preserve">Comité 13-03-26. 1. Anexar TDR con Firma por parte de la UT. 2. Incorporar como contraparte técnica a CONAF. 3. Adjuntar Cotizaciones. 4. Se sugiere contrarrestar el perfil y TDR con la contraparte técnica. 5. Adjuntar Documentación al BIP. </t>
  </si>
  <si>
    <t xml:space="preserve">Se encuentra dentro de la ERD en:
Lineamiento: Ordenamiento Territorial Sustentable y Resiliente. 
Ítem: Protección del Patrimonio Natural.
Obj.: Implementar programas de protección y conservación de áreas protegidas en la región en calidad de áreas de valor natural, asegurando sus resguardos, funcionamientos y mantenciones.
Actividad: Programa de Protección de áreas protegidas existentes y santuarios de la naturaleza.
</t>
  </si>
  <si>
    <t>Reposición Museo Municipal y Biblioteca Publica</t>
  </si>
  <si>
    <t xml:space="preserve">Comité 26-06-26. 1. Se mantienen las Observaciones: 2. Actualizar Participación Ciudadana (2019). 3. Anexar Cronograma o Carta Gantt. 4. Incorporar Informe técnico situación Actual. 5. Actualizar Factibilidades (2022 - 2023). 6. Adjuntar Certificado de Costos Operacionales Firmado por el consejo Municipal. 7. Incorporar Carta Mesa Regional de Patrimonio. 8. Adjuntar Documentación al BIP. </t>
  </si>
  <si>
    <t xml:space="preserve">Se encuentra dentro de la ERD en: 
- Lineamiento: Cohesión e Identidad Socio Cultural.
- Ítem: Arte y Cultura.
- Objetivo: Construir y renovar infraestructura cultural de alto estándar para habilitar el acceso y desarrollo de las culturas y las artes locales y regional.
- Actividad: No Hay.
</t>
  </si>
  <si>
    <t xml:space="preserve">Se enlaza con el Programa Regional del Gobernador
- Pilar: 5. Desarrollo Cultural y Turismo”, 
- Letra: c) Centros Culturales: Crear y mantener centros culturales en las principales ciudades y localidades para promover la cultura local.
</t>
  </si>
  <si>
    <t>Reposición Cancha Villa San Pablo</t>
  </si>
  <si>
    <t xml:space="preserve">Comité 18-05-26. 1. 1. Finalizar Etapa de diseño. (Se sugiere coordinar reunión DIPIR – Jurídica Gore). 2. Adjuntar Ppto. AITO. 3. Anexar Ppto. Equipos. 4. Incorporar Mecánica de suelos. 5. Adjuntar Revisores Independientes. 6. Anexar Plan de Mitigación. 7. Incorporar Modelos de Gestión. 8. Adjuntar Informe Técnico Situación Actual. 9. Anexar IMIV. 10. Incorporar Dominio Vigente. 11. Adjuntar Hipotecas y Gravámenes. 12. Anexar Certificado Informes Previos. 13. Incorporar Factibilidades. 14. Adjuntar Costos Operacionales firmado por el consejo. 15. Anexar Certificado IND. 16. Adjuntar Documentación al BIP. </t>
  </si>
  <si>
    <t>Municipalidad San Pablo</t>
  </si>
  <si>
    <t>793
1258
1612</t>
  </si>
  <si>
    <t>14-04-2026
26-05-2026
26-06-2026</t>
  </si>
  <si>
    <t>10-04-2026
15-05-2026
26-06-2026</t>
  </si>
  <si>
    <t>14
674</t>
  </si>
  <si>
    <t>16-04-2026
01-06-2026</t>
  </si>
  <si>
    <t>16-04-2026
16-06-2026</t>
  </si>
  <si>
    <t>Reposición Estadio Municipal de Contao</t>
  </si>
  <si>
    <t>Reposición PSR de Buill</t>
  </si>
  <si>
    <t>Comité 12-06-26.1. Se solicita proporcionar antecedentes del terreno al momento de la ejecución original, con el objeto que el departamento jurídico del GORE Los Lagos analice el comodato ya que se está postulando una nueva infraestructura antes del cumplimiento de la vida útil. 2. Adjuntar la Documentación al BIP.</t>
  </si>
  <si>
    <t>SSReloncavi</t>
  </si>
  <si>
    <t>Municipalidad Chaiten</t>
  </si>
  <si>
    <t>1262
1463</t>
  </si>
  <si>
    <t>26-05-2026
15-06-2026</t>
  </si>
  <si>
    <t>15-05-2026
12-06-2026</t>
  </si>
  <si>
    <t>Construcción Polideportivo de Achao</t>
  </si>
  <si>
    <t>Comité 12-06-26. 1. Se mantiene la solicitud de adjuntar compromiso de cofinanciamiento. 2. Adjuntar la Documentación al BIP.</t>
  </si>
  <si>
    <t>Municipalidad Quinchao</t>
  </si>
  <si>
    <t>1265
1453</t>
  </si>
  <si>
    <t>Habilitación SSEE Varios ST Costa</t>
  </si>
  <si>
    <t>1464
1848</t>
  </si>
  <si>
    <t>15-06-2026
22-07-2026</t>
  </si>
  <si>
    <t>12-06-2026
15-07-2026</t>
  </si>
  <si>
    <t>Mejoramiento y Ampliación Sistema APR y ALC.</t>
  </si>
  <si>
    <t>Comité 12-06-26. 1. Proyecto está postulado a una etapa incorrecta, ya que el perfil y presupuesto presentan serias inconsistencias frente a las normas y criterios del Sistema Nacional de Inversiones (SNI), se presenta una mezcla entre Pre inversión v/s Diseño. 2. Se sugiere presentar a la etapa de pre factibilidad. 3. Adjuntar información al BIP.</t>
  </si>
  <si>
    <t>Municipalidad Queilen</t>
  </si>
  <si>
    <t>Reposición Esc. Rural Caleta El Manzano</t>
  </si>
  <si>
    <t>Comité 12-06-26. 1. Adjuntar compromiso de financiamiento compartido. 2. Anexar Costos Operacionales. 3. Incorporar Plan de Mitigación. 4. Adjuntar Informe situación actual. 5. Anexar Dominio Vigente. 6. Incorporar Hipotecas y gravámenes. 7. Anexar Certificado de Informaciones Previas. (CIP). 8. Adjuntar la Documentación al BIP.</t>
  </si>
  <si>
    <t>Reposición PSR Isla Maillen</t>
  </si>
  <si>
    <t>Mejoramiento Gimnasio Esc. Rural San Antonio Pocoihuen Alto</t>
  </si>
  <si>
    <t>Comité 15-07-26. 1. Adjuntar Informe situación actual. 2. Anexar EETT con firma de la UT. 3. Incorporar Memoria de Cálculo. 4. Adjuntar Revisores Independientes. 5. Anexar IMIV si corresponde. 6. Ajustar Diferencia Programa Arquitectónico v/s IDI. 7. Ajustar Diferencia entre Ppto. v/s IDI. 8. Incorporar programa recintos actual v/s el propuesto. 9. Anexar Financiamiento compartido. 10. Adjuntar la Documentación al BIP.</t>
  </si>
  <si>
    <t>Municipalidad Cochamo</t>
  </si>
  <si>
    <t>Reposicion Centro Cultural</t>
  </si>
  <si>
    <t>Construcción PSR Forrahue</t>
  </si>
  <si>
    <t>Comité 15-07-26. 1. Incorporar iniciativa al Convenio de Salud. 2. Adjuntar Presupuesto Obras Civiles con firma. 3. Anexar EETT Firmada por la UT. 4. Actualizar la Participación Ciudadana. 5. Incorporar Factibilidades. 6. Adjuntar Costos Operacionales Firmado por Consejo Municipal. 7. Anexar Informe Infraestructura Actual. 8. Incorporar Cronograma. 9. Adjuntar Plan de Contingencia. 10. Anexar Certificado Conadi si corresponde. 11. Adjuntar la Documentación al BIP.</t>
  </si>
  <si>
    <t>Construcción Polideportivo Sur</t>
  </si>
  <si>
    <t xml:space="preserve">Reposición Cuartel de Bomberos 2° Cía. </t>
  </si>
  <si>
    <t>Municipalidad Calbuco</t>
  </si>
  <si>
    <t>Construcción Estadio Municipal St Rural de Taiguen, Peninsula de Lacuy</t>
  </si>
  <si>
    <t>674
969</t>
  </si>
  <si>
    <t>01-06-2026
11-08-2026</t>
  </si>
  <si>
    <t>16-06-2026
12-08-2026</t>
  </si>
  <si>
    <t>365
522</t>
  </si>
  <si>
    <t>17-06-2026
17-08-2026</t>
  </si>
  <si>
    <t>26-06-2026
 26-08-2026</t>
  </si>
  <si>
    <t>Universidad de Los Lagos</t>
  </si>
  <si>
    <t>Ok - Oficio 2617 01-09-26</t>
  </si>
  <si>
    <t>Analisis de Implementacion para la Construcción de Terminal de Buses</t>
  </si>
  <si>
    <t>1116
1009</t>
  </si>
  <si>
    <t>22-10-2025
18-09-2026</t>
  </si>
  <si>
    <t>27-10-2025
24-08-2026</t>
  </si>
  <si>
    <t>Ok - Oficio 2618 01-09-26</t>
  </si>
  <si>
    <t>Ok - Oficio 3297 15-12-25
OK - Oficio 063 12-01-26
OK - Oficio 2619 01-09-26</t>
  </si>
  <si>
    <t>Construcción  Centro de Investigación Frutícola de la Region de Los Lagos</t>
  </si>
  <si>
    <t xml:space="preserve">Comité 28-08-26.1. Financiamiento de Ejecución: Identificar e ingresar formalmente la institución financiera y la fuente de recursos que asumirán el financiamiento de la etapa de ejecución.
2. Diagnóstico de Demanda Integral: Desarrollar la estimación de la demanda actual y proyectada en el área de influencia dentro del diagnóstico, incorporando los requerimientos de toda la oferta como por ejemplo del Instituto Profesional Agrícola Adolfo Matthei.
3. Balance Oferta-Demanda y Brecha: Profundizar el análisis de la oferta optimizada y la demanda proyectada durante el horizonte de evaluación, determinando con precisión la brecha o déficit (cuantitativo y/o cualitativo) a resolver.
4. Revisión del Árbol de Problemas: Reestructurar la lógica de causas y efectos en el árbol de problemas, asegurando que el problema central se defina como una necesidad insatisfecha o condición de riesgo y no como la ausencia de una solución obra específica.
5. Ventajas Competitivas: Definir y fundamentar las ventajas competitivas de la alternativa seleccionada en términos de localización, tecnología, tamaño y modelo de gestión.
6. Factibilidad Eléctrica: Adjuntar el certificado de factibilidad técnica de suministro y empalme eléctrico emitido por la empresa distribuidora correspondiente.
7. Visación de la Unidad Técnica (UT): Acreditar la visación y validación técnica formal de los antecedentes (presupuesto, términos técnicos de referencia) firmada por Unidad Técnica.
8. Informe de Situación Actual: Cargar en la carpeta digital el informe técnico que diagnostique el estado físico, operativo, legal y territorial actual de la infraestructura o terreno.
9. Plan de Mitigación: Presentar el Plan correspondiente para abordar los impactos ambientales, de tránsito/viales o los planes de contingencia durante el desarrollo del proyecto.
10. Incorporar listado valorizado de equipo y equipamiento con sus respectivas fichas técnicas.
11. Adjuntar la Información al BIP
</t>
  </si>
  <si>
    <t>1847
2640</t>
  </si>
  <si>
    <t>22-07-2026
03-09-2026</t>
  </si>
  <si>
    <t>15-07-2026
28-08-2026</t>
  </si>
  <si>
    <t>1844
2641</t>
  </si>
  <si>
    <t>Comité 28-08-26. 1. Adjuntar compromiso de Financiamiento compartido. 2. Incorporar Participación Ciudadana. 3. Anexar Modelo de Gestión. 4. Adjuntar Plan de Mitigación, si corresponde. 5. Incorporar Visación DOM. 6. Anexar Informe situación Actual. 7. Adjuntar certificación de ANFA. 8. Se sugiere replantear diseño a requerimientos para la práctica deportiva. 9. Justificar estándar FIFA de los usuarios. 10.  Adjuntar la Información al BIP.</t>
  </si>
  <si>
    <t>1223 
1512
2124 
525
2643</t>
  </si>
  <si>
    <t>09-06-2025
02-07-2025
25-08-2025
16-03-2026
03-09-2026</t>
  </si>
  <si>
    <t>06-06-2025
27-06-2025
22-08-2025 
13-03-2026
28-08-2026</t>
  </si>
  <si>
    <t>1260
2644</t>
  </si>
  <si>
    <t>26-05-2026
03-09-2026</t>
  </si>
  <si>
    <t>15-05-2026
28-08-2026</t>
  </si>
  <si>
    <t>Reposición PSR Salto Grande</t>
  </si>
  <si>
    <t>Mejoramiento Calle Los Alpes</t>
  </si>
  <si>
    <t>Mejoramiento Multicancha Cubierta Esc. Juan Soler Manferdini</t>
  </si>
  <si>
    <t>Mejoramiento Veredas Barrio Lagos de Chile, Rio Negro</t>
  </si>
  <si>
    <t xml:space="preserve">Comité 25-09-26 1. Incorporar Ppto. Equipo y equipamiento firmado con cotizaciones.
2. Adjuntar TTR firmados por la UT.
3. Anexar Participación ciudadana.
4. Incorporar Plan de Mitigación.
5. Adjuntar IMIV, si corresponde
6. Incorporar Bases Técnicas firmadas por quien fiscalizara.
7. Adjuntar Documentación al BIP. 
</t>
  </si>
  <si>
    <t xml:space="preserve">Comité 25-09-26. 1. Adjuntar Oficio de postulación.
2. Crear Ficha 2027.
3. Incorporar Ppto. Equipo y equipamiento firmado con cotizaciones.
4. Adjuntar TTR firmados por la UT.
5. Anexar Participación ciudadana.
6. Incorporar Plan de Mitigación.
7. Adjuntar IMIV, si corresponde.
8. Incorporar Certificado de no objeción del SSReloncavi. 
9. Anexar Certificado de Hipotecas y Gravámenes.
10. Incorporar Cronograma.
11. Adjuntar Documentación al BIP. 
</t>
  </si>
  <si>
    <t xml:space="preserve">Comité 25-09-26. 1. Adjuntar Oficio de postulación.
2. Anexar Ppto. AITO.
3. Incorporar Factibilidad Eléctrica.
4. Adjuntar Costos Operacionales.
5. Anexar Memoria Calculo.
6. Incorporar mecánica.
7. Adjuntar proyecto de ingeniería.
8. Incorporar Certificado SERVIU. 
9. Anexar Participación Ciudadana.
10. Incorporar Informe Técnico Situación Actual.
11. Adjuntar Documentación al BIP. 
</t>
  </si>
  <si>
    <t xml:space="preserve">Comité 25-09-26. 1. Adjuntar Oficio de postulación. 2. Anexar Ppto. AITO. 3. Incorporar Factibilidad Eléctrica. 4. Adjuntar Costos Operacionales. 5. Anexar Memoria Calculo. 6. Incorporar mecánica. 7. Adjuntar proyecto de ingeniería.
8. Incorporar Certificado SERVIU. 9. Anexar Participación Ciudadana. 10. Incorporar Informe Técnico Situación Actual. 11. Adjuntar Documentación al BIP. </t>
  </si>
  <si>
    <t>Reposición con Relocalizacion PSR Butalcura</t>
  </si>
  <si>
    <t>Ok - Oficio 22940 28-09-26</t>
  </si>
  <si>
    <t>SSChiloé</t>
  </si>
  <si>
    <t>Ok - Oficio 1855 22-07-26
Ok - Oficio 2941 28-09-26</t>
  </si>
  <si>
    <t>1855
2941</t>
  </si>
  <si>
    <t>22-07-2026
28-09-2026</t>
  </si>
  <si>
    <t>9
8</t>
  </si>
  <si>
    <t>Ok - Oficio 2942 28-09-26</t>
  </si>
  <si>
    <t>946
1110</t>
  </si>
  <si>
    <t>06-08-2026
08-09-2026</t>
  </si>
  <si>
    <t>12-08-2026
09-09-2026</t>
  </si>
  <si>
    <t>Ok - Oficio 2943 28-09-26</t>
  </si>
  <si>
    <t>Ok - Oficio 2944 28-09-26</t>
  </si>
  <si>
    <t>Ok - Oficio 2945 28-09-26</t>
  </si>
  <si>
    <t>Ok - Oficio 2946 28-09-26</t>
  </si>
  <si>
    <t>697
836</t>
  </si>
  <si>
    <t>03-08-2026
21-09-2026</t>
  </si>
  <si>
    <t>04-08-2026
21-09-2026</t>
  </si>
  <si>
    <t>508
599
704
277
822
945</t>
  </si>
  <si>
    <t>15-05-2025
16-06-2025
24-06-2025
17-02-2026
14-08-2026
21-09-2026</t>
  </si>
  <si>
    <t>22-05-2025
19-06-2025
31-07-2025
26-02-2026
17-08-2026
21-09-2026</t>
  </si>
  <si>
    <t>793
946</t>
  </si>
  <si>
    <t>06-08-2026
21-09-2026</t>
  </si>
  <si>
    <t>07-08-2026
21-09-2026</t>
  </si>
  <si>
    <t>Habilitación SS EE ST Costa y Llano</t>
  </si>
  <si>
    <t xml:space="preserve">Comité 25-09-26. 1. Adjuntar TTR firmados por la UT. 2. Anexar PPto. OC. Firmadas. 3. Incorporar Ppto. AITO si corresponde. 4. Adjuntar Participación ciudadana. 5. Adjuntar Permiso. 6. Incorporar Mecánica de Suelos. 7. Adjuntar Revisores Independientes. 8. Anexar Plan de Mitigación. 9. Incorporar Informe Técnico Situación Actual. 10. Adjuntar IMIV, si corresponde. 11. Anexar Certificado Hipotecas y Gravámenes. 12. Incorporar Planos Firmados. 13. Anexar Cotizaciones de equipamiento. 14. Adjuntar Documentación al BIP. </t>
  </si>
  <si>
    <t>702-26</t>
  </si>
  <si>
    <t>Construcción Gimnasio Polivalente</t>
  </si>
  <si>
    <t xml:space="preserve"> Comité 25-09-26. 1. Adjuntar Financiamiento compartido. 2. Adjuntar Documentación al BIP. </t>
  </si>
  <si>
    <t>Municipalidad Puerto Varas</t>
  </si>
  <si>
    <t>1644
2693</t>
  </si>
  <si>
    <t>30-06-2026
10-09-2026</t>
  </si>
  <si>
    <t>26-06-2026
25-09-2026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</si>
</sst>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 #,##0_ ;_ * \-#,##0_ ;_ * &quot;-&quot;_ ;_ @_ "/>
    <numFmt numFmtId="164" formatCode="&quot;$&quot;\ #,##0"/>
    <numFmt numFmtId="165" formatCode="_-&quot;$&quot;\ * #,##0_-;\-&quot;$&quot;\ * #,##0_-;_-&quot;$&quot;\ * &quot;-&quot;??_-;_-@"/>
    <numFmt numFmtId="166" formatCode="_-* #,##0_-;\-* #,##0_-;_-* &quot;-&quot;??_-;_-@"/>
  </numFmts>
  <fonts count="9" x14ac:knownFonts="1">
    <font>
      <sz val="11"/>
      <color theme="1"/>
      <name val="Calibri"/>
      <scheme val="minor"/>
    </font>
    <font>
      <sz val="11"/>
      <color theme="1"/>
      <name val="Calibri"/>
    </font>
    <font>
      <b/>
      <sz val="11"/>
      <color theme="1"/>
      <name val="Calibri"/>
    </font>
    <font>
      <i/>
      <sz val="9"/>
      <color theme="1"/>
      <name val="Calibri"/>
    </font>
    <font>
      <b/>
      <i/>
      <sz val="9"/>
      <color theme="1"/>
      <name val="Calibri"/>
    </font>
    <font>
      <b/>
      <i/>
      <sz val="9"/>
      <color theme="0"/>
      <name val="Calibri"/>
    </font>
    <font>
      <b/>
      <i/>
      <sz val="9"/>
      <color rgb="FF44546A"/>
      <name val="Calibri"/>
    </font>
    <font>
      <sz val="11"/>
      <color rgb="FFFF0000"/>
      <name val="Calibri"/>
    </font>
    <font>
      <i/>
      <sz val="9"/>
      <color theme="1"/>
      <name val="Calibri"/>
      <family val="2"/>
    </font>
  </fonts>
  <fills count="14">
    <fill>
      <patternFill patternType="none"/>
    </fill>
    <fill>
      <patternFill patternType="gray125"/>
    </fill>
    <fill>
      <patternFill patternType="solid">
        <fgColor rgb="FFD8D8D8"/>
        <bgColor rgb="FFD8D8D8"/>
      </patternFill>
    </fill>
    <fill>
      <patternFill patternType="solid">
        <fgColor rgb="FFADB9CA"/>
        <bgColor rgb="FFADB9CA"/>
      </patternFill>
    </fill>
    <fill>
      <patternFill patternType="solid">
        <fgColor rgb="FFFF66FF"/>
        <bgColor rgb="FFFF66FF"/>
      </patternFill>
    </fill>
    <fill>
      <patternFill patternType="solid">
        <fgColor rgb="FF548135"/>
        <bgColor rgb="FF548135"/>
      </patternFill>
    </fill>
    <fill>
      <patternFill patternType="solid">
        <fgColor rgb="FFA5A5A5"/>
        <bgColor rgb="FFA5A5A5"/>
      </patternFill>
    </fill>
    <fill>
      <patternFill patternType="solid">
        <fgColor theme="1"/>
        <bgColor theme="1"/>
      </patternFill>
    </fill>
    <fill>
      <patternFill patternType="solid">
        <fgColor rgb="FFFFC000"/>
        <bgColor rgb="FFFFC000"/>
      </patternFill>
    </fill>
    <fill>
      <patternFill patternType="solid">
        <fgColor rgb="FFC00000"/>
        <bgColor rgb="FFC00000"/>
      </patternFill>
    </fill>
    <fill>
      <patternFill patternType="solid">
        <fgColor rgb="FFFFFF00"/>
        <bgColor rgb="FFFFFF00"/>
      </patternFill>
    </fill>
    <fill>
      <patternFill patternType="solid">
        <fgColor rgb="FF595959"/>
        <bgColor rgb="FF595959"/>
      </patternFill>
    </fill>
    <fill>
      <patternFill patternType="solid">
        <fgColor rgb="FF92D050"/>
        <bgColor rgb="FF92D050"/>
      </patternFill>
    </fill>
    <fill>
      <patternFill patternType="solid">
        <fgColor rgb="FFFF0000"/>
        <bgColor rgb="FFFF0000"/>
      </patternFill>
    </fill>
  </fills>
  <borders count="2">
    <border>
      <left/>
      <right/>
      <top/>
      <bottom/>
      <diagonal/>
    </border>
    <border>
      <left style="hair">
        <color rgb="FF000000"/>
      </left>
      <right style="hair">
        <color rgb="FF000000"/>
      </right>
      <top style="hair">
        <color rgb="FF000000"/>
      </top>
      <bottom style="hair">
        <color rgb="FF000000"/>
      </bottom>
      <diagonal/>
    </border>
  </borders>
  <cellStyleXfs count="1">
    <xf numFmtId="0" fontId="0" fillId="0" borderId="0"/>
  </cellStyleXfs>
  <cellXfs count="52">
    <xf numFmtId="0" fontId="0" fillId="0" borderId="0" xfId="0" applyFont="1" applyAlignment="1"/>
    <xf numFmtId="0" fontId="1" fillId="0" borderId="0" xfId="0" applyFont="1"/>
    <xf numFmtId="0" fontId="2" fillId="0" borderId="0" xfId="0" applyFont="1"/>
    <xf numFmtId="0" fontId="3" fillId="2" borderId="1" xfId="0" applyFont="1" applyFill="1" applyBorder="1" applyAlignment="1">
      <alignment horizontal="center" vertical="center" wrapText="1"/>
    </xf>
    <xf numFmtId="14" fontId="1" fillId="0" borderId="0" xfId="0" applyNumberFormat="1" applyFont="1"/>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164" fontId="4" fillId="2" borderId="1" xfId="0" applyNumberFormat="1" applyFont="1" applyFill="1" applyBorder="1" applyAlignment="1">
      <alignment horizontal="center" vertical="center" wrapText="1"/>
    </xf>
    <xf numFmtId="165" fontId="4" fillId="2" borderId="1" xfId="0" applyNumberFormat="1" applyFont="1" applyFill="1" applyBorder="1" applyAlignment="1">
      <alignment horizontal="center" vertical="center" wrapText="1"/>
    </xf>
    <xf numFmtId="164" fontId="4" fillId="2" borderId="1" xfId="0" applyNumberFormat="1" applyFont="1" applyFill="1" applyBorder="1" applyAlignment="1">
      <alignment horizontal="left" vertical="center" wrapText="1"/>
    </xf>
    <xf numFmtId="0" fontId="4" fillId="2" borderId="1" xfId="0" applyFont="1" applyFill="1" applyBorder="1" applyAlignment="1">
      <alignment vertical="center" wrapText="1"/>
    </xf>
    <xf numFmtId="166" fontId="4" fillId="3" borderId="1" xfId="0" applyNumberFormat="1" applyFont="1" applyFill="1" applyBorder="1" applyAlignment="1">
      <alignment horizontal="center" vertical="center" wrapText="1"/>
    </xf>
    <xf numFmtId="166" fontId="4" fillId="4" borderId="1" xfId="0" applyNumberFormat="1" applyFont="1" applyFill="1" applyBorder="1" applyAlignment="1">
      <alignment horizontal="center" vertical="center" wrapText="1"/>
    </xf>
    <xf numFmtId="166" fontId="4" fillId="5" borderId="1" xfId="0" applyNumberFormat="1" applyFont="1" applyFill="1" applyBorder="1" applyAlignment="1">
      <alignment horizontal="center" vertical="center" wrapText="1"/>
    </xf>
    <xf numFmtId="164" fontId="4" fillId="6" borderId="1" xfId="0" applyNumberFormat="1" applyFont="1" applyFill="1" applyBorder="1" applyAlignment="1">
      <alignment horizontal="center" vertical="center" wrapText="1"/>
    </xf>
    <xf numFmtId="164" fontId="5" fillId="7" borderId="1" xfId="0" applyNumberFormat="1" applyFont="1" applyFill="1" applyBorder="1" applyAlignment="1">
      <alignment horizontal="center" vertical="center" wrapText="1"/>
    </xf>
    <xf numFmtId="14" fontId="5"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14" fontId="5" fillId="9" borderId="1"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14" fontId="4" fillId="10" borderId="1" xfId="0" applyNumberFormat="1" applyFont="1" applyFill="1" applyBorder="1" applyAlignment="1">
      <alignment horizontal="center" vertical="center" wrapText="1"/>
    </xf>
    <xf numFmtId="164" fontId="4" fillId="11" borderId="1" xfId="0" applyNumberFormat="1" applyFont="1" applyFill="1" applyBorder="1" applyAlignment="1">
      <alignment horizontal="center" vertical="center" wrapText="1"/>
    </xf>
    <xf numFmtId="0" fontId="3" fillId="12" borderId="1" xfId="0" applyFont="1" applyFill="1" applyBorder="1" applyAlignment="1">
      <alignment horizontal="center" vertical="center" wrapText="1"/>
    </xf>
    <xf numFmtId="14" fontId="3" fillId="12" borderId="1" xfId="0" applyNumberFormat="1" applyFont="1" applyFill="1" applyBorder="1" applyAlignment="1">
      <alignment horizontal="center" vertical="center" wrapText="1"/>
    </xf>
    <xf numFmtId="0" fontId="5" fillId="13" borderId="1" xfId="0" applyFont="1" applyFill="1" applyBorder="1" applyAlignment="1">
      <alignment horizontal="center" vertical="center" wrapText="1"/>
    </xf>
    <xf numFmtId="14" fontId="5" fillId="13"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0" borderId="1" xfId="0" applyFont="1" applyBorder="1"/>
    <xf numFmtId="0" fontId="3" fillId="0" borderId="1" xfId="0" applyFont="1" applyBorder="1" applyAlignment="1">
      <alignment horizontal="left" wrapText="1"/>
    </xf>
    <xf numFmtId="164" fontId="3" fillId="0" borderId="1" xfId="0" applyNumberFormat="1" applyFont="1" applyBorder="1" applyAlignment="1">
      <alignment horizontal="left" wrapText="1"/>
    </xf>
    <xf numFmtId="14" fontId="3" fillId="0" borderId="1" xfId="0" applyNumberFormat="1" applyFont="1" applyBorder="1"/>
    <xf numFmtId="165" fontId="3" fillId="0" borderId="1" xfId="0" applyNumberFormat="1" applyFont="1" applyBorder="1"/>
    <xf numFmtId="0" fontId="3" fillId="0" borderId="1" xfId="0" applyFont="1" applyBorder="1" applyAlignment="1">
      <alignment wrapText="1"/>
    </xf>
    <xf numFmtId="0" fontId="3" fillId="0" borderId="1" xfId="0" applyFont="1" applyBorder="1" applyAlignment="1">
      <alignment vertical="top" wrapText="1"/>
    </xf>
    <xf numFmtId="41" fontId="3" fillId="0" borderId="1" xfId="0" applyNumberFormat="1" applyFont="1" applyBorder="1"/>
    <xf numFmtId="14" fontId="3" fillId="8" borderId="1" xfId="0" applyNumberFormat="1" applyFont="1" applyFill="1" applyBorder="1"/>
    <xf numFmtId="0" fontId="3" fillId="6" borderId="1" xfId="0" applyFont="1" applyFill="1" applyBorder="1"/>
    <xf numFmtId="0" fontId="3" fillId="0" borderId="1" xfId="0" applyFont="1" applyBorder="1" applyAlignment="1">
      <alignment horizontal="right" wrapText="1"/>
    </xf>
    <xf numFmtId="14" fontId="3" fillId="0" borderId="1" xfId="0" applyNumberFormat="1" applyFont="1" applyBorder="1" applyAlignment="1">
      <alignment horizontal="right" wrapText="1"/>
    </xf>
    <xf numFmtId="0" fontId="3" fillId="11" borderId="1" xfId="0" applyFont="1" applyFill="1" applyBorder="1"/>
    <xf numFmtId="0" fontId="3" fillId="8" borderId="1" xfId="0" applyFont="1" applyFill="1" applyBorder="1"/>
    <xf numFmtId="14" fontId="3" fillId="0" borderId="1" xfId="0" applyNumberFormat="1" applyFont="1" applyBorder="1" applyAlignment="1">
      <alignment horizontal="right"/>
    </xf>
    <xf numFmtId="164" fontId="3" fillId="0" borderId="1" xfId="0" applyNumberFormat="1" applyFont="1" applyBorder="1" applyAlignment="1">
      <alignment horizontal="left" vertical="top" wrapText="1"/>
    </xf>
    <xf numFmtId="0" fontId="3" fillId="0" borderId="1" xfId="0" applyFont="1" applyBorder="1" applyAlignment="1">
      <alignment horizontal="right"/>
    </xf>
    <xf numFmtId="14" fontId="3" fillId="0" borderId="1" xfId="0" applyNumberFormat="1" applyFont="1" applyBorder="1" applyAlignment="1">
      <alignment wrapText="1"/>
    </xf>
    <xf numFmtId="0" fontId="7" fillId="0" borderId="0" xfId="0" applyFont="1"/>
    <xf numFmtId="0" fontId="1" fillId="0" borderId="0" xfId="0" applyFont="1" applyAlignment="1">
      <alignment wrapText="1"/>
    </xf>
    <xf numFmtId="0" fontId="1" fillId="0" borderId="0" xfId="0" applyFont="1" applyAlignment="1"/>
    <xf numFmtId="0" fontId="8" fillId="0" borderId="1" xfId="0" applyFont="1" applyBorder="1"/>
    <xf numFmtId="0" fontId="3" fillId="0"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W1010"/>
  <sheetViews>
    <sheetView tabSelected="1" topLeftCell="W1" workbookViewId="0">
      <pane ySplit="1" topLeftCell="A71" activePane="bottomLeft" state="frozen"/>
      <selection pane="bottomLeft" activeCell="AS72" sqref="AS72"/>
    </sheetView>
  </sheetViews>
  <sheetFormatPr baseColWidth="10" defaultColWidth="14.42578125" defaultRowHeight="15" customHeight="1" x14ac:dyDescent="0.25"/>
  <cols>
    <col min="1" max="1" width="5.28515625" customWidth="1"/>
    <col min="2" max="2" width="10.28515625" customWidth="1"/>
    <col min="3" max="3" width="3.5703125" customWidth="1"/>
    <col min="4" max="4" width="60.5703125" customWidth="1"/>
    <col min="5" max="5" width="16.42578125" customWidth="1"/>
    <col min="6" max="6" width="13.85546875" customWidth="1"/>
    <col min="7" max="7" width="14.5703125" customWidth="1"/>
    <col min="8" max="8" width="15" customWidth="1"/>
    <col min="9" max="9" width="12.7109375" customWidth="1"/>
    <col min="10" max="10" width="7" customWidth="1"/>
    <col min="11" max="11" width="12.28515625" customWidth="1"/>
    <col min="12" max="12" width="30.7109375" customWidth="1"/>
    <col min="13" max="13" width="10.140625" customWidth="1"/>
    <col min="14" max="15" width="30.7109375" customWidth="1"/>
    <col min="16" max="16" width="8.28515625" customWidth="1"/>
    <col min="17" max="17" width="8.7109375" customWidth="1"/>
    <col min="18" max="18" width="9.85546875" customWidth="1"/>
    <col min="19" max="19" width="4.140625" customWidth="1"/>
    <col min="20" max="20" width="13" customWidth="1"/>
    <col min="21" max="21" width="12.140625" customWidth="1"/>
    <col min="22" max="22" width="10.85546875" customWidth="1"/>
    <col min="23" max="23" width="10.28515625" customWidth="1"/>
    <col min="24" max="24" width="11.28515625" customWidth="1"/>
    <col min="25" max="25" width="10.28515625" customWidth="1"/>
    <col min="26" max="26" width="11.42578125" customWidth="1"/>
    <col min="27" max="27" width="10.28515625" customWidth="1"/>
    <col min="28" max="28" width="9.85546875" customWidth="1"/>
    <col min="29" max="29" width="9.42578125" customWidth="1"/>
    <col min="30" max="30" width="9.140625" customWidth="1"/>
    <col min="31" max="31" width="11.140625" customWidth="1"/>
    <col min="32" max="32" width="9.140625" customWidth="1"/>
    <col min="33" max="33" width="4" customWidth="1"/>
    <col min="34" max="34" width="11.5703125" customWidth="1"/>
    <col min="35" max="36" width="10.28515625" customWidth="1"/>
    <col min="37" max="37" width="10.42578125" customWidth="1"/>
    <col min="38" max="38" width="9.5703125" customWidth="1"/>
    <col min="39" max="39" width="10.28515625" customWidth="1"/>
    <col min="40" max="40" width="10.42578125" customWidth="1"/>
    <col min="41" max="41" width="10.28515625" customWidth="1"/>
    <col min="42" max="42" width="3.85546875" customWidth="1"/>
    <col min="43" max="43" width="11.7109375" customWidth="1"/>
    <col min="44" max="46" width="10.28515625" customWidth="1"/>
    <col min="47" max="47" width="13" customWidth="1"/>
    <col min="48" max="48" width="10.5703125" customWidth="1"/>
    <col min="49" max="49" width="3.5703125" customWidth="1"/>
  </cols>
  <sheetData>
    <row r="1" spans="1:49" ht="48" x14ac:dyDescent="0.25">
      <c r="A1" s="3"/>
      <c r="B1" s="5" t="s">
        <v>4</v>
      </c>
      <c r="C1" s="5"/>
      <c r="D1" s="5" t="s">
        <v>7</v>
      </c>
      <c r="E1" s="6" t="s">
        <v>1</v>
      </c>
      <c r="F1" s="7" t="s">
        <v>11</v>
      </c>
      <c r="G1" s="6" t="s">
        <v>14</v>
      </c>
      <c r="H1" s="8" t="s">
        <v>15</v>
      </c>
      <c r="I1" s="9" t="s">
        <v>18</v>
      </c>
      <c r="J1" s="7" t="s">
        <v>20</v>
      </c>
      <c r="K1" s="7" t="s">
        <v>21</v>
      </c>
      <c r="L1" s="10" t="s">
        <v>22</v>
      </c>
      <c r="M1" s="7" t="s">
        <v>25</v>
      </c>
      <c r="N1" s="7" t="s">
        <v>26</v>
      </c>
      <c r="O1" s="7" t="s">
        <v>28</v>
      </c>
      <c r="P1" s="11" t="s">
        <v>29</v>
      </c>
      <c r="Q1" s="12" t="s">
        <v>32</v>
      </c>
      <c r="R1" s="13" t="s">
        <v>35</v>
      </c>
      <c r="S1" s="14"/>
      <c r="T1" s="15" t="s">
        <v>40</v>
      </c>
      <c r="U1" s="15" t="s">
        <v>43</v>
      </c>
      <c r="V1" s="15" t="s">
        <v>45</v>
      </c>
      <c r="W1" s="16" t="s">
        <v>47</v>
      </c>
      <c r="X1" s="16" t="s">
        <v>49</v>
      </c>
      <c r="Y1" s="17" t="s">
        <v>14</v>
      </c>
      <c r="Z1" s="6" t="s">
        <v>52</v>
      </c>
      <c r="AA1" s="6" t="s">
        <v>53</v>
      </c>
      <c r="AB1" s="18" t="s">
        <v>55</v>
      </c>
      <c r="AC1" s="17" t="s">
        <v>59</v>
      </c>
      <c r="AD1" s="16" t="s">
        <v>61</v>
      </c>
      <c r="AE1" s="16" t="s">
        <v>62</v>
      </c>
      <c r="AF1" s="16" t="s">
        <v>64</v>
      </c>
      <c r="AG1" s="14"/>
      <c r="AH1" s="19" t="s">
        <v>66</v>
      </c>
      <c r="AI1" s="20" t="s">
        <v>68</v>
      </c>
      <c r="AJ1" s="20" t="s">
        <v>71</v>
      </c>
      <c r="AK1" s="20" t="s">
        <v>73</v>
      </c>
      <c r="AL1" s="21" t="s">
        <v>74</v>
      </c>
      <c r="AM1" s="22" t="s">
        <v>47</v>
      </c>
      <c r="AN1" s="22" t="s">
        <v>75</v>
      </c>
      <c r="AO1" s="22" t="s">
        <v>76</v>
      </c>
      <c r="AP1" s="23"/>
      <c r="AQ1" s="24" t="s">
        <v>77</v>
      </c>
      <c r="AR1" s="25" t="s">
        <v>78</v>
      </c>
      <c r="AS1" s="26" t="s">
        <v>79</v>
      </c>
      <c r="AT1" s="27" t="s">
        <v>80</v>
      </c>
      <c r="AU1" s="28" t="s">
        <v>81</v>
      </c>
      <c r="AV1" s="3" t="s">
        <v>82</v>
      </c>
    </row>
    <row r="2" spans="1:49" ht="60" customHeight="1" x14ac:dyDescent="0.25">
      <c r="A2" s="29">
        <v>1</v>
      </c>
      <c r="B2" s="51">
        <v>40073933</v>
      </c>
      <c r="C2" s="29">
        <v>0</v>
      </c>
      <c r="D2" s="29" t="s">
        <v>83</v>
      </c>
      <c r="E2" s="30" t="s">
        <v>23</v>
      </c>
      <c r="F2" s="31" t="s">
        <v>24</v>
      </c>
      <c r="G2" s="32">
        <v>45981</v>
      </c>
      <c r="H2" s="33">
        <v>189147</v>
      </c>
      <c r="I2" s="29" t="s">
        <v>84</v>
      </c>
      <c r="J2" s="29">
        <v>2026</v>
      </c>
      <c r="K2" s="34" t="s">
        <v>85</v>
      </c>
      <c r="L2" s="34" t="s">
        <v>86</v>
      </c>
      <c r="M2" s="35"/>
      <c r="N2" s="35" t="s">
        <v>87</v>
      </c>
      <c r="O2" s="35" t="s">
        <v>88</v>
      </c>
      <c r="P2" s="36"/>
      <c r="Q2" s="36"/>
      <c r="R2" s="36"/>
      <c r="S2" s="29"/>
      <c r="T2" s="34" t="s">
        <v>89</v>
      </c>
      <c r="U2" s="34" t="s">
        <v>89</v>
      </c>
      <c r="V2" s="29"/>
      <c r="W2" s="32">
        <v>45973</v>
      </c>
      <c r="X2" s="32"/>
      <c r="Y2" s="32"/>
      <c r="Z2" s="32"/>
      <c r="AA2" s="32">
        <v>45981</v>
      </c>
      <c r="AB2" s="37">
        <f>WORKDAY(AA2,15,'Feriados y Comunas'!A$2:A$25)</f>
        <v>46003</v>
      </c>
      <c r="AC2" s="29"/>
      <c r="AD2" s="29"/>
      <c r="AE2" s="29"/>
      <c r="AF2" s="29"/>
      <c r="AG2" s="38"/>
      <c r="AH2" s="39"/>
      <c r="AI2" s="40"/>
      <c r="AJ2" s="40"/>
      <c r="AK2" s="34"/>
      <c r="AL2" s="29"/>
      <c r="AM2" s="32"/>
      <c r="AN2" s="29"/>
      <c r="AO2" s="32"/>
      <c r="AP2" s="41"/>
      <c r="AQ2" s="39"/>
      <c r="AR2" s="40"/>
      <c r="AS2" s="29">
        <v>3289</v>
      </c>
      <c r="AT2" s="32">
        <v>46006</v>
      </c>
      <c r="AU2" s="42" t="s">
        <v>90</v>
      </c>
      <c r="AV2" s="29" t="s">
        <v>91</v>
      </c>
      <c r="AW2" s="1">
        <v>15</v>
      </c>
    </row>
    <row r="3" spans="1:49" ht="60" customHeight="1" x14ac:dyDescent="0.25">
      <c r="A3" s="29">
        <f t="shared" ref="A3:A33" si="0">1+A2</f>
        <v>2</v>
      </c>
      <c r="B3" s="51">
        <v>30116040</v>
      </c>
      <c r="C3" s="29">
        <v>0</v>
      </c>
      <c r="D3" s="29" t="s">
        <v>92</v>
      </c>
      <c r="E3" s="30" t="s">
        <v>58</v>
      </c>
      <c r="F3" s="31" t="s">
        <v>60</v>
      </c>
      <c r="G3" s="32">
        <v>45681</v>
      </c>
      <c r="H3" s="33">
        <v>2152920</v>
      </c>
      <c r="I3" s="29" t="s">
        <v>93</v>
      </c>
      <c r="J3" s="29">
        <v>2026</v>
      </c>
      <c r="K3" s="34" t="s">
        <v>94</v>
      </c>
      <c r="L3" s="34" t="s">
        <v>95</v>
      </c>
      <c r="M3" s="35"/>
      <c r="N3" s="35" t="s">
        <v>96</v>
      </c>
      <c r="O3" s="35" t="s">
        <v>97</v>
      </c>
      <c r="P3" s="36">
        <v>922</v>
      </c>
      <c r="Q3" s="36">
        <v>768</v>
      </c>
      <c r="R3" s="36">
        <v>1690</v>
      </c>
      <c r="S3" s="29"/>
      <c r="T3" s="34" t="s">
        <v>98</v>
      </c>
      <c r="U3" s="34" t="s">
        <v>98</v>
      </c>
      <c r="V3" s="29">
        <v>50</v>
      </c>
      <c r="W3" s="32">
        <v>45681</v>
      </c>
      <c r="X3" s="32" t="s">
        <v>99</v>
      </c>
      <c r="Y3" s="32">
        <v>45681</v>
      </c>
      <c r="Z3" s="32">
        <v>45684</v>
      </c>
      <c r="AA3" s="32">
        <v>45684</v>
      </c>
      <c r="AB3" s="37">
        <f>WORKDAY(AA3,15,'Feriados y Comunas'!A$2:A$25)</f>
        <v>45705</v>
      </c>
      <c r="AC3" s="29"/>
      <c r="AD3" s="29"/>
      <c r="AE3" s="29"/>
      <c r="AF3" s="29"/>
      <c r="AG3" s="38"/>
      <c r="AH3" s="39">
        <v>394</v>
      </c>
      <c r="AI3" s="40">
        <v>45726</v>
      </c>
      <c r="AJ3" s="40">
        <v>45695</v>
      </c>
      <c r="AK3" s="34" t="s">
        <v>100</v>
      </c>
      <c r="AL3" s="29">
        <v>252</v>
      </c>
      <c r="AM3" s="32">
        <v>45764</v>
      </c>
      <c r="AN3" s="29"/>
      <c r="AO3" s="32">
        <v>45764</v>
      </c>
      <c r="AP3" s="41"/>
      <c r="AQ3" s="39">
        <v>394</v>
      </c>
      <c r="AR3" s="40">
        <v>45726</v>
      </c>
      <c r="AS3" s="29">
        <v>1017</v>
      </c>
      <c r="AT3" s="32">
        <v>45800</v>
      </c>
      <c r="AU3" s="42" t="s">
        <v>90</v>
      </c>
      <c r="AV3" s="29"/>
      <c r="AW3" s="1"/>
    </row>
    <row r="4" spans="1:49" ht="60" customHeight="1" x14ac:dyDescent="0.25">
      <c r="A4" s="29">
        <f t="shared" si="0"/>
        <v>3</v>
      </c>
      <c r="B4" s="29">
        <v>40021925</v>
      </c>
      <c r="C4" s="29">
        <v>0</v>
      </c>
      <c r="D4" s="29" t="s">
        <v>101</v>
      </c>
      <c r="E4" s="30" t="s">
        <v>30</v>
      </c>
      <c r="F4" s="31" t="s">
        <v>24</v>
      </c>
      <c r="G4" s="32">
        <v>45811</v>
      </c>
      <c r="H4" s="33">
        <v>3688993</v>
      </c>
      <c r="I4" s="29" t="s">
        <v>102</v>
      </c>
      <c r="J4" s="29">
        <v>2026</v>
      </c>
      <c r="K4" s="34" t="s">
        <v>103</v>
      </c>
      <c r="L4" s="34" t="s">
        <v>104</v>
      </c>
      <c r="M4" s="35"/>
      <c r="N4" s="35" t="s">
        <v>105</v>
      </c>
      <c r="O4" s="35" t="s">
        <v>106</v>
      </c>
      <c r="P4" s="36">
        <v>18390</v>
      </c>
      <c r="Q4" s="36">
        <v>15830</v>
      </c>
      <c r="R4" s="36">
        <v>34220</v>
      </c>
      <c r="S4" s="29"/>
      <c r="T4" s="34" t="s">
        <v>107</v>
      </c>
      <c r="U4" s="34" t="s">
        <v>107</v>
      </c>
      <c r="V4" s="29">
        <v>472</v>
      </c>
      <c r="W4" s="32">
        <v>45803</v>
      </c>
      <c r="X4" s="32"/>
      <c r="Y4" s="32">
        <v>45811</v>
      </c>
      <c r="Z4" s="32">
        <v>45811</v>
      </c>
      <c r="AA4" s="32">
        <v>45811</v>
      </c>
      <c r="AB4" s="37">
        <f>WORKDAY(AA4,15,'Feriados y Comunas'!A$2:A$25)</f>
        <v>45833</v>
      </c>
      <c r="AC4" s="29"/>
      <c r="AD4" s="29"/>
      <c r="AE4" s="29"/>
      <c r="AF4" s="29"/>
      <c r="AG4" s="38"/>
      <c r="AH4" s="39" t="s">
        <v>108</v>
      </c>
      <c r="AI4" s="40" t="s">
        <v>109</v>
      </c>
      <c r="AJ4" s="40" t="s">
        <v>110</v>
      </c>
      <c r="AK4" s="34" t="s">
        <v>100</v>
      </c>
      <c r="AL4" s="29">
        <v>849</v>
      </c>
      <c r="AM4" s="32">
        <v>45925</v>
      </c>
      <c r="AN4" s="29"/>
      <c r="AO4" s="32">
        <v>45929</v>
      </c>
      <c r="AP4" s="41"/>
      <c r="AQ4" s="39" t="s">
        <v>111</v>
      </c>
      <c r="AR4" s="40" t="s">
        <v>112</v>
      </c>
      <c r="AS4" s="29">
        <v>64</v>
      </c>
      <c r="AT4" s="32">
        <v>46034</v>
      </c>
      <c r="AU4" s="42" t="s">
        <v>90</v>
      </c>
      <c r="AV4" s="29"/>
      <c r="AW4" s="1">
        <v>17</v>
      </c>
    </row>
    <row r="5" spans="1:49" ht="60" customHeight="1" x14ac:dyDescent="0.25">
      <c r="A5" s="29">
        <f t="shared" si="0"/>
        <v>4</v>
      </c>
      <c r="B5" s="29">
        <v>40026214</v>
      </c>
      <c r="C5" s="29">
        <v>0</v>
      </c>
      <c r="D5" s="29" t="s">
        <v>113</v>
      </c>
      <c r="E5" s="30" t="s">
        <v>114</v>
      </c>
      <c r="F5" s="31" t="s">
        <v>44</v>
      </c>
      <c r="G5" s="32">
        <v>46052</v>
      </c>
      <c r="H5" s="33">
        <v>154450</v>
      </c>
      <c r="I5" s="29" t="s">
        <v>84</v>
      </c>
      <c r="J5" s="29">
        <v>2026</v>
      </c>
      <c r="K5" s="34" t="s">
        <v>115</v>
      </c>
      <c r="L5" s="34" t="s">
        <v>116</v>
      </c>
      <c r="M5" s="35"/>
      <c r="N5" s="35" t="s">
        <v>117</v>
      </c>
      <c r="O5" s="35" t="s">
        <v>118</v>
      </c>
      <c r="P5" s="36">
        <v>4011</v>
      </c>
      <c r="Q5" s="36">
        <v>3501</v>
      </c>
      <c r="R5" s="36">
        <v>7512</v>
      </c>
      <c r="S5" s="29"/>
      <c r="T5" s="34" t="s">
        <v>119</v>
      </c>
      <c r="U5" s="34" t="s">
        <v>120</v>
      </c>
      <c r="V5" s="29">
        <v>18</v>
      </c>
      <c r="W5" s="32">
        <v>46052</v>
      </c>
      <c r="X5" s="32"/>
      <c r="Y5" s="32">
        <v>46052</v>
      </c>
      <c r="Z5" s="32"/>
      <c r="AA5" s="32">
        <v>46052</v>
      </c>
      <c r="AB5" s="37">
        <f>WORKDAY(AA5,15,'Feriados y Comunas'!A$2:A$25)</f>
        <v>46073</v>
      </c>
      <c r="AC5" s="29"/>
      <c r="AD5" s="29"/>
      <c r="AE5" s="29"/>
      <c r="AF5" s="29"/>
      <c r="AG5" s="38"/>
      <c r="AH5" s="29"/>
      <c r="AI5" s="43"/>
      <c r="AJ5" s="32"/>
      <c r="AK5" s="29"/>
      <c r="AL5" s="29"/>
      <c r="AM5" s="32"/>
      <c r="AN5" s="29"/>
      <c r="AO5" s="32"/>
      <c r="AP5" s="41"/>
      <c r="AQ5" s="29"/>
      <c r="AR5" s="43"/>
      <c r="AS5" s="29">
        <v>275</v>
      </c>
      <c r="AT5" s="32">
        <v>46059</v>
      </c>
      <c r="AU5" s="42" t="s">
        <v>90</v>
      </c>
      <c r="AV5" s="29" t="s">
        <v>91</v>
      </c>
      <c r="AW5" s="1">
        <v>5</v>
      </c>
    </row>
    <row r="6" spans="1:49" ht="60" customHeight="1" x14ac:dyDescent="0.25">
      <c r="A6" s="29">
        <f t="shared" si="0"/>
        <v>5</v>
      </c>
      <c r="B6" s="29">
        <v>40032330</v>
      </c>
      <c r="C6" s="29">
        <v>0</v>
      </c>
      <c r="D6" s="29" t="s">
        <v>121</v>
      </c>
      <c r="E6" s="30" t="s">
        <v>70</v>
      </c>
      <c r="F6" s="31" t="s">
        <v>72</v>
      </c>
      <c r="G6" s="32">
        <v>46009</v>
      </c>
      <c r="H6" s="33">
        <v>246829</v>
      </c>
      <c r="I6" s="29" t="s">
        <v>102</v>
      </c>
      <c r="J6" s="29">
        <v>2026</v>
      </c>
      <c r="K6" s="34" t="s">
        <v>122</v>
      </c>
      <c r="L6" s="34" t="s">
        <v>123</v>
      </c>
      <c r="M6" s="35"/>
      <c r="N6" s="35" t="s">
        <v>124</v>
      </c>
      <c r="O6" s="35" t="s">
        <v>125</v>
      </c>
      <c r="P6" s="36">
        <v>0</v>
      </c>
      <c r="Q6" s="36">
        <v>0</v>
      </c>
      <c r="R6" s="36">
        <v>0</v>
      </c>
      <c r="S6" s="29"/>
      <c r="T6" s="34" t="s">
        <v>126</v>
      </c>
      <c r="U6" s="34" t="s">
        <v>126</v>
      </c>
      <c r="V6" s="29">
        <v>1426</v>
      </c>
      <c r="W6" s="32">
        <v>46009</v>
      </c>
      <c r="X6" s="32"/>
      <c r="Y6" s="32"/>
      <c r="Z6" s="32"/>
      <c r="AA6" s="32">
        <v>46009</v>
      </c>
      <c r="AB6" s="37">
        <f>WORKDAY(AA6,15,'Feriados y Comunas'!A$2:A$25)</f>
        <v>46031</v>
      </c>
      <c r="AC6" s="29"/>
      <c r="AD6" s="29"/>
      <c r="AE6" s="29"/>
      <c r="AF6" s="29"/>
      <c r="AG6" s="38"/>
      <c r="AH6" s="29"/>
      <c r="AI6" s="43"/>
      <c r="AJ6" s="32"/>
      <c r="AK6" s="29"/>
      <c r="AL6" s="29"/>
      <c r="AM6" s="32"/>
      <c r="AN6" s="29"/>
      <c r="AO6" s="32"/>
      <c r="AP6" s="41"/>
      <c r="AQ6" s="29"/>
      <c r="AR6" s="43"/>
      <c r="AS6" s="29">
        <v>280</v>
      </c>
      <c r="AT6" s="32">
        <v>46059</v>
      </c>
      <c r="AU6" s="42" t="s">
        <v>90</v>
      </c>
      <c r="AV6" s="29"/>
      <c r="AW6" s="1">
        <v>35</v>
      </c>
    </row>
    <row r="7" spans="1:49" ht="60" customHeight="1" x14ac:dyDescent="0.25">
      <c r="A7" s="29">
        <f t="shared" si="0"/>
        <v>6</v>
      </c>
      <c r="B7" s="51">
        <v>40035805</v>
      </c>
      <c r="C7" s="29">
        <v>0</v>
      </c>
      <c r="D7" s="29" t="s">
        <v>127</v>
      </c>
      <c r="E7" s="30" t="s">
        <v>3</v>
      </c>
      <c r="F7" s="31" t="str">
        <f>+IFERROR(VLOOKUP(E7,'Feriados y Comunas'!$C$1:$D$36,2,FALSE),"")</f>
        <v>LLANQUIHUE</v>
      </c>
      <c r="G7" s="32">
        <v>45676</v>
      </c>
      <c r="H7" s="33">
        <v>1169652</v>
      </c>
      <c r="I7" s="29" t="s">
        <v>102</v>
      </c>
      <c r="J7" s="29">
        <v>2026</v>
      </c>
      <c r="K7" s="34" t="s">
        <v>128</v>
      </c>
      <c r="L7" s="34" t="s">
        <v>129</v>
      </c>
      <c r="M7" s="35"/>
      <c r="N7" s="44" t="s">
        <v>130</v>
      </c>
      <c r="O7" s="44" t="s">
        <v>131</v>
      </c>
      <c r="P7" s="36">
        <v>305</v>
      </c>
      <c r="Q7" s="36">
        <v>354</v>
      </c>
      <c r="R7" s="36">
        <f t="shared" ref="R7:R9" si="1">SUM(P7:Q7)</f>
        <v>659</v>
      </c>
      <c r="S7" s="29"/>
      <c r="T7" s="34" t="s">
        <v>132</v>
      </c>
      <c r="U7" s="34" t="s">
        <v>132</v>
      </c>
      <c r="V7" s="29">
        <v>33</v>
      </c>
      <c r="W7" s="32">
        <v>46037</v>
      </c>
      <c r="X7" s="32"/>
      <c r="Y7" s="32"/>
      <c r="Z7" s="32"/>
      <c r="AA7" s="32">
        <v>46041</v>
      </c>
      <c r="AB7" s="37">
        <f>WORKDAY(AA7,15,'Feriados y Comunas'!A$2:A$25)</f>
        <v>46062</v>
      </c>
      <c r="AC7" s="29"/>
      <c r="AD7" s="29"/>
      <c r="AE7" s="29"/>
      <c r="AF7" s="29"/>
      <c r="AG7" s="38"/>
      <c r="AH7" s="29"/>
      <c r="AI7" s="43"/>
      <c r="AJ7" s="32"/>
      <c r="AK7" s="29"/>
      <c r="AL7" s="29"/>
      <c r="AM7" s="32"/>
      <c r="AN7" s="29"/>
      <c r="AO7" s="32"/>
      <c r="AP7" s="41"/>
      <c r="AQ7" s="29"/>
      <c r="AR7" s="43"/>
      <c r="AS7" s="29">
        <v>281</v>
      </c>
      <c r="AT7" s="32">
        <v>46059</v>
      </c>
      <c r="AU7" s="42" t="s">
        <v>90</v>
      </c>
      <c r="AV7" s="29" t="s">
        <v>91</v>
      </c>
      <c r="AW7" s="1">
        <v>10</v>
      </c>
    </row>
    <row r="8" spans="1:49" ht="60" customHeight="1" x14ac:dyDescent="0.25">
      <c r="A8" s="29">
        <f t="shared" si="0"/>
        <v>7</v>
      </c>
      <c r="B8" s="29">
        <v>40039645</v>
      </c>
      <c r="C8" s="29">
        <v>0</v>
      </c>
      <c r="D8" s="29" t="s">
        <v>133</v>
      </c>
      <c r="E8" s="30" t="s">
        <v>54</v>
      </c>
      <c r="F8" s="31" t="str">
        <f>+IFERROR(VLOOKUP(E8,'Feriados y Comunas'!$C$1:$D$36,2,FALSE),"")</f>
        <v>OSORNO</v>
      </c>
      <c r="G8" s="32">
        <v>46050</v>
      </c>
      <c r="H8" s="33">
        <v>647283</v>
      </c>
      <c r="I8" s="29" t="s">
        <v>102</v>
      </c>
      <c r="J8" s="29">
        <v>2026</v>
      </c>
      <c r="K8" s="34" t="s">
        <v>134</v>
      </c>
      <c r="L8" s="34" t="s">
        <v>135</v>
      </c>
      <c r="M8" s="35"/>
      <c r="N8" s="35" t="s">
        <v>136</v>
      </c>
      <c r="O8" s="35" t="s">
        <v>137</v>
      </c>
      <c r="P8" s="36">
        <v>16</v>
      </c>
      <c r="Q8" s="36">
        <v>22</v>
      </c>
      <c r="R8" s="36">
        <f t="shared" si="1"/>
        <v>38</v>
      </c>
      <c r="S8" s="29"/>
      <c r="T8" s="34" t="s">
        <v>138</v>
      </c>
      <c r="U8" s="34" t="s">
        <v>138</v>
      </c>
      <c r="V8" s="29">
        <v>141</v>
      </c>
      <c r="W8" s="32">
        <v>46049</v>
      </c>
      <c r="X8" s="32"/>
      <c r="Y8" s="32"/>
      <c r="Z8" s="32"/>
      <c r="AA8" s="32">
        <v>46050</v>
      </c>
      <c r="AB8" s="37">
        <f>WORKDAY(AA8,15,'Feriados y Comunas'!A$2:A$25)</f>
        <v>46071</v>
      </c>
      <c r="AC8" s="29"/>
      <c r="AD8" s="29"/>
      <c r="AE8" s="29"/>
      <c r="AF8" s="29"/>
      <c r="AG8" s="38"/>
      <c r="AH8" s="29">
        <v>289</v>
      </c>
      <c r="AI8" s="43">
        <v>46059</v>
      </c>
      <c r="AJ8" s="32">
        <v>46059</v>
      </c>
      <c r="AK8" s="29" t="s">
        <v>100</v>
      </c>
      <c r="AL8" s="29">
        <v>196</v>
      </c>
      <c r="AM8" s="32">
        <v>46065</v>
      </c>
      <c r="AN8" s="29"/>
      <c r="AO8" s="32">
        <v>46065</v>
      </c>
      <c r="AP8" s="41"/>
      <c r="AQ8" s="29">
        <v>289</v>
      </c>
      <c r="AR8" s="43">
        <v>46059</v>
      </c>
      <c r="AS8" s="29">
        <v>515</v>
      </c>
      <c r="AT8" s="32">
        <v>46097</v>
      </c>
      <c r="AU8" s="42" t="s">
        <v>90</v>
      </c>
      <c r="AV8" s="29" t="s">
        <v>91</v>
      </c>
      <c r="AW8" s="1">
        <v>7</v>
      </c>
    </row>
    <row r="9" spans="1:49" ht="60" customHeight="1" x14ac:dyDescent="0.25">
      <c r="A9" s="29">
        <f t="shared" si="0"/>
        <v>8</v>
      </c>
      <c r="B9" s="29">
        <v>40074574</v>
      </c>
      <c r="C9" s="29">
        <v>0</v>
      </c>
      <c r="D9" s="29" t="s">
        <v>139</v>
      </c>
      <c r="E9" s="30" t="s">
        <v>54</v>
      </c>
      <c r="F9" s="31" t="str">
        <f>+IFERROR(VLOOKUP(E9,'Feriados y Comunas'!$C$1:$D$36,2,FALSE),"")</f>
        <v>OSORNO</v>
      </c>
      <c r="G9" s="32">
        <v>45924</v>
      </c>
      <c r="H9" s="33">
        <v>844156</v>
      </c>
      <c r="I9" s="29" t="s">
        <v>102</v>
      </c>
      <c r="J9" s="29">
        <v>2026</v>
      </c>
      <c r="K9" s="34" t="s">
        <v>122</v>
      </c>
      <c r="L9" s="34" t="s">
        <v>140</v>
      </c>
      <c r="M9" s="35"/>
      <c r="N9" s="35" t="s">
        <v>141</v>
      </c>
      <c r="O9" s="35" t="s">
        <v>142</v>
      </c>
      <c r="P9" s="36">
        <v>134</v>
      </c>
      <c r="Q9" s="36">
        <v>136</v>
      </c>
      <c r="R9" s="36">
        <f t="shared" si="1"/>
        <v>270</v>
      </c>
      <c r="S9" s="29"/>
      <c r="T9" s="34" t="s">
        <v>138</v>
      </c>
      <c r="U9" s="34" t="s">
        <v>138</v>
      </c>
      <c r="V9" s="45" t="s">
        <v>143</v>
      </c>
      <c r="W9" s="32">
        <v>45909</v>
      </c>
      <c r="X9" s="32"/>
      <c r="Y9" s="32">
        <v>45924</v>
      </c>
      <c r="Z9" s="32">
        <v>45924</v>
      </c>
      <c r="AA9" s="32">
        <v>45924</v>
      </c>
      <c r="AB9" s="37">
        <f>WORKDAY(AA9,15,'Feriados y Comunas'!A$2:A$25)</f>
        <v>45945</v>
      </c>
      <c r="AC9" s="29"/>
      <c r="AD9" s="29"/>
      <c r="AE9" s="29"/>
      <c r="AF9" s="29"/>
      <c r="AG9" s="38"/>
      <c r="AH9" s="29">
        <v>2911</v>
      </c>
      <c r="AI9" s="43">
        <v>45964</v>
      </c>
      <c r="AJ9" s="32">
        <v>45960</v>
      </c>
      <c r="AK9" s="34" t="s">
        <v>100</v>
      </c>
      <c r="AL9" s="29">
        <v>293</v>
      </c>
      <c r="AM9" s="32">
        <v>46084</v>
      </c>
      <c r="AN9" s="29"/>
      <c r="AO9" s="32">
        <v>46084</v>
      </c>
      <c r="AP9" s="41"/>
      <c r="AQ9" s="29">
        <v>2911</v>
      </c>
      <c r="AR9" s="43">
        <v>45964</v>
      </c>
      <c r="AS9" s="29">
        <v>518</v>
      </c>
      <c r="AT9" s="32">
        <v>46097</v>
      </c>
      <c r="AU9" s="42" t="s">
        <v>90</v>
      </c>
      <c r="AV9" s="29"/>
      <c r="AW9" s="1">
        <v>26</v>
      </c>
    </row>
    <row r="10" spans="1:49" ht="60" customHeight="1" x14ac:dyDescent="0.25">
      <c r="A10" s="29">
        <f t="shared" si="0"/>
        <v>9</v>
      </c>
      <c r="B10" s="29">
        <v>40074940</v>
      </c>
      <c r="C10" s="29">
        <v>0</v>
      </c>
      <c r="D10" s="29" t="s">
        <v>144</v>
      </c>
      <c r="E10" s="30" t="s">
        <v>31</v>
      </c>
      <c r="F10" s="31" t="str">
        <f>+IFERROR(VLOOKUP(E10,'Feriados y Comunas'!$C$1:$D$36,2,FALSE),"")</f>
        <v>CHILOÉ</v>
      </c>
      <c r="G10" s="32">
        <v>45933</v>
      </c>
      <c r="H10" s="33">
        <v>55000</v>
      </c>
      <c r="I10" s="29" t="s">
        <v>102</v>
      </c>
      <c r="J10" s="29">
        <v>2026</v>
      </c>
      <c r="K10" s="34" t="s">
        <v>145</v>
      </c>
      <c r="L10" s="34" t="s">
        <v>146</v>
      </c>
      <c r="M10" s="35"/>
      <c r="N10" s="35" t="s">
        <v>147</v>
      </c>
      <c r="O10" s="35" t="s">
        <v>148</v>
      </c>
      <c r="P10" s="36">
        <v>0</v>
      </c>
      <c r="Q10" s="36">
        <v>0</v>
      </c>
      <c r="R10" s="36">
        <f>SUBTOTAL(9,P10:Q10)</f>
        <v>0</v>
      </c>
      <c r="S10" s="29"/>
      <c r="T10" s="34" t="s">
        <v>149</v>
      </c>
      <c r="U10" s="34" t="s">
        <v>149</v>
      </c>
      <c r="V10" s="29">
        <v>839</v>
      </c>
      <c r="W10" s="32">
        <v>45926</v>
      </c>
      <c r="X10" s="32"/>
      <c r="Y10" s="32">
        <v>45933</v>
      </c>
      <c r="Z10" s="32">
        <v>45933</v>
      </c>
      <c r="AA10" s="32">
        <v>45933</v>
      </c>
      <c r="AB10" s="37">
        <f>WORKDAY(AA10,15,'Feriados y Comunas'!A$2:A$25)</f>
        <v>45954</v>
      </c>
      <c r="AC10" s="29"/>
      <c r="AD10" s="29"/>
      <c r="AE10" s="29"/>
      <c r="AF10" s="29"/>
      <c r="AG10" s="38"/>
      <c r="AH10" s="39" t="s">
        <v>150</v>
      </c>
      <c r="AI10" s="39" t="s">
        <v>151</v>
      </c>
      <c r="AJ10" s="40" t="s">
        <v>152</v>
      </c>
      <c r="AK10" s="34" t="s">
        <v>100</v>
      </c>
      <c r="AL10" s="39" t="s">
        <v>153</v>
      </c>
      <c r="AM10" s="40" t="s">
        <v>154</v>
      </c>
      <c r="AN10" s="39"/>
      <c r="AO10" s="40" t="s">
        <v>154</v>
      </c>
      <c r="AP10" s="41"/>
      <c r="AQ10" s="39" t="s">
        <v>155</v>
      </c>
      <c r="AR10" s="39" t="s">
        <v>151</v>
      </c>
      <c r="AS10" s="29">
        <v>513</v>
      </c>
      <c r="AT10" s="32">
        <v>46097</v>
      </c>
      <c r="AU10" s="42" t="s">
        <v>90</v>
      </c>
      <c r="AV10" s="29"/>
      <c r="AW10" s="1">
        <v>19</v>
      </c>
    </row>
    <row r="11" spans="1:49" ht="60" customHeight="1" x14ac:dyDescent="0.25">
      <c r="A11" s="29">
        <f t="shared" si="0"/>
        <v>10</v>
      </c>
      <c r="B11" s="29">
        <v>50000852</v>
      </c>
      <c r="C11" s="29">
        <v>0</v>
      </c>
      <c r="D11" s="29" t="s">
        <v>156</v>
      </c>
      <c r="E11" s="30" t="s">
        <v>42</v>
      </c>
      <c r="F11" s="31" t="str">
        <f>+IFERROR(VLOOKUP(E11,'Feriados y Comunas'!$C$1:$D$36,2,FALSE),"")</f>
        <v>OSORNO</v>
      </c>
      <c r="G11" s="32">
        <v>46086</v>
      </c>
      <c r="H11" s="33">
        <v>1756123</v>
      </c>
      <c r="I11" s="29" t="s">
        <v>102</v>
      </c>
      <c r="J11" s="29">
        <v>2026</v>
      </c>
      <c r="K11" s="34" t="s">
        <v>103</v>
      </c>
      <c r="L11" s="34" t="s">
        <v>157</v>
      </c>
      <c r="M11" s="35"/>
      <c r="N11" s="35" t="s">
        <v>105</v>
      </c>
      <c r="O11" s="35" t="s">
        <v>158</v>
      </c>
      <c r="P11" s="36">
        <v>0</v>
      </c>
      <c r="Q11" s="36">
        <v>0</v>
      </c>
      <c r="R11" s="36">
        <f t="shared" ref="R11:R12" si="2">SUM(P11:Q11)</f>
        <v>0</v>
      </c>
      <c r="S11" s="29"/>
      <c r="T11" s="34" t="s">
        <v>159</v>
      </c>
      <c r="U11" s="34" t="s">
        <v>159</v>
      </c>
      <c r="V11" s="29">
        <v>4670</v>
      </c>
      <c r="W11" s="32">
        <v>46086</v>
      </c>
      <c r="X11" s="32"/>
      <c r="Y11" s="32"/>
      <c r="Z11" s="32"/>
      <c r="AA11" s="32">
        <v>46086</v>
      </c>
      <c r="AB11" s="37">
        <f>WORKDAY(AA11,15,'Feriados y Comunas'!A$2:A$25)</f>
        <v>46107</v>
      </c>
      <c r="AC11" s="29"/>
      <c r="AD11" s="29"/>
      <c r="AE11" s="29"/>
      <c r="AF11" s="29"/>
      <c r="AG11" s="38"/>
      <c r="AH11" s="29">
        <v>520</v>
      </c>
      <c r="AI11" s="43">
        <v>46097</v>
      </c>
      <c r="AJ11" s="32">
        <v>46094</v>
      </c>
      <c r="AK11" s="29" t="s">
        <v>100</v>
      </c>
      <c r="AL11" s="29">
        <v>6776</v>
      </c>
      <c r="AM11" s="32">
        <v>46106</v>
      </c>
      <c r="AN11" s="29"/>
      <c r="AO11" s="32">
        <v>46106</v>
      </c>
      <c r="AP11" s="41"/>
      <c r="AQ11" s="29">
        <v>520</v>
      </c>
      <c r="AR11" s="43">
        <v>46097</v>
      </c>
      <c r="AS11" s="29">
        <v>652</v>
      </c>
      <c r="AT11" s="32">
        <v>46112</v>
      </c>
      <c r="AU11" s="42" t="s">
        <v>90</v>
      </c>
      <c r="AV11" s="29" t="s">
        <v>91</v>
      </c>
      <c r="AW11" s="1">
        <v>7</v>
      </c>
    </row>
    <row r="12" spans="1:49" ht="60" customHeight="1" x14ac:dyDescent="0.25">
      <c r="A12" s="29">
        <f t="shared" si="0"/>
        <v>11</v>
      </c>
      <c r="B12" s="29">
        <v>50000492</v>
      </c>
      <c r="C12" s="29">
        <v>0</v>
      </c>
      <c r="D12" s="29" t="s">
        <v>160</v>
      </c>
      <c r="E12" s="30" t="s">
        <v>42</v>
      </c>
      <c r="F12" s="31" t="str">
        <f>+IFERROR(VLOOKUP(E12,'Feriados y Comunas'!$C$1:$D$36,2,FALSE),"")</f>
        <v>OSORNO</v>
      </c>
      <c r="G12" s="32">
        <v>46079</v>
      </c>
      <c r="H12" s="33">
        <v>76160</v>
      </c>
      <c r="I12" s="29" t="s">
        <v>84</v>
      </c>
      <c r="J12" s="29">
        <v>2026</v>
      </c>
      <c r="K12" s="34" t="s">
        <v>103</v>
      </c>
      <c r="L12" s="34" t="s">
        <v>161</v>
      </c>
      <c r="M12" s="35"/>
      <c r="N12" s="35" t="s">
        <v>105</v>
      </c>
      <c r="O12" s="35" t="s">
        <v>158</v>
      </c>
      <c r="P12" s="36">
        <v>0</v>
      </c>
      <c r="Q12" s="36">
        <v>0</v>
      </c>
      <c r="R12" s="36">
        <f t="shared" si="2"/>
        <v>0</v>
      </c>
      <c r="S12" s="29"/>
      <c r="T12" s="34" t="s">
        <v>159</v>
      </c>
      <c r="U12" s="34" t="s">
        <v>159</v>
      </c>
      <c r="V12" s="29">
        <v>4208</v>
      </c>
      <c r="W12" s="32">
        <v>46079</v>
      </c>
      <c r="X12" s="32"/>
      <c r="Y12" s="32"/>
      <c r="Z12" s="32"/>
      <c r="AA12" s="32">
        <v>46079</v>
      </c>
      <c r="AB12" s="37">
        <f>WORKDAY(AA12,15,'Feriados y Comunas'!A$2:A$25)</f>
        <v>46100</v>
      </c>
      <c r="AC12" s="29"/>
      <c r="AD12" s="29"/>
      <c r="AE12" s="29"/>
      <c r="AF12" s="29"/>
      <c r="AG12" s="38"/>
      <c r="AH12" s="29">
        <v>516</v>
      </c>
      <c r="AI12" s="43">
        <v>46097</v>
      </c>
      <c r="AJ12" s="32">
        <v>46094</v>
      </c>
      <c r="AK12" s="29" t="s">
        <v>100</v>
      </c>
      <c r="AL12" s="29">
        <v>6960</v>
      </c>
      <c r="AM12" s="32">
        <v>46108</v>
      </c>
      <c r="AN12" s="29"/>
      <c r="AO12" s="32">
        <v>46108</v>
      </c>
      <c r="AP12" s="41"/>
      <c r="AQ12" s="29">
        <v>516</v>
      </c>
      <c r="AR12" s="43">
        <v>46097</v>
      </c>
      <c r="AS12" s="29">
        <v>653</v>
      </c>
      <c r="AT12" s="32">
        <v>46112</v>
      </c>
      <c r="AU12" s="42" t="s">
        <v>90</v>
      </c>
      <c r="AV12" s="29" t="s">
        <v>91</v>
      </c>
      <c r="AW12" s="1">
        <v>11</v>
      </c>
    </row>
    <row r="13" spans="1:49" ht="60" customHeight="1" x14ac:dyDescent="0.25">
      <c r="A13" s="29">
        <f t="shared" si="0"/>
        <v>12</v>
      </c>
      <c r="B13" s="29">
        <v>40049194</v>
      </c>
      <c r="C13" s="29">
        <v>0</v>
      </c>
      <c r="D13" s="29" t="s">
        <v>162</v>
      </c>
      <c r="E13" s="30" t="s">
        <v>12</v>
      </c>
      <c r="F13" s="31" t="str">
        <f>+IFERROR(VLOOKUP(E13,'Feriados y Comunas'!$C$1:$D$36,2,FALSE),"")</f>
        <v>LLANQUIHUE</v>
      </c>
      <c r="G13" s="32">
        <v>46107</v>
      </c>
      <c r="H13" s="33">
        <v>1208289</v>
      </c>
      <c r="I13" s="29" t="s">
        <v>102</v>
      </c>
      <c r="J13" s="29">
        <v>2026</v>
      </c>
      <c r="K13" s="34" t="s">
        <v>163</v>
      </c>
      <c r="L13" s="34" t="s">
        <v>164</v>
      </c>
      <c r="M13" s="35"/>
      <c r="N13" s="35" t="s">
        <v>87</v>
      </c>
      <c r="O13" s="35" t="s">
        <v>88</v>
      </c>
      <c r="P13" s="36">
        <v>209</v>
      </c>
      <c r="Q13" s="36">
        <v>191</v>
      </c>
      <c r="R13" s="36"/>
      <c r="S13" s="29"/>
      <c r="T13" s="34" t="s">
        <v>165</v>
      </c>
      <c r="U13" s="34" t="s">
        <v>165</v>
      </c>
      <c r="V13" s="29">
        <v>554</v>
      </c>
      <c r="W13" s="32">
        <v>46106</v>
      </c>
      <c r="X13" s="32"/>
      <c r="Y13" s="32"/>
      <c r="Z13" s="32"/>
      <c r="AA13" s="32">
        <v>46107</v>
      </c>
      <c r="AB13" s="37">
        <f>WORKDAY(AA13,15,'Feriados y Comunas'!A$2:A$25)</f>
        <v>46128</v>
      </c>
      <c r="AC13" s="29"/>
      <c r="AD13" s="29"/>
      <c r="AE13" s="29"/>
      <c r="AF13" s="29"/>
      <c r="AG13" s="38"/>
      <c r="AH13" s="39"/>
      <c r="AI13" s="39"/>
      <c r="AJ13" s="40"/>
      <c r="AK13" s="34"/>
      <c r="AL13" s="39"/>
      <c r="AM13" s="40"/>
      <c r="AN13" s="39"/>
      <c r="AO13" s="40"/>
      <c r="AP13" s="41"/>
      <c r="AQ13" s="39"/>
      <c r="AR13" s="39"/>
      <c r="AS13" s="29">
        <v>720</v>
      </c>
      <c r="AT13" s="32">
        <v>46119</v>
      </c>
      <c r="AU13" s="42" t="s">
        <v>90</v>
      </c>
      <c r="AV13" s="29" t="s">
        <v>91</v>
      </c>
      <c r="AW13" s="1">
        <v>12</v>
      </c>
    </row>
    <row r="14" spans="1:49" ht="60" customHeight="1" x14ac:dyDescent="0.25">
      <c r="A14" s="29">
        <f t="shared" si="0"/>
        <v>13</v>
      </c>
      <c r="B14" s="29">
        <v>40060318</v>
      </c>
      <c r="C14" s="29">
        <v>0</v>
      </c>
      <c r="D14" s="29" t="s">
        <v>166</v>
      </c>
      <c r="E14" s="30" t="s">
        <v>12</v>
      </c>
      <c r="F14" s="31" t="str">
        <f>+IFERROR(VLOOKUP(E14,'Feriados y Comunas'!$C$1:$D$36,2,FALSE),"")</f>
        <v>LLANQUIHUE</v>
      </c>
      <c r="G14" s="32">
        <v>45771</v>
      </c>
      <c r="H14" s="33">
        <v>311706</v>
      </c>
      <c r="I14" s="29" t="s">
        <v>102</v>
      </c>
      <c r="J14" s="29">
        <v>2027</v>
      </c>
      <c r="K14" s="34" t="s">
        <v>134</v>
      </c>
      <c r="L14" s="34" t="s">
        <v>167</v>
      </c>
      <c r="M14" s="35"/>
      <c r="N14" s="35" t="s">
        <v>136</v>
      </c>
      <c r="O14" s="35" t="s">
        <v>137</v>
      </c>
      <c r="P14" s="36">
        <v>35</v>
      </c>
      <c r="Q14" s="36">
        <v>34</v>
      </c>
      <c r="R14" s="36">
        <f t="shared" ref="R14:R15" si="3">SUM(P14:Q14)</f>
        <v>69</v>
      </c>
      <c r="S14" s="29"/>
      <c r="T14" s="34" t="s">
        <v>165</v>
      </c>
      <c r="U14" s="34" t="s">
        <v>165</v>
      </c>
      <c r="V14" s="29">
        <v>311</v>
      </c>
      <c r="W14" s="32">
        <v>46084</v>
      </c>
      <c r="X14" s="32"/>
      <c r="Y14" s="32"/>
      <c r="Z14" s="32"/>
      <c r="AA14" s="32">
        <v>46086</v>
      </c>
      <c r="AB14" s="37">
        <f>WORKDAY(AA14,15,'Feriados y Comunas'!A$2:A$25)</f>
        <v>46107</v>
      </c>
      <c r="AC14" s="29"/>
      <c r="AD14" s="29"/>
      <c r="AE14" s="29"/>
      <c r="AF14" s="29"/>
      <c r="AG14" s="38"/>
      <c r="AH14" s="29">
        <v>527</v>
      </c>
      <c r="AI14" s="43">
        <v>46098</v>
      </c>
      <c r="AJ14" s="32">
        <v>46094</v>
      </c>
      <c r="AK14" s="29" t="s">
        <v>100</v>
      </c>
      <c r="AL14" s="29">
        <v>355</v>
      </c>
      <c r="AM14" s="32">
        <v>46099</v>
      </c>
      <c r="AN14" s="29"/>
      <c r="AO14" s="32">
        <v>46100</v>
      </c>
      <c r="AP14" s="41"/>
      <c r="AQ14" s="29"/>
      <c r="AR14" s="43"/>
      <c r="AS14" s="29">
        <v>778</v>
      </c>
      <c r="AT14" s="32">
        <v>46125</v>
      </c>
      <c r="AU14" s="42" t="s">
        <v>90</v>
      </c>
      <c r="AV14" s="29" t="s">
        <v>91</v>
      </c>
      <c r="AW14" s="1">
        <v>7</v>
      </c>
    </row>
    <row r="15" spans="1:49" ht="60" customHeight="1" x14ac:dyDescent="0.25">
      <c r="A15" s="29">
        <f t="shared" si="0"/>
        <v>14</v>
      </c>
      <c r="B15" s="29">
        <v>40072627</v>
      </c>
      <c r="C15" s="29">
        <v>0</v>
      </c>
      <c r="D15" s="29" t="s">
        <v>168</v>
      </c>
      <c r="E15" s="30" t="s">
        <v>56</v>
      </c>
      <c r="F15" s="31" t="str">
        <f>+IFERROR(VLOOKUP(E15,'Feriados y Comunas'!$C$1:$D$36,2,FALSE),"")</f>
        <v>OSORNO</v>
      </c>
      <c r="G15" s="32">
        <v>45876</v>
      </c>
      <c r="H15" s="33">
        <v>798241</v>
      </c>
      <c r="I15" s="29" t="s">
        <v>102</v>
      </c>
      <c r="J15" s="29">
        <v>2026</v>
      </c>
      <c r="K15" s="34" t="s">
        <v>134</v>
      </c>
      <c r="L15" s="34" t="s">
        <v>169</v>
      </c>
      <c r="M15" s="35"/>
      <c r="N15" s="35" t="s">
        <v>136</v>
      </c>
      <c r="O15" s="35" t="s">
        <v>137</v>
      </c>
      <c r="P15" s="36">
        <v>88</v>
      </c>
      <c r="Q15" s="36">
        <v>76</v>
      </c>
      <c r="R15" s="36">
        <f t="shared" si="3"/>
        <v>164</v>
      </c>
      <c r="S15" s="29"/>
      <c r="T15" s="34" t="s">
        <v>170</v>
      </c>
      <c r="U15" s="34" t="s">
        <v>170</v>
      </c>
      <c r="V15" s="29">
        <v>668</v>
      </c>
      <c r="W15" s="32">
        <v>45867</v>
      </c>
      <c r="X15" s="32"/>
      <c r="Y15" s="32">
        <v>45876</v>
      </c>
      <c r="Z15" s="32">
        <v>45876</v>
      </c>
      <c r="AA15" s="32">
        <v>45876</v>
      </c>
      <c r="AB15" s="37">
        <f>WORKDAY(AA15,15,'Feriados y Comunas'!A$2:A$25)</f>
        <v>45898</v>
      </c>
      <c r="AC15" s="29"/>
      <c r="AD15" s="29"/>
      <c r="AE15" s="29"/>
      <c r="AF15" s="29"/>
      <c r="AG15" s="38"/>
      <c r="AH15" s="29">
        <v>2123</v>
      </c>
      <c r="AI15" s="43">
        <v>45894</v>
      </c>
      <c r="AJ15" s="32">
        <v>45891</v>
      </c>
      <c r="AK15" s="34" t="s">
        <v>100</v>
      </c>
      <c r="AL15" s="29">
        <v>382</v>
      </c>
      <c r="AM15" s="32">
        <v>46099</v>
      </c>
      <c r="AN15" s="29"/>
      <c r="AO15" s="32">
        <v>46104</v>
      </c>
      <c r="AP15" s="41"/>
      <c r="AQ15" s="29">
        <v>2123</v>
      </c>
      <c r="AR15" s="43">
        <v>45894</v>
      </c>
      <c r="AS15" s="29">
        <v>777</v>
      </c>
      <c r="AT15" s="32">
        <v>46125</v>
      </c>
      <c r="AU15" s="42" t="s">
        <v>90</v>
      </c>
      <c r="AV15" s="29" t="s">
        <v>91</v>
      </c>
      <c r="AW15" s="1">
        <v>10</v>
      </c>
    </row>
    <row r="16" spans="1:49" ht="60" customHeight="1" x14ac:dyDescent="0.25">
      <c r="A16" s="29">
        <f t="shared" si="0"/>
        <v>15</v>
      </c>
      <c r="B16" s="29">
        <v>40075419</v>
      </c>
      <c r="C16" s="29">
        <v>0</v>
      </c>
      <c r="D16" s="29" t="s">
        <v>171</v>
      </c>
      <c r="E16" s="30" t="s">
        <v>65</v>
      </c>
      <c r="F16" s="31" t="str">
        <f>+IFERROR(VLOOKUP(E16,'Feriados y Comunas'!$C$1:$D$36,2,FALSE),"")</f>
        <v>PALENA</v>
      </c>
      <c r="G16" s="32">
        <v>46036</v>
      </c>
      <c r="H16" s="33">
        <v>211597</v>
      </c>
      <c r="I16" s="29" t="s">
        <v>84</v>
      </c>
      <c r="J16" s="29">
        <v>2026</v>
      </c>
      <c r="K16" s="34" t="s">
        <v>103</v>
      </c>
      <c r="L16" s="34" t="s">
        <v>172</v>
      </c>
      <c r="M16" s="35"/>
      <c r="N16" s="35" t="s">
        <v>105</v>
      </c>
      <c r="O16" s="35" t="s">
        <v>158</v>
      </c>
      <c r="P16" s="36"/>
      <c r="Q16" s="36"/>
      <c r="R16" s="36"/>
      <c r="S16" s="29"/>
      <c r="T16" s="34" t="s">
        <v>173</v>
      </c>
      <c r="U16" s="34" t="s">
        <v>173</v>
      </c>
      <c r="V16" s="29">
        <v>10</v>
      </c>
      <c r="W16" s="32">
        <v>46030</v>
      </c>
      <c r="X16" s="32"/>
      <c r="Y16" s="32"/>
      <c r="Z16" s="32"/>
      <c r="AA16" s="32">
        <v>46036</v>
      </c>
      <c r="AB16" s="37">
        <f>WORKDAY(AA16,15,'Feriados y Comunas'!A$2:A$25)</f>
        <v>46057</v>
      </c>
      <c r="AC16" s="29"/>
      <c r="AD16" s="29"/>
      <c r="AE16" s="29"/>
      <c r="AF16" s="29"/>
      <c r="AG16" s="38"/>
      <c r="AH16" s="29">
        <v>293</v>
      </c>
      <c r="AI16" s="43">
        <v>46062</v>
      </c>
      <c r="AJ16" s="32">
        <v>46059</v>
      </c>
      <c r="AK16" s="29" t="s">
        <v>100</v>
      </c>
      <c r="AL16" s="29">
        <v>225</v>
      </c>
      <c r="AM16" s="32">
        <v>46105</v>
      </c>
      <c r="AN16" s="29"/>
      <c r="AO16" s="32">
        <v>46105</v>
      </c>
      <c r="AP16" s="41"/>
      <c r="AQ16" s="29">
        <v>293</v>
      </c>
      <c r="AR16" s="43">
        <v>46062</v>
      </c>
      <c r="AS16" s="29">
        <v>776</v>
      </c>
      <c r="AT16" s="32">
        <v>46125</v>
      </c>
      <c r="AU16" s="42" t="s">
        <v>90</v>
      </c>
      <c r="AV16" s="29"/>
      <c r="AW16" s="1">
        <v>17</v>
      </c>
    </row>
    <row r="17" spans="1:49" ht="60" customHeight="1" x14ac:dyDescent="0.25">
      <c r="A17" s="29">
        <f t="shared" si="0"/>
        <v>16</v>
      </c>
      <c r="B17" s="29">
        <v>40059318</v>
      </c>
      <c r="C17" s="29">
        <v>0</v>
      </c>
      <c r="D17" s="29" t="s">
        <v>174</v>
      </c>
      <c r="E17" s="30" t="s">
        <v>48</v>
      </c>
      <c r="F17" s="31" t="s">
        <v>44</v>
      </c>
      <c r="G17" s="32">
        <v>45427</v>
      </c>
      <c r="H17" s="33">
        <v>71464</v>
      </c>
      <c r="I17" s="29" t="s">
        <v>84</v>
      </c>
      <c r="J17" s="29">
        <v>2026</v>
      </c>
      <c r="K17" s="34" t="s">
        <v>115</v>
      </c>
      <c r="L17" s="34" t="s">
        <v>175</v>
      </c>
      <c r="M17" s="35"/>
      <c r="N17" s="35" t="s">
        <v>176</v>
      </c>
      <c r="O17" s="35" t="s">
        <v>177</v>
      </c>
      <c r="P17" s="36">
        <v>5958</v>
      </c>
      <c r="Q17" s="36">
        <v>5709</v>
      </c>
      <c r="R17" s="36">
        <f t="shared" ref="R17:R20" si="4">SUM(P17:Q17)</f>
        <v>11667</v>
      </c>
      <c r="S17" s="29"/>
      <c r="T17" s="34" t="s">
        <v>178</v>
      </c>
      <c r="U17" s="34" t="s">
        <v>178</v>
      </c>
      <c r="V17" s="29">
        <v>198</v>
      </c>
      <c r="W17" s="32">
        <v>46091</v>
      </c>
      <c r="X17" s="32"/>
      <c r="Y17" s="32"/>
      <c r="Z17" s="32"/>
      <c r="AA17" s="32">
        <v>46092</v>
      </c>
      <c r="AB17" s="37">
        <f>WORKDAY(AA17,15,'Feriados y Comunas'!A$2:A$25)</f>
        <v>46113</v>
      </c>
      <c r="AC17" s="29"/>
      <c r="AD17" s="29"/>
      <c r="AE17" s="29"/>
      <c r="AF17" s="29"/>
      <c r="AG17" s="38"/>
      <c r="AH17" s="29"/>
      <c r="AI17" s="43"/>
      <c r="AJ17" s="32"/>
      <c r="AK17" s="29"/>
      <c r="AL17" s="29"/>
      <c r="AM17" s="32"/>
      <c r="AN17" s="29"/>
      <c r="AO17" s="32"/>
      <c r="AP17" s="41"/>
      <c r="AQ17" s="29"/>
      <c r="AR17" s="43"/>
      <c r="AS17" s="29">
        <v>775</v>
      </c>
      <c r="AT17" s="32">
        <v>46125</v>
      </c>
      <c r="AU17" s="42" t="s">
        <v>90</v>
      </c>
      <c r="AV17" s="29"/>
      <c r="AW17" s="1">
        <v>22</v>
      </c>
    </row>
    <row r="18" spans="1:49" ht="60" customHeight="1" x14ac:dyDescent="0.25">
      <c r="A18" s="29">
        <f t="shared" si="0"/>
        <v>17</v>
      </c>
      <c r="B18" s="29">
        <v>50000703</v>
      </c>
      <c r="C18" s="29">
        <v>0</v>
      </c>
      <c r="D18" s="29" t="s">
        <v>179</v>
      </c>
      <c r="E18" s="30" t="s">
        <v>38</v>
      </c>
      <c r="F18" s="31" t="str">
        <f>+IFERROR(VLOOKUP(E18,'Feriados y Comunas'!$C$1:$D$36,2,FALSE),"")</f>
        <v>CHILOÉ</v>
      </c>
      <c r="G18" s="32">
        <v>46069</v>
      </c>
      <c r="H18" s="33">
        <v>2076098</v>
      </c>
      <c r="I18" s="29" t="s">
        <v>102</v>
      </c>
      <c r="J18" s="29">
        <v>2026</v>
      </c>
      <c r="K18" s="34" t="s">
        <v>122</v>
      </c>
      <c r="L18" s="34" t="s">
        <v>180</v>
      </c>
      <c r="M18" s="35"/>
      <c r="N18" s="35" t="s">
        <v>141</v>
      </c>
      <c r="O18" s="35" t="s">
        <v>142</v>
      </c>
      <c r="P18" s="36">
        <v>0</v>
      </c>
      <c r="Q18" s="36">
        <v>0</v>
      </c>
      <c r="R18" s="36">
        <f t="shared" si="4"/>
        <v>0</v>
      </c>
      <c r="S18" s="29"/>
      <c r="T18" s="34" t="s">
        <v>181</v>
      </c>
      <c r="U18" s="34" t="s">
        <v>181</v>
      </c>
      <c r="V18" s="29">
        <v>787</v>
      </c>
      <c r="W18" s="32">
        <v>46069</v>
      </c>
      <c r="X18" s="32"/>
      <c r="Y18" s="32"/>
      <c r="Z18" s="32"/>
      <c r="AA18" s="32">
        <v>46069</v>
      </c>
      <c r="AB18" s="37">
        <f>WORKDAY(AA18,15,'Feriados y Comunas'!A$2:A$25)</f>
        <v>46090</v>
      </c>
      <c r="AC18" s="29"/>
      <c r="AD18" s="29"/>
      <c r="AE18" s="29"/>
      <c r="AF18" s="29"/>
      <c r="AG18" s="38"/>
      <c r="AH18" s="29">
        <v>524</v>
      </c>
      <c r="AI18" s="43">
        <v>46097</v>
      </c>
      <c r="AJ18" s="32">
        <v>46094</v>
      </c>
      <c r="AK18" s="29" t="s">
        <v>100</v>
      </c>
      <c r="AL18" s="29">
        <v>155</v>
      </c>
      <c r="AM18" s="32">
        <v>46119</v>
      </c>
      <c r="AN18" s="29"/>
      <c r="AO18" s="32">
        <v>46120</v>
      </c>
      <c r="AP18" s="41"/>
      <c r="AQ18" s="29">
        <v>524</v>
      </c>
      <c r="AR18" s="43">
        <v>46097</v>
      </c>
      <c r="AS18" s="29">
        <v>774</v>
      </c>
      <c r="AT18" s="32">
        <v>46125</v>
      </c>
      <c r="AU18" s="42" t="s">
        <v>90</v>
      </c>
      <c r="AV18" s="29"/>
      <c r="AW18" s="1">
        <v>19</v>
      </c>
    </row>
    <row r="19" spans="1:49" ht="60" customHeight="1" x14ac:dyDescent="0.25">
      <c r="A19" s="29">
        <f t="shared" si="0"/>
        <v>18</v>
      </c>
      <c r="B19" s="29">
        <v>40025369</v>
      </c>
      <c r="C19" s="29">
        <v>0</v>
      </c>
      <c r="D19" s="29" t="s">
        <v>182</v>
      </c>
      <c r="E19" s="30" t="s">
        <v>42</v>
      </c>
      <c r="F19" s="31" t="str">
        <f>+IFERROR(VLOOKUP(E19,'Feriados y Comunas'!$C$1:$D$36,2,FALSE),"")</f>
        <v>OSORNO</v>
      </c>
      <c r="G19" s="32">
        <v>46112</v>
      </c>
      <c r="H19" s="33">
        <v>1288486</v>
      </c>
      <c r="I19" s="29" t="s">
        <v>102</v>
      </c>
      <c r="J19" s="29">
        <v>2027</v>
      </c>
      <c r="K19" s="34" t="s">
        <v>85</v>
      </c>
      <c r="L19" s="34" t="s">
        <v>183</v>
      </c>
      <c r="M19" s="35"/>
      <c r="N19" s="35" t="s">
        <v>184</v>
      </c>
      <c r="O19" s="35" t="s">
        <v>185</v>
      </c>
      <c r="P19" s="29">
        <v>330</v>
      </c>
      <c r="Q19" s="29">
        <v>357</v>
      </c>
      <c r="R19" s="29">
        <f t="shared" si="4"/>
        <v>687</v>
      </c>
      <c r="S19" s="29"/>
      <c r="T19" s="34" t="s">
        <v>186</v>
      </c>
      <c r="U19" s="34" t="s">
        <v>159</v>
      </c>
      <c r="V19" s="29">
        <v>501</v>
      </c>
      <c r="W19" s="32">
        <v>46112</v>
      </c>
      <c r="X19" s="32"/>
      <c r="Y19" s="32"/>
      <c r="Z19" s="32"/>
      <c r="AA19" s="32">
        <v>46121</v>
      </c>
      <c r="AB19" s="37">
        <f>WORKDAY(AA19,15,'Feriados y Comunas'!A$2:A$25)</f>
        <v>46142</v>
      </c>
      <c r="AC19" s="29"/>
      <c r="AD19" s="29"/>
      <c r="AE19" s="29"/>
      <c r="AF19" s="29"/>
      <c r="AG19" s="38"/>
      <c r="AH19" s="29"/>
      <c r="AI19" s="43"/>
      <c r="AJ19" s="32"/>
      <c r="AK19" s="29"/>
      <c r="AL19" s="29"/>
      <c r="AM19" s="32"/>
      <c r="AN19" s="29"/>
      <c r="AO19" s="32"/>
      <c r="AP19" s="41"/>
      <c r="AQ19" s="29"/>
      <c r="AR19" s="43"/>
      <c r="AS19" s="29">
        <v>973</v>
      </c>
      <c r="AT19" s="32">
        <v>46139</v>
      </c>
      <c r="AU19" s="42" t="s">
        <v>90</v>
      </c>
      <c r="AV19" s="29" t="s">
        <v>91</v>
      </c>
      <c r="AW19" s="1">
        <v>12</v>
      </c>
    </row>
    <row r="20" spans="1:49" ht="60" customHeight="1" x14ac:dyDescent="0.25">
      <c r="A20" s="29">
        <f t="shared" si="0"/>
        <v>19</v>
      </c>
      <c r="B20" s="29">
        <v>40043226</v>
      </c>
      <c r="C20" s="29">
        <v>0</v>
      </c>
      <c r="D20" s="29" t="s">
        <v>187</v>
      </c>
      <c r="E20" s="30" t="s">
        <v>27</v>
      </c>
      <c r="F20" s="31" t="str">
        <f>+IFERROR(VLOOKUP(E20,'Feriados y Comunas'!$C$1:$D$36,2,FALSE),"")</f>
        <v>CHILOÉ</v>
      </c>
      <c r="G20" s="32">
        <v>45685</v>
      </c>
      <c r="H20" s="33">
        <v>2696176</v>
      </c>
      <c r="I20" s="29" t="s">
        <v>102</v>
      </c>
      <c r="J20" s="29">
        <v>2026</v>
      </c>
      <c r="K20" s="34" t="s">
        <v>122</v>
      </c>
      <c r="L20" s="34" t="s">
        <v>188</v>
      </c>
      <c r="M20" s="35"/>
      <c r="N20" s="35" t="s">
        <v>141</v>
      </c>
      <c r="O20" s="35" t="s">
        <v>142</v>
      </c>
      <c r="P20" s="36">
        <v>550</v>
      </c>
      <c r="Q20" s="36">
        <v>590</v>
      </c>
      <c r="R20" s="36">
        <f t="shared" si="4"/>
        <v>1140</v>
      </c>
      <c r="S20" s="29"/>
      <c r="T20" s="34" t="s">
        <v>89</v>
      </c>
      <c r="U20" s="34" t="s">
        <v>89</v>
      </c>
      <c r="V20" s="29">
        <v>96</v>
      </c>
      <c r="W20" s="32">
        <v>45684</v>
      </c>
      <c r="X20" s="32" t="s">
        <v>189</v>
      </c>
      <c r="Y20" s="32">
        <v>45685</v>
      </c>
      <c r="Z20" s="32">
        <v>45692</v>
      </c>
      <c r="AA20" s="32">
        <v>45692</v>
      </c>
      <c r="AB20" s="37">
        <f>WORKDAY(AA20,15,'Feriados y Comunas'!A$2:A$25)</f>
        <v>45713</v>
      </c>
      <c r="AC20" s="29"/>
      <c r="AD20" s="29"/>
      <c r="AE20" s="29"/>
      <c r="AF20" s="29"/>
      <c r="AG20" s="38"/>
      <c r="AH20" s="39" t="s">
        <v>190</v>
      </c>
      <c r="AI20" s="40" t="s">
        <v>191</v>
      </c>
      <c r="AJ20" s="40" t="s">
        <v>192</v>
      </c>
      <c r="AK20" s="34" t="s">
        <v>100</v>
      </c>
      <c r="AL20" s="39" t="s">
        <v>193</v>
      </c>
      <c r="AM20" s="40" t="s">
        <v>194</v>
      </c>
      <c r="AN20" s="45"/>
      <c r="AO20" s="40" t="s">
        <v>195</v>
      </c>
      <c r="AP20" s="41"/>
      <c r="AQ20" s="39" t="s">
        <v>190</v>
      </c>
      <c r="AR20" s="40" t="s">
        <v>191</v>
      </c>
      <c r="AS20" s="29">
        <v>1215</v>
      </c>
      <c r="AT20" s="32">
        <v>46162</v>
      </c>
      <c r="AU20" s="42" t="s">
        <v>90</v>
      </c>
      <c r="AV20" s="29" t="s">
        <v>91</v>
      </c>
      <c r="AW20" s="1">
        <v>3</v>
      </c>
    </row>
    <row r="21" spans="1:49" ht="60" customHeight="1" x14ac:dyDescent="0.25">
      <c r="A21" s="29">
        <f t="shared" si="0"/>
        <v>20</v>
      </c>
      <c r="B21" s="29">
        <v>40072664</v>
      </c>
      <c r="C21" s="29">
        <v>0</v>
      </c>
      <c r="D21" s="29" t="s">
        <v>196</v>
      </c>
      <c r="E21" s="30" t="s">
        <v>42</v>
      </c>
      <c r="F21" s="31" t="s">
        <v>44</v>
      </c>
      <c r="G21" s="32">
        <v>45987</v>
      </c>
      <c r="H21" s="33">
        <v>75863</v>
      </c>
      <c r="I21" s="29" t="s">
        <v>84</v>
      </c>
      <c r="J21" s="29">
        <v>2026</v>
      </c>
      <c r="K21" s="34" t="s">
        <v>115</v>
      </c>
      <c r="L21" s="34" t="s">
        <v>197</v>
      </c>
      <c r="M21" s="35"/>
      <c r="N21" s="35" t="s">
        <v>198</v>
      </c>
      <c r="O21" s="35" t="s">
        <v>177</v>
      </c>
      <c r="P21" s="36"/>
      <c r="Q21" s="36"/>
      <c r="R21" s="36"/>
      <c r="S21" s="29"/>
      <c r="T21" s="34" t="s">
        <v>159</v>
      </c>
      <c r="U21" s="34" t="s">
        <v>159</v>
      </c>
      <c r="V21" s="29">
        <v>12702</v>
      </c>
      <c r="W21" s="32">
        <v>45987</v>
      </c>
      <c r="X21" s="32"/>
      <c r="Y21" s="32"/>
      <c r="Z21" s="32"/>
      <c r="AA21" s="32">
        <v>45987</v>
      </c>
      <c r="AB21" s="37">
        <f>WORKDAY(AA21,15,'Feriados y Comunas'!A$2:A$25)</f>
        <v>46009</v>
      </c>
      <c r="AC21" s="29"/>
      <c r="AD21" s="29"/>
      <c r="AE21" s="29"/>
      <c r="AF21" s="29"/>
      <c r="AG21" s="38"/>
      <c r="AH21" s="39" t="s">
        <v>199</v>
      </c>
      <c r="AI21" s="40" t="s">
        <v>200</v>
      </c>
      <c r="AJ21" s="40" t="s">
        <v>201</v>
      </c>
      <c r="AK21" s="29" t="s">
        <v>100</v>
      </c>
      <c r="AL21" s="39" t="s">
        <v>202</v>
      </c>
      <c r="AM21" s="40" t="s">
        <v>203</v>
      </c>
      <c r="AN21" s="29"/>
      <c r="AO21" s="40" t="s">
        <v>204</v>
      </c>
      <c r="AP21" s="41"/>
      <c r="AQ21" s="39" t="s">
        <v>199</v>
      </c>
      <c r="AR21" s="40" t="s">
        <v>200</v>
      </c>
      <c r="AS21" s="29">
        <v>1216</v>
      </c>
      <c r="AT21" s="32">
        <v>46162</v>
      </c>
      <c r="AU21" s="42" t="s">
        <v>90</v>
      </c>
      <c r="AV21" s="29" t="s">
        <v>91</v>
      </c>
      <c r="AW21" s="1">
        <v>13</v>
      </c>
    </row>
    <row r="22" spans="1:49" ht="60" customHeight="1" x14ac:dyDescent="0.25">
      <c r="A22" s="29">
        <f t="shared" si="0"/>
        <v>21</v>
      </c>
      <c r="B22" s="29">
        <v>40076987</v>
      </c>
      <c r="C22" s="29">
        <v>0</v>
      </c>
      <c r="D22" s="29" t="s">
        <v>205</v>
      </c>
      <c r="E22" s="30" t="s">
        <v>3</v>
      </c>
      <c r="F22" s="31" t="str">
        <f>+IFERROR(VLOOKUP(E22,'Feriados y Comunas'!$C$1:$D$36,2,FALSE),"")</f>
        <v>LLANQUIHUE</v>
      </c>
      <c r="G22" s="32">
        <v>46021</v>
      </c>
      <c r="H22" s="33">
        <v>3368057</v>
      </c>
      <c r="I22" s="29" t="s">
        <v>102</v>
      </c>
      <c r="J22" s="29">
        <v>2027</v>
      </c>
      <c r="K22" s="34" t="s">
        <v>122</v>
      </c>
      <c r="L22" s="34" t="s">
        <v>206</v>
      </c>
      <c r="M22" s="35"/>
      <c r="N22" s="35" t="s">
        <v>141</v>
      </c>
      <c r="O22" s="35" t="s">
        <v>142</v>
      </c>
      <c r="P22" s="36">
        <v>265</v>
      </c>
      <c r="Q22" s="36">
        <v>280</v>
      </c>
      <c r="R22" s="36"/>
      <c r="S22" s="29"/>
      <c r="T22" s="34" t="s">
        <v>132</v>
      </c>
      <c r="U22" s="34" t="s">
        <v>132</v>
      </c>
      <c r="V22" s="29">
        <v>2755</v>
      </c>
      <c r="W22" s="32">
        <v>46021</v>
      </c>
      <c r="X22" s="32"/>
      <c r="Y22" s="32"/>
      <c r="Z22" s="32"/>
      <c r="AA22" s="32">
        <v>46021</v>
      </c>
      <c r="AB22" s="37">
        <f>WORKDAY(AA22,15,'Feriados y Comunas'!A$2:A$25)</f>
        <v>46042</v>
      </c>
      <c r="AC22" s="29"/>
      <c r="AD22" s="29"/>
      <c r="AE22" s="29"/>
      <c r="AF22" s="29"/>
      <c r="AG22" s="38"/>
      <c r="AH22" s="39" t="s">
        <v>207</v>
      </c>
      <c r="AI22" s="40" t="s">
        <v>208</v>
      </c>
      <c r="AJ22" s="46" t="s">
        <v>209</v>
      </c>
      <c r="AK22" s="29" t="s">
        <v>100</v>
      </c>
      <c r="AL22" s="39" t="s">
        <v>210</v>
      </c>
      <c r="AM22" s="40" t="s">
        <v>211</v>
      </c>
      <c r="AN22" s="29"/>
      <c r="AO22" s="40" t="s">
        <v>211</v>
      </c>
      <c r="AP22" s="41"/>
      <c r="AQ22" s="39" t="s">
        <v>207</v>
      </c>
      <c r="AR22" s="40" t="s">
        <v>208</v>
      </c>
      <c r="AS22" s="29">
        <v>1217</v>
      </c>
      <c r="AT22" s="32">
        <v>46162</v>
      </c>
      <c r="AU22" s="42" t="s">
        <v>90</v>
      </c>
      <c r="AV22" s="29"/>
      <c r="AW22" s="1">
        <v>33</v>
      </c>
    </row>
    <row r="23" spans="1:49" ht="60" customHeight="1" x14ac:dyDescent="0.25">
      <c r="A23" s="29">
        <f t="shared" si="0"/>
        <v>22</v>
      </c>
      <c r="B23" s="29">
        <v>30171875</v>
      </c>
      <c r="C23" s="29">
        <v>0</v>
      </c>
      <c r="D23" s="29" t="s">
        <v>212</v>
      </c>
      <c r="E23" s="30" t="s">
        <v>51</v>
      </c>
      <c r="F23" s="31" t="str">
        <f>+IFERROR(VLOOKUP(E23,'Feriados y Comunas'!$C$1:$D$36,2,FALSE),"")</f>
        <v>OSORNO</v>
      </c>
      <c r="G23" s="32">
        <v>46113</v>
      </c>
      <c r="H23" s="33">
        <v>1153997</v>
      </c>
      <c r="I23" s="29" t="s">
        <v>102</v>
      </c>
      <c r="J23" s="29">
        <v>2027</v>
      </c>
      <c r="K23" s="34" t="s">
        <v>85</v>
      </c>
      <c r="L23" s="34" t="s">
        <v>213</v>
      </c>
      <c r="M23" s="35"/>
      <c r="N23" s="35" t="s">
        <v>184</v>
      </c>
      <c r="O23" s="35" t="s">
        <v>185</v>
      </c>
      <c r="P23" s="36">
        <v>307</v>
      </c>
      <c r="Q23" s="36">
        <v>285</v>
      </c>
      <c r="R23" s="36">
        <f t="shared" ref="R23:R60" si="5">SUM(P23:Q23)</f>
        <v>592</v>
      </c>
      <c r="S23" s="29"/>
      <c r="T23" s="34" t="s">
        <v>214</v>
      </c>
      <c r="U23" s="34" t="s">
        <v>214</v>
      </c>
      <c r="V23" s="29">
        <v>208</v>
      </c>
      <c r="W23" s="32">
        <v>46112</v>
      </c>
      <c r="X23" s="32"/>
      <c r="Y23" s="32"/>
      <c r="Z23" s="32"/>
      <c r="AA23" s="32">
        <v>46113</v>
      </c>
      <c r="AB23" s="37">
        <f>WORKDAY(AA23,15,'Feriados y Comunas'!A$2:A$25)</f>
        <v>46134</v>
      </c>
      <c r="AC23" s="29"/>
      <c r="AD23" s="29"/>
      <c r="AE23" s="29"/>
      <c r="AF23" s="29"/>
      <c r="AG23" s="38"/>
      <c r="AH23" s="29">
        <v>794</v>
      </c>
      <c r="AI23" s="43">
        <v>46126</v>
      </c>
      <c r="AJ23" s="32">
        <v>46122</v>
      </c>
      <c r="AK23" s="29" t="s">
        <v>100</v>
      </c>
      <c r="AL23" s="29">
        <v>255</v>
      </c>
      <c r="AM23" s="32">
        <v>46141</v>
      </c>
      <c r="AN23" s="29"/>
      <c r="AO23" s="32">
        <v>46141</v>
      </c>
      <c r="AP23" s="41"/>
      <c r="AQ23" s="29">
        <v>794</v>
      </c>
      <c r="AR23" s="43">
        <v>46126</v>
      </c>
      <c r="AS23" s="29">
        <v>255</v>
      </c>
      <c r="AT23" s="32">
        <v>46167</v>
      </c>
      <c r="AU23" s="42" t="s">
        <v>90</v>
      </c>
      <c r="AV23" s="29" t="s">
        <v>91</v>
      </c>
      <c r="AW23" s="1">
        <v>7</v>
      </c>
    </row>
    <row r="24" spans="1:49" ht="60" customHeight="1" x14ac:dyDescent="0.25">
      <c r="A24" s="29">
        <f t="shared" si="0"/>
        <v>23</v>
      </c>
      <c r="B24" s="29">
        <v>40072839</v>
      </c>
      <c r="C24" s="29">
        <v>0</v>
      </c>
      <c r="D24" s="50" t="s">
        <v>215</v>
      </c>
      <c r="E24" s="30" t="s">
        <v>56</v>
      </c>
      <c r="F24" s="31" t="str">
        <f>+IFERROR(VLOOKUP(E24,'Feriados y Comunas'!$C$1:$D$36,2,FALSE),"")</f>
        <v>OSORNO</v>
      </c>
      <c r="G24" s="32">
        <v>46136</v>
      </c>
      <c r="H24" s="33">
        <v>734710</v>
      </c>
      <c r="I24" s="29" t="s">
        <v>102</v>
      </c>
      <c r="J24" s="29">
        <v>2027</v>
      </c>
      <c r="K24" s="34" t="s">
        <v>134</v>
      </c>
      <c r="L24" s="34" t="s">
        <v>216</v>
      </c>
      <c r="M24" s="35"/>
      <c r="N24" s="35" t="s">
        <v>136</v>
      </c>
      <c r="O24" s="35" t="s">
        <v>137</v>
      </c>
      <c r="P24" s="36">
        <v>45</v>
      </c>
      <c r="Q24" s="36">
        <v>52</v>
      </c>
      <c r="R24" s="36">
        <f t="shared" si="5"/>
        <v>97</v>
      </c>
      <c r="S24" s="29"/>
      <c r="T24" s="34" t="s">
        <v>170</v>
      </c>
      <c r="U24" s="34" t="s">
        <v>170</v>
      </c>
      <c r="V24" s="29">
        <v>581</v>
      </c>
      <c r="W24" s="32">
        <v>46136</v>
      </c>
      <c r="X24" s="32"/>
      <c r="Y24" s="32"/>
      <c r="Z24" s="32"/>
      <c r="AA24" s="32">
        <v>46136</v>
      </c>
      <c r="AB24" s="37">
        <f>WORKDAY(AA24,15,'Feriados y Comunas'!A$2:A$25)</f>
        <v>46157</v>
      </c>
      <c r="AC24" s="29"/>
      <c r="AD24" s="29"/>
      <c r="AE24" s="29"/>
      <c r="AF24" s="29"/>
      <c r="AG24" s="38"/>
      <c r="AH24" s="29"/>
      <c r="AI24" s="43"/>
      <c r="AJ24" s="32"/>
      <c r="AK24" s="29"/>
      <c r="AL24" s="29"/>
      <c r="AM24" s="32"/>
      <c r="AN24" s="29"/>
      <c r="AO24" s="32"/>
      <c r="AP24" s="41"/>
      <c r="AQ24" s="29"/>
      <c r="AR24" s="43"/>
      <c r="AS24" s="29">
        <v>1269</v>
      </c>
      <c r="AT24" s="32">
        <v>46168</v>
      </c>
      <c r="AU24" s="42" t="s">
        <v>90</v>
      </c>
      <c r="AV24" s="29" t="s">
        <v>91</v>
      </c>
      <c r="AW24" s="1">
        <v>15</v>
      </c>
    </row>
    <row r="25" spans="1:49" ht="60" customHeight="1" x14ac:dyDescent="0.25">
      <c r="A25" s="29">
        <f t="shared" si="0"/>
        <v>24</v>
      </c>
      <c r="B25" s="29">
        <v>40071483</v>
      </c>
      <c r="C25" s="29">
        <v>0</v>
      </c>
      <c r="D25" s="29" t="s">
        <v>217</v>
      </c>
      <c r="E25" s="30" t="s">
        <v>31</v>
      </c>
      <c r="F25" s="31" t="str">
        <f>+IFERROR(VLOOKUP(E25,'Feriados y Comunas'!$C$1:$D$36,2,FALSE),"")</f>
        <v>CHILOÉ</v>
      </c>
      <c r="G25" s="32">
        <v>46135</v>
      </c>
      <c r="H25" s="33">
        <v>90116</v>
      </c>
      <c r="I25" s="29" t="s">
        <v>84</v>
      </c>
      <c r="J25" s="29">
        <v>2027</v>
      </c>
      <c r="K25" s="34" t="s">
        <v>122</v>
      </c>
      <c r="L25" s="34" t="s">
        <v>218</v>
      </c>
      <c r="M25" s="35"/>
      <c r="N25" s="35" t="s">
        <v>219</v>
      </c>
      <c r="O25" s="35" t="s">
        <v>220</v>
      </c>
      <c r="P25" s="36">
        <v>120</v>
      </c>
      <c r="Q25" s="36">
        <v>123</v>
      </c>
      <c r="R25" s="36">
        <f t="shared" si="5"/>
        <v>243</v>
      </c>
      <c r="S25" s="29"/>
      <c r="T25" s="34" t="s">
        <v>149</v>
      </c>
      <c r="U25" s="34" t="s">
        <v>149</v>
      </c>
      <c r="V25" s="29">
        <v>321</v>
      </c>
      <c r="W25" s="32">
        <v>46135</v>
      </c>
      <c r="X25" s="32"/>
      <c r="Y25" s="32"/>
      <c r="Z25" s="32"/>
      <c r="AA25" s="32">
        <v>46135</v>
      </c>
      <c r="AB25" s="37">
        <f>WORKDAY(AA25,15,'Feriados y Comunas'!A$2:A$25)</f>
        <v>46156</v>
      </c>
      <c r="AC25" s="29"/>
      <c r="AD25" s="29"/>
      <c r="AE25" s="29"/>
      <c r="AF25" s="29"/>
      <c r="AG25" s="38"/>
      <c r="AH25" s="29"/>
      <c r="AI25" s="43"/>
      <c r="AJ25" s="32"/>
      <c r="AK25" s="29"/>
      <c r="AL25" s="29"/>
      <c r="AM25" s="32"/>
      <c r="AN25" s="29"/>
      <c r="AO25" s="32"/>
      <c r="AP25" s="41"/>
      <c r="AQ25" s="29"/>
      <c r="AR25" s="43"/>
      <c r="AS25" s="29">
        <v>1270</v>
      </c>
      <c r="AT25" s="32">
        <v>46168</v>
      </c>
      <c r="AU25" s="42" t="s">
        <v>90</v>
      </c>
      <c r="AV25" s="29" t="s">
        <v>91</v>
      </c>
      <c r="AW25" s="1">
        <v>13</v>
      </c>
    </row>
    <row r="26" spans="1:49" ht="60" customHeight="1" x14ac:dyDescent="0.25">
      <c r="A26" s="29">
        <f t="shared" si="0"/>
        <v>25</v>
      </c>
      <c r="B26" s="29">
        <v>40071267</v>
      </c>
      <c r="C26" s="29">
        <v>0</v>
      </c>
      <c r="D26" s="29" t="s">
        <v>221</v>
      </c>
      <c r="E26" s="30" t="s">
        <v>56</v>
      </c>
      <c r="F26" s="31" t="str">
        <f>+IFERROR(VLOOKUP(E26,'Feriados y Comunas'!$C$1:$D$36,2,FALSE),"")</f>
        <v>OSORNO</v>
      </c>
      <c r="G26" s="32">
        <v>46112</v>
      </c>
      <c r="H26" s="33">
        <v>131100</v>
      </c>
      <c r="I26" s="29" t="s">
        <v>84</v>
      </c>
      <c r="J26" s="29">
        <v>2027</v>
      </c>
      <c r="K26" s="34" t="s">
        <v>103</v>
      </c>
      <c r="L26" s="34" t="s">
        <v>222</v>
      </c>
      <c r="M26" s="35"/>
      <c r="N26" s="35" t="s">
        <v>105</v>
      </c>
      <c r="O26" s="35" t="s">
        <v>158</v>
      </c>
      <c r="P26" s="36">
        <v>1533</v>
      </c>
      <c r="Q26" s="36">
        <v>1521</v>
      </c>
      <c r="R26" s="36">
        <f t="shared" si="5"/>
        <v>3054</v>
      </c>
      <c r="S26" s="29"/>
      <c r="T26" s="34" t="s">
        <v>170</v>
      </c>
      <c r="U26" s="34" t="s">
        <v>170</v>
      </c>
      <c r="V26" s="29">
        <v>440</v>
      </c>
      <c r="W26" s="32">
        <v>46112</v>
      </c>
      <c r="X26" s="32"/>
      <c r="Y26" s="32"/>
      <c r="Z26" s="32"/>
      <c r="AA26" s="32">
        <v>46136</v>
      </c>
      <c r="AB26" s="37">
        <f>WORKDAY(AA26,15,'Feriados y Comunas'!A$2:A$25)</f>
        <v>46157</v>
      </c>
      <c r="AC26" s="29"/>
      <c r="AD26" s="29"/>
      <c r="AE26" s="29"/>
      <c r="AF26" s="29"/>
      <c r="AG26" s="38"/>
      <c r="AH26" s="29"/>
      <c r="AI26" s="43"/>
      <c r="AJ26" s="32"/>
      <c r="AK26" s="29"/>
      <c r="AL26" s="29"/>
      <c r="AM26" s="32"/>
      <c r="AN26" s="29"/>
      <c r="AO26" s="32"/>
      <c r="AP26" s="41"/>
      <c r="AQ26" s="29"/>
      <c r="AR26" s="43"/>
      <c r="AS26" s="29">
        <v>1330</v>
      </c>
      <c r="AT26" s="43">
        <v>46174</v>
      </c>
      <c r="AU26" s="42" t="s">
        <v>90</v>
      </c>
      <c r="AV26" s="29" t="s">
        <v>91</v>
      </c>
      <c r="AW26" s="1">
        <v>15</v>
      </c>
    </row>
    <row r="27" spans="1:49" ht="60" customHeight="1" x14ac:dyDescent="0.25">
      <c r="A27" s="29">
        <f t="shared" si="0"/>
        <v>26</v>
      </c>
      <c r="B27" s="29">
        <v>40026493</v>
      </c>
      <c r="C27" s="29">
        <v>0</v>
      </c>
      <c r="D27" s="29" t="s">
        <v>223</v>
      </c>
      <c r="E27" s="30" t="s">
        <v>36</v>
      </c>
      <c r="F27" s="31" t="str">
        <f>+IFERROR(VLOOKUP(E27,'Feriados y Comunas'!$C$1:$D$36,2,FALSE),"")</f>
        <v>CHILOÉ</v>
      </c>
      <c r="G27" s="32">
        <v>46169</v>
      </c>
      <c r="H27" s="33">
        <v>70559</v>
      </c>
      <c r="I27" s="29" t="s">
        <v>84</v>
      </c>
      <c r="J27" s="29">
        <v>2027</v>
      </c>
      <c r="K27" s="34" t="s">
        <v>115</v>
      </c>
      <c r="L27" s="34" t="s">
        <v>224</v>
      </c>
      <c r="M27" s="35"/>
      <c r="N27" s="35" t="s">
        <v>198</v>
      </c>
      <c r="O27" s="35" t="s">
        <v>177</v>
      </c>
      <c r="P27" s="36">
        <v>5986</v>
      </c>
      <c r="Q27" s="36">
        <v>5986</v>
      </c>
      <c r="R27" s="36">
        <f t="shared" si="5"/>
        <v>11972</v>
      </c>
      <c r="S27" s="29"/>
      <c r="T27" s="34" t="s">
        <v>225</v>
      </c>
      <c r="U27" s="34" t="s">
        <v>225</v>
      </c>
      <c r="V27" s="29">
        <v>588</v>
      </c>
      <c r="W27" s="32">
        <v>46169</v>
      </c>
      <c r="X27" s="32"/>
      <c r="Y27" s="32"/>
      <c r="Z27" s="32"/>
      <c r="AA27" s="32">
        <v>46169</v>
      </c>
      <c r="AB27" s="37">
        <f>WORKDAY(AA27,15,'Feriados y Comunas'!A$2:A$25)</f>
        <v>46190</v>
      </c>
      <c r="AC27" s="29"/>
      <c r="AD27" s="29"/>
      <c r="AE27" s="29"/>
      <c r="AF27" s="29"/>
      <c r="AG27" s="38"/>
      <c r="AH27" s="29"/>
      <c r="AI27" s="43"/>
      <c r="AJ27" s="32"/>
      <c r="AK27" s="29"/>
      <c r="AL27" s="29"/>
      <c r="AM27" s="32"/>
      <c r="AN27" s="29"/>
      <c r="AO27" s="32"/>
      <c r="AP27" s="41"/>
      <c r="AQ27" s="29"/>
      <c r="AR27" s="43"/>
      <c r="AS27" s="29">
        <v>1469</v>
      </c>
      <c r="AT27" s="43">
        <v>46189</v>
      </c>
      <c r="AU27" s="42" t="s">
        <v>90</v>
      </c>
      <c r="AV27" s="29" t="s">
        <v>91</v>
      </c>
      <c r="AW27" s="1">
        <v>12</v>
      </c>
    </row>
    <row r="28" spans="1:49" ht="60" customHeight="1" x14ac:dyDescent="0.25">
      <c r="A28" s="29">
        <f t="shared" si="0"/>
        <v>27</v>
      </c>
      <c r="B28" s="29">
        <v>30080921</v>
      </c>
      <c r="C28" s="29">
        <v>0</v>
      </c>
      <c r="D28" s="29" t="s">
        <v>226</v>
      </c>
      <c r="E28" s="30" t="s">
        <v>3</v>
      </c>
      <c r="F28" s="31" t="str">
        <f>+IFERROR(VLOOKUP(E28,'Feriados y Comunas'!$C$1:$D$36,2,FALSE),"")</f>
        <v>LLANQUIHUE</v>
      </c>
      <c r="G28" s="32">
        <v>46079</v>
      </c>
      <c r="H28" s="33">
        <v>1402405</v>
      </c>
      <c r="I28" s="29" t="s">
        <v>102</v>
      </c>
      <c r="J28" s="29">
        <v>2026</v>
      </c>
      <c r="K28" s="34" t="s">
        <v>85</v>
      </c>
      <c r="L28" s="34" t="s">
        <v>227</v>
      </c>
      <c r="M28" s="35"/>
      <c r="N28" s="35" t="s">
        <v>184</v>
      </c>
      <c r="O28" s="35" t="s">
        <v>185</v>
      </c>
      <c r="P28" s="36">
        <v>162</v>
      </c>
      <c r="Q28" s="36">
        <v>203</v>
      </c>
      <c r="R28" s="36">
        <f t="shared" si="5"/>
        <v>365</v>
      </c>
      <c r="S28" s="29"/>
      <c r="T28" s="34" t="s">
        <v>132</v>
      </c>
      <c r="U28" s="34" t="s">
        <v>132</v>
      </c>
      <c r="V28" s="29">
        <v>235</v>
      </c>
      <c r="W28" s="32">
        <v>46079</v>
      </c>
      <c r="X28" s="32"/>
      <c r="Y28" s="32"/>
      <c r="Z28" s="32"/>
      <c r="AA28" s="32">
        <v>46079</v>
      </c>
      <c r="AB28" s="37">
        <f>WORKDAY(AA28,15,'Feriados y Comunas'!A$2:A$25)</f>
        <v>46100</v>
      </c>
      <c r="AC28" s="29"/>
      <c r="AD28" s="29"/>
      <c r="AE28" s="29"/>
      <c r="AF28" s="29"/>
      <c r="AG28" s="38"/>
      <c r="AH28" s="29">
        <v>517</v>
      </c>
      <c r="AI28" s="43">
        <v>46097</v>
      </c>
      <c r="AJ28" s="32">
        <v>46094</v>
      </c>
      <c r="AK28" s="29" t="s">
        <v>100</v>
      </c>
      <c r="AL28" s="29">
        <v>453</v>
      </c>
      <c r="AM28" s="32">
        <v>46168</v>
      </c>
      <c r="AN28" s="29"/>
      <c r="AO28" s="32">
        <v>46169</v>
      </c>
      <c r="AP28" s="41"/>
      <c r="AQ28" s="29">
        <v>517</v>
      </c>
      <c r="AR28" s="43">
        <v>46097</v>
      </c>
      <c r="AS28" s="29">
        <v>1471</v>
      </c>
      <c r="AT28" s="43">
        <v>46189</v>
      </c>
      <c r="AU28" s="42" t="s">
        <v>90</v>
      </c>
      <c r="AV28" s="29" t="s">
        <v>91</v>
      </c>
      <c r="AW28" s="1">
        <v>11</v>
      </c>
    </row>
    <row r="29" spans="1:49" ht="60" customHeight="1" x14ac:dyDescent="0.25">
      <c r="A29" s="29">
        <f t="shared" si="0"/>
        <v>28</v>
      </c>
      <c r="B29" s="29">
        <v>40005337</v>
      </c>
      <c r="C29" s="29">
        <v>0</v>
      </c>
      <c r="D29" s="29" t="s">
        <v>228</v>
      </c>
      <c r="E29" s="30" t="s">
        <v>3</v>
      </c>
      <c r="F29" s="31" t="str">
        <f>+IFERROR(VLOOKUP(E29,'Feriados y Comunas'!$C$1:$D$36,2,FALSE),"")</f>
        <v>LLANQUIHUE</v>
      </c>
      <c r="G29" s="32">
        <v>46079</v>
      </c>
      <c r="H29" s="33">
        <v>1404623</v>
      </c>
      <c r="I29" s="29" t="s">
        <v>102</v>
      </c>
      <c r="J29" s="29">
        <v>2026</v>
      </c>
      <c r="K29" s="34" t="s">
        <v>85</v>
      </c>
      <c r="L29" s="34" t="s">
        <v>229</v>
      </c>
      <c r="M29" s="35"/>
      <c r="N29" s="35" t="s">
        <v>184</v>
      </c>
      <c r="O29" s="35" t="s">
        <v>185</v>
      </c>
      <c r="P29" s="36">
        <v>659</v>
      </c>
      <c r="Q29" s="36">
        <v>714</v>
      </c>
      <c r="R29" s="36">
        <f t="shared" si="5"/>
        <v>1373</v>
      </c>
      <c r="S29" s="29"/>
      <c r="T29" s="34" t="s">
        <v>132</v>
      </c>
      <c r="U29" s="34" t="s">
        <v>132</v>
      </c>
      <c r="V29" s="29">
        <v>457</v>
      </c>
      <c r="W29" s="32">
        <v>46169</v>
      </c>
      <c r="X29" s="32"/>
      <c r="Y29" s="32"/>
      <c r="Z29" s="32"/>
      <c r="AA29" s="32">
        <v>46170</v>
      </c>
      <c r="AB29" s="37">
        <f>WORKDAY(AA29,15,'Feriados y Comunas'!A$2:A$25)</f>
        <v>46191</v>
      </c>
      <c r="AC29" s="29"/>
      <c r="AD29" s="29"/>
      <c r="AE29" s="29"/>
      <c r="AF29" s="29"/>
      <c r="AG29" s="38"/>
      <c r="AH29" s="29"/>
      <c r="AI29" s="43"/>
      <c r="AJ29" s="32"/>
      <c r="AK29" s="29"/>
      <c r="AL29" s="29"/>
      <c r="AM29" s="32"/>
      <c r="AN29" s="29"/>
      <c r="AO29" s="32"/>
      <c r="AP29" s="41"/>
      <c r="AQ29" s="29"/>
      <c r="AR29" s="43"/>
      <c r="AS29" s="29">
        <v>1467</v>
      </c>
      <c r="AT29" s="43">
        <v>46189</v>
      </c>
      <c r="AU29" s="42" t="s">
        <v>90</v>
      </c>
      <c r="AV29" s="29" t="s">
        <v>91</v>
      </c>
      <c r="AW29" s="1">
        <v>11</v>
      </c>
    </row>
    <row r="30" spans="1:49" ht="60" customHeight="1" x14ac:dyDescent="0.25">
      <c r="A30" s="29">
        <f t="shared" si="0"/>
        <v>29</v>
      </c>
      <c r="B30" s="29">
        <v>40052180</v>
      </c>
      <c r="C30" s="29">
        <v>0</v>
      </c>
      <c r="D30" s="29" t="s">
        <v>230</v>
      </c>
      <c r="E30" s="30" t="s">
        <v>36</v>
      </c>
      <c r="F30" s="31" t="str">
        <f>+IFERROR(VLOOKUP(E30,'Feriados y Comunas'!$C$1:$D$36,2,FALSE),"")</f>
        <v>CHILOÉ</v>
      </c>
      <c r="G30" s="32">
        <v>46141</v>
      </c>
      <c r="H30" s="33">
        <v>1853604</v>
      </c>
      <c r="I30" s="29" t="s">
        <v>102</v>
      </c>
      <c r="J30" s="29">
        <v>2027</v>
      </c>
      <c r="K30" s="34" t="s">
        <v>122</v>
      </c>
      <c r="L30" s="34" t="s">
        <v>231</v>
      </c>
      <c r="M30" s="35"/>
      <c r="N30" s="35" t="s">
        <v>219</v>
      </c>
      <c r="O30" s="35" t="s">
        <v>220</v>
      </c>
      <c r="P30" s="36">
        <v>108</v>
      </c>
      <c r="Q30" s="36">
        <v>118</v>
      </c>
      <c r="R30" s="36">
        <f t="shared" si="5"/>
        <v>226</v>
      </c>
      <c r="S30" s="29"/>
      <c r="T30" s="34" t="s">
        <v>225</v>
      </c>
      <c r="U30" s="34" t="s">
        <v>225</v>
      </c>
      <c r="V30" s="29">
        <v>144</v>
      </c>
      <c r="W30" s="32">
        <v>46140</v>
      </c>
      <c r="X30" s="32"/>
      <c r="Y30" s="32"/>
      <c r="Z30" s="32"/>
      <c r="AA30" s="32">
        <v>46141</v>
      </c>
      <c r="AB30" s="37">
        <f>WORKDAY(AA30,15,'Feriados y Comunas'!A$2:A$25)</f>
        <v>46162</v>
      </c>
      <c r="AC30" s="29"/>
      <c r="AD30" s="29"/>
      <c r="AE30" s="29"/>
      <c r="AF30" s="29"/>
      <c r="AG30" s="38"/>
      <c r="AH30" s="29">
        <v>1266</v>
      </c>
      <c r="AI30" s="43">
        <v>46168</v>
      </c>
      <c r="AJ30" s="32">
        <v>46157</v>
      </c>
      <c r="AK30" s="29" t="s">
        <v>100</v>
      </c>
      <c r="AL30" s="29">
        <v>177</v>
      </c>
      <c r="AM30" s="32">
        <v>46171</v>
      </c>
      <c r="AN30" s="29"/>
      <c r="AO30" s="32">
        <v>46171</v>
      </c>
      <c r="AP30" s="41"/>
      <c r="AQ30" s="29"/>
      <c r="AR30" s="43"/>
      <c r="AS30" s="34" t="s">
        <v>232</v>
      </c>
      <c r="AT30" s="40" t="s">
        <v>233</v>
      </c>
      <c r="AU30" s="42" t="s">
        <v>90</v>
      </c>
      <c r="AV30" s="29" t="s">
        <v>91</v>
      </c>
      <c r="AW30" s="1">
        <v>10</v>
      </c>
    </row>
    <row r="31" spans="1:49" ht="60" customHeight="1" x14ac:dyDescent="0.25">
      <c r="A31" s="29">
        <f t="shared" si="0"/>
        <v>30</v>
      </c>
      <c r="B31" s="29">
        <v>40078953</v>
      </c>
      <c r="C31" s="29">
        <v>0</v>
      </c>
      <c r="D31" s="29" t="s">
        <v>234</v>
      </c>
      <c r="E31" s="30" t="s">
        <v>3</v>
      </c>
      <c r="F31" s="31" t="str">
        <f>+IFERROR(VLOOKUP(E31,'Feriados y Comunas'!$C$1:$D$36,2,FALSE),"")</f>
        <v>LLANQUIHUE</v>
      </c>
      <c r="G31" s="32">
        <v>46154</v>
      </c>
      <c r="H31" s="33">
        <v>1568046</v>
      </c>
      <c r="I31" s="29" t="s">
        <v>102</v>
      </c>
      <c r="J31" s="29">
        <v>2027</v>
      </c>
      <c r="K31" s="34" t="s">
        <v>163</v>
      </c>
      <c r="L31" s="34" t="s">
        <v>235</v>
      </c>
      <c r="M31" s="35"/>
      <c r="N31" s="35" t="s">
        <v>87</v>
      </c>
      <c r="O31" s="35" t="s">
        <v>88</v>
      </c>
      <c r="P31" s="36">
        <v>170</v>
      </c>
      <c r="Q31" s="36">
        <v>187</v>
      </c>
      <c r="R31" s="36">
        <f t="shared" si="5"/>
        <v>357</v>
      </c>
      <c r="S31" s="29"/>
      <c r="T31" s="34" t="s">
        <v>132</v>
      </c>
      <c r="U31" s="34" t="s">
        <v>132</v>
      </c>
      <c r="V31" s="29">
        <v>410</v>
      </c>
      <c r="W31" s="32">
        <v>46153</v>
      </c>
      <c r="X31" s="32"/>
      <c r="Y31" s="32"/>
      <c r="Z31" s="32"/>
      <c r="AA31" s="32">
        <v>46154</v>
      </c>
      <c r="AB31" s="37">
        <f>WORKDAY(AA31,15,'Feriados y Comunas'!A$2:A$25)</f>
        <v>46175</v>
      </c>
      <c r="AC31" s="29"/>
      <c r="AD31" s="29"/>
      <c r="AE31" s="29"/>
      <c r="AF31" s="29"/>
      <c r="AG31" s="38"/>
      <c r="AH31" s="29">
        <v>1264</v>
      </c>
      <c r="AI31" s="43">
        <v>46168</v>
      </c>
      <c r="AJ31" s="32">
        <v>46157</v>
      </c>
      <c r="AK31" s="29" t="s">
        <v>100</v>
      </c>
      <c r="AL31" s="29"/>
      <c r="AM31" s="32"/>
      <c r="AN31" s="29"/>
      <c r="AO31" s="32"/>
      <c r="AP31" s="41"/>
      <c r="AQ31" s="29"/>
      <c r="AR31" s="43"/>
      <c r="AS31" s="29">
        <v>1626</v>
      </c>
      <c r="AT31" s="32">
        <v>46199</v>
      </c>
      <c r="AU31" s="42" t="s">
        <v>90</v>
      </c>
      <c r="AV31" s="29" t="s">
        <v>91</v>
      </c>
      <c r="AW31" s="1">
        <v>3</v>
      </c>
    </row>
    <row r="32" spans="1:49" ht="60" customHeight="1" x14ac:dyDescent="0.25">
      <c r="A32" s="29">
        <f t="shared" si="0"/>
        <v>31</v>
      </c>
      <c r="B32" s="29">
        <v>40071481</v>
      </c>
      <c r="C32" s="29">
        <v>0</v>
      </c>
      <c r="D32" s="29" t="s">
        <v>236</v>
      </c>
      <c r="E32" s="30" t="s">
        <v>31</v>
      </c>
      <c r="F32" s="31" t="str">
        <f>+IFERROR(VLOOKUP(E32,'Feriados y Comunas'!$C$1:$D$36,2,FALSE),"")</f>
        <v>CHILOÉ</v>
      </c>
      <c r="G32" s="32">
        <v>46129</v>
      </c>
      <c r="H32" s="33">
        <v>3083768</v>
      </c>
      <c r="I32" s="29" t="s">
        <v>102</v>
      </c>
      <c r="J32" s="29">
        <v>2027</v>
      </c>
      <c r="K32" s="34" t="s">
        <v>122</v>
      </c>
      <c r="L32" s="34" t="s">
        <v>237</v>
      </c>
      <c r="M32" s="35"/>
      <c r="N32" s="35" t="s">
        <v>219</v>
      </c>
      <c r="O32" s="35" t="s">
        <v>220</v>
      </c>
      <c r="P32" s="36">
        <v>228</v>
      </c>
      <c r="Q32" s="36">
        <v>226</v>
      </c>
      <c r="R32" s="36">
        <f t="shared" si="5"/>
        <v>454</v>
      </c>
      <c r="S32" s="29"/>
      <c r="T32" s="34" t="s">
        <v>149</v>
      </c>
      <c r="U32" s="34" t="s">
        <v>149</v>
      </c>
      <c r="V32" s="29">
        <v>299</v>
      </c>
      <c r="W32" s="32">
        <v>46129</v>
      </c>
      <c r="X32" s="32"/>
      <c r="Y32" s="32"/>
      <c r="Z32" s="32"/>
      <c r="AA32" s="32">
        <v>46129</v>
      </c>
      <c r="AB32" s="37">
        <f>WORKDAY(AA32,15,'Feriados y Comunas'!A$2:A$25)</f>
        <v>46150</v>
      </c>
      <c r="AC32" s="29"/>
      <c r="AD32" s="29"/>
      <c r="AE32" s="29"/>
      <c r="AF32" s="29"/>
      <c r="AG32" s="38"/>
      <c r="AH32" s="29">
        <v>1263</v>
      </c>
      <c r="AI32" s="43">
        <v>46168</v>
      </c>
      <c r="AJ32" s="32">
        <v>46157</v>
      </c>
      <c r="AK32" s="29" t="s">
        <v>100</v>
      </c>
      <c r="AL32" s="29"/>
      <c r="AM32" s="32"/>
      <c r="AN32" s="29"/>
      <c r="AO32" s="32"/>
      <c r="AP32" s="41"/>
      <c r="AQ32" s="29"/>
      <c r="AR32" s="43"/>
      <c r="AS32" s="29">
        <v>1627</v>
      </c>
      <c r="AT32" s="32">
        <v>46199</v>
      </c>
      <c r="AU32" s="42" t="s">
        <v>90</v>
      </c>
      <c r="AV32" s="29"/>
      <c r="AW32" s="1">
        <v>20</v>
      </c>
    </row>
    <row r="33" spans="1:49" ht="60" customHeight="1" x14ac:dyDescent="0.25">
      <c r="A33" s="29">
        <f t="shared" si="0"/>
        <v>32</v>
      </c>
      <c r="B33" s="29">
        <v>40080095</v>
      </c>
      <c r="C33" s="29">
        <v>0</v>
      </c>
      <c r="D33" s="29" t="s">
        <v>238</v>
      </c>
      <c r="E33" s="30" t="s">
        <v>56</v>
      </c>
      <c r="F33" s="31" t="str">
        <f>+IFERROR(VLOOKUP(E33,'Feriados y Comunas'!$C$1:$D$36,2,FALSE),"")</f>
        <v>OSORNO</v>
      </c>
      <c r="G33" s="32">
        <v>46216</v>
      </c>
      <c r="H33" s="33">
        <v>1058627</v>
      </c>
      <c r="I33" s="29" t="s">
        <v>102</v>
      </c>
      <c r="J33" s="29">
        <v>2027</v>
      </c>
      <c r="K33" s="34" t="s">
        <v>134</v>
      </c>
      <c r="L33" s="34" t="s">
        <v>239</v>
      </c>
      <c r="M33" s="35"/>
      <c r="N33" s="35" t="s">
        <v>136</v>
      </c>
      <c r="O33" s="35" t="s">
        <v>137</v>
      </c>
      <c r="P33" s="36">
        <v>100</v>
      </c>
      <c r="Q33" s="36">
        <v>100</v>
      </c>
      <c r="R33" s="36">
        <f t="shared" si="5"/>
        <v>200</v>
      </c>
      <c r="S33" s="29"/>
      <c r="T33" s="34" t="s">
        <v>170</v>
      </c>
      <c r="U33" s="34" t="s">
        <v>170</v>
      </c>
      <c r="V33" s="29">
        <v>1032</v>
      </c>
      <c r="W33" s="32">
        <v>46216</v>
      </c>
      <c r="X33" s="32"/>
      <c r="Y33" s="32"/>
      <c r="Z33" s="32"/>
      <c r="AA33" s="32">
        <v>46216</v>
      </c>
      <c r="AB33" s="37">
        <f>WORKDAY(AA33,15,'Feriados y Comunas'!A$2:A$25)</f>
        <v>46237</v>
      </c>
      <c r="AC33" s="29"/>
      <c r="AD33" s="29"/>
      <c r="AE33" s="29"/>
      <c r="AF33" s="29"/>
      <c r="AG33" s="38"/>
      <c r="AH33" s="29"/>
      <c r="AI33" s="43"/>
      <c r="AJ33" s="32"/>
      <c r="AK33" s="29"/>
      <c r="AL33" s="29"/>
      <c r="AM33" s="32"/>
      <c r="AN33" s="29"/>
      <c r="AO33" s="32"/>
      <c r="AP33" s="41"/>
      <c r="AQ33" s="29"/>
      <c r="AR33" s="43"/>
      <c r="AS33" s="29">
        <v>1836</v>
      </c>
      <c r="AT33" s="32">
        <v>46224</v>
      </c>
      <c r="AU33" s="42" t="s">
        <v>90</v>
      </c>
      <c r="AV33" s="29" t="s">
        <v>91</v>
      </c>
      <c r="AW33" s="1">
        <v>3</v>
      </c>
    </row>
    <row r="34" spans="1:49" ht="60" customHeight="1" x14ac:dyDescent="0.25">
      <c r="A34" s="29">
        <f t="shared" ref="A34:A98" si="6">1+A33</f>
        <v>33</v>
      </c>
      <c r="B34" s="29">
        <v>40039318</v>
      </c>
      <c r="C34" s="29">
        <v>0</v>
      </c>
      <c r="D34" s="29" t="s">
        <v>240</v>
      </c>
      <c r="E34" s="30" t="s">
        <v>3</v>
      </c>
      <c r="F34" s="31" t="str">
        <f>+IFERROR(VLOOKUP(E34,'Feriados y Comunas'!$C$1:$D$36,2,FALSE),"")</f>
        <v>LLANQUIHUE</v>
      </c>
      <c r="G34" s="32">
        <v>46210</v>
      </c>
      <c r="H34" s="33">
        <v>675071</v>
      </c>
      <c r="I34" s="29" t="s">
        <v>102</v>
      </c>
      <c r="J34" s="29">
        <v>2027</v>
      </c>
      <c r="K34" s="34" t="s">
        <v>134</v>
      </c>
      <c r="L34" s="34" t="s">
        <v>241</v>
      </c>
      <c r="M34" s="35"/>
      <c r="N34" s="35" t="s">
        <v>136</v>
      </c>
      <c r="O34" s="35" t="s">
        <v>137</v>
      </c>
      <c r="P34" s="36">
        <v>49</v>
      </c>
      <c r="Q34" s="36">
        <v>38</v>
      </c>
      <c r="R34" s="36">
        <f t="shared" si="5"/>
        <v>87</v>
      </c>
      <c r="S34" s="29"/>
      <c r="T34" s="34" t="s">
        <v>132</v>
      </c>
      <c r="U34" s="34" t="s">
        <v>132</v>
      </c>
      <c r="V34" s="29">
        <v>581</v>
      </c>
      <c r="W34" s="32">
        <v>46210</v>
      </c>
      <c r="X34" s="32"/>
      <c r="Y34" s="32"/>
      <c r="Z34" s="32"/>
      <c r="AA34" s="32">
        <v>46210</v>
      </c>
      <c r="AB34" s="37">
        <f>WORKDAY(AA34,15,'Feriados y Comunas'!A$2:A$25)</f>
        <v>46231</v>
      </c>
      <c r="AC34" s="29"/>
      <c r="AD34" s="29"/>
      <c r="AE34" s="29"/>
      <c r="AF34" s="29"/>
      <c r="AG34" s="38"/>
      <c r="AH34" s="29"/>
      <c r="AI34" s="43"/>
      <c r="AJ34" s="32"/>
      <c r="AK34" s="29"/>
      <c r="AL34" s="29"/>
      <c r="AM34" s="32"/>
      <c r="AN34" s="29"/>
      <c r="AO34" s="32"/>
      <c r="AP34" s="41"/>
      <c r="AQ34" s="29"/>
      <c r="AR34" s="43"/>
      <c r="AS34" s="29">
        <v>1837</v>
      </c>
      <c r="AT34" s="32">
        <v>46224</v>
      </c>
      <c r="AU34" s="42" t="s">
        <v>90</v>
      </c>
      <c r="AV34" s="29" t="s">
        <v>91</v>
      </c>
      <c r="AW34" s="1">
        <v>6</v>
      </c>
    </row>
    <row r="35" spans="1:49" ht="60" customHeight="1" x14ac:dyDescent="0.25">
      <c r="A35" s="29">
        <f t="shared" si="6"/>
        <v>34</v>
      </c>
      <c r="B35" s="29">
        <v>40019279</v>
      </c>
      <c r="C35" s="29">
        <v>0</v>
      </c>
      <c r="D35" s="29" t="s">
        <v>242</v>
      </c>
      <c r="E35" s="30" t="s">
        <v>30</v>
      </c>
      <c r="F35" s="31" t="str">
        <f>+IFERROR(VLOOKUP(E35,'Feriados y Comunas'!$C$1:$D$36,2,FALSE),"")</f>
        <v>CHILOÉ</v>
      </c>
      <c r="G35" s="32">
        <v>46136</v>
      </c>
      <c r="H35" s="33">
        <v>91500</v>
      </c>
      <c r="I35" s="29" t="s">
        <v>84</v>
      </c>
      <c r="J35" s="29">
        <v>2027</v>
      </c>
      <c r="K35" s="34" t="s">
        <v>134</v>
      </c>
      <c r="L35" s="34" t="s">
        <v>243</v>
      </c>
      <c r="M35" s="35"/>
      <c r="N35" s="35" t="s">
        <v>136</v>
      </c>
      <c r="O35" s="35" t="s">
        <v>137</v>
      </c>
      <c r="P35" s="36">
        <v>37</v>
      </c>
      <c r="Q35" s="36">
        <v>19</v>
      </c>
      <c r="R35" s="36">
        <f t="shared" si="5"/>
        <v>56</v>
      </c>
      <c r="S35" s="29"/>
      <c r="T35" s="34" t="s">
        <v>107</v>
      </c>
      <c r="U35" s="34" t="s">
        <v>107</v>
      </c>
      <c r="V35" s="29">
        <v>338</v>
      </c>
      <c r="W35" s="32">
        <v>46136</v>
      </c>
      <c r="X35" s="32"/>
      <c r="Y35" s="32"/>
      <c r="Z35" s="32"/>
      <c r="AA35" s="32">
        <v>46136</v>
      </c>
      <c r="AB35" s="37">
        <f>WORKDAY(AA35,15,'Feriados y Comunas'!A$2:A$25)</f>
        <v>46157</v>
      </c>
      <c r="AC35" s="29"/>
      <c r="AD35" s="29"/>
      <c r="AE35" s="29"/>
      <c r="AF35" s="29"/>
      <c r="AG35" s="38"/>
      <c r="AH35" s="39" t="s">
        <v>244</v>
      </c>
      <c r="AI35" s="40" t="s">
        <v>245</v>
      </c>
      <c r="AJ35" s="46" t="s">
        <v>246</v>
      </c>
      <c r="AK35" s="29" t="s">
        <v>100</v>
      </c>
      <c r="AL35" s="39" t="s">
        <v>247</v>
      </c>
      <c r="AM35" s="40" t="s">
        <v>248</v>
      </c>
      <c r="AN35" s="45"/>
      <c r="AO35" s="40" t="s">
        <v>249</v>
      </c>
      <c r="AP35" s="41"/>
      <c r="AQ35" s="39" t="s">
        <v>244</v>
      </c>
      <c r="AR35" s="40" t="s">
        <v>245</v>
      </c>
      <c r="AS35" s="29">
        <v>1835</v>
      </c>
      <c r="AT35" s="32">
        <v>46224</v>
      </c>
      <c r="AU35" s="42" t="s">
        <v>90</v>
      </c>
      <c r="AV35" s="29" t="s">
        <v>91</v>
      </c>
      <c r="AW35" s="1">
        <v>15</v>
      </c>
    </row>
    <row r="36" spans="1:49" ht="60" customHeight="1" x14ac:dyDescent="0.25">
      <c r="A36" s="29">
        <f t="shared" si="6"/>
        <v>35</v>
      </c>
      <c r="B36" s="29">
        <v>40069812</v>
      </c>
      <c r="C36" s="29">
        <v>0</v>
      </c>
      <c r="D36" s="29" t="s">
        <v>250</v>
      </c>
      <c r="E36" s="30" t="s">
        <v>17</v>
      </c>
      <c r="F36" s="31" t="str">
        <f>+IFERROR(VLOOKUP(E36,'Feriados y Comunas'!$C$1:$D$36,2,FALSE),"")</f>
        <v>LLANQUIHUE</v>
      </c>
      <c r="G36" s="32">
        <v>46206</v>
      </c>
      <c r="H36" s="33">
        <v>1695748</v>
      </c>
      <c r="I36" s="29" t="s">
        <v>102</v>
      </c>
      <c r="J36" s="29">
        <v>2027</v>
      </c>
      <c r="K36" s="34" t="s">
        <v>251</v>
      </c>
      <c r="L36" s="34" t="s">
        <v>427</v>
      </c>
      <c r="M36" s="35"/>
      <c r="N36" s="35" t="s">
        <v>252</v>
      </c>
      <c r="O36" s="35" t="s">
        <v>253</v>
      </c>
      <c r="P36" s="36">
        <v>74</v>
      </c>
      <c r="Q36" s="36">
        <v>78</v>
      </c>
      <c r="R36" s="36">
        <f t="shared" si="5"/>
        <v>152</v>
      </c>
      <c r="S36" s="29"/>
      <c r="T36" s="34" t="s">
        <v>254</v>
      </c>
      <c r="U36" s="34" t="s">
        <v>254</v>
      </c>
      <c r="V36" s="29">
        <v>1007</v>
      </c>
      <c r="W36" s="32">
        <v>46205</v>
      </c>
      <c r="X36" s="32"/>
      <c r="Y36" s="32"/>
      <c r="Z36" s="32"/>
      <c r="AA36" s="32">
        <v>46206</v>
      </c>
      <c r="AB36" s="37">
        <f>WORKDAY(AA36,15,'Feriados y Comunas'!A$2:A$25)</f>
        <v>46227</v>
      </c>
      <c r="AC36" s="29"/>
      <c r="AD36" s="29"/>
      <c r="AE36" s="29"/>
      <c r="AF36" s="29"/>
      <c r="AG36" s="38"/>
      <c r="AH36" s="39"/>
      <c r="AI36" s="40"/>
      <c r="AJ36" s="46"/>
      <c r="AK36" s="29"/>
      <c r="AL36" s="39"/>
      <c r="AM36" s="40"/>
      <c r="AN36" s="45"/>
      <c r="AO36" s="40"/>
      <c r="AP36" s="41"/>
      <c r="AQ36" s="39"/>
      <c r="AR36" s="40"/>
      <c r="AS36" s="34" t="s">
        <v>428</v>
      </c>
      <c r="AT36" s="46" t="s">
        <v>429</v>
      </c>
      <c r="AU36" s="42" t="s">
        <v>90</v>
      </c>
      <c r="AV36" s="29" t="s">
        <v>91</v>
      </c>
      <c r="AW36" s="48" t="s">
        <v>430</v>
      </c>
    </row>
    <row r="37" spans="1:49" ht="60" customHeight="1" x14ac:dyDescent="0.25">
      <c r="A37" s="29">
        <f t="shared" si="6"/>
        <v>36</v>
      </c>
      <c r="B37" s="29">
        <v>40063885</v>
      </c>
      <c r="C37" s="29">
        <v>0</v>
      </c>
      <c r="D37" s="29" t="s">
        <v>255</v>
      </c>
      <c r="E37" s="30" t="s">
        <v>10</v>
      </c>
      <c r="F37" s="31" t="str">
        <f>+IFERROR(VLOOKUP(E37,'Feriados y Comunas'!$C$1:$D$36,2,FALSE),"")</f>
        <v>LLANQUIHUE</v>
      </c>
      <c r="G37" s="32">
        <v>46213</v>
      </c>
      <c r="H37" s="33">
        <v>324729</v>
      </c>
      <c r="I37" s="29" t="s">
        <v>256</v>
      </c>
      <c r="J37" s="29">
        <v>2027</v>
      </c>
      <c r="K37" s="34" t="s">
        <v>122</v>
      </c>
      <c r="L37" s="34" t="s">
        <v>257</v>
      </c>
      <c r="M37" s="35"/>
      <c r="N37" s="35" t="s">
        <v>219</v>
      </c>
      <c r="O37" s="35" t="s">
        <v>220</v>
      </c>
      <c r="P37" s="36">
        <v>787</v>
      </c>
      <c r="Q37" s="36">
        <v>762</v>
      </c>
      <c r="R37" s="36">
        <f t="shared" si="5"/>
        <v>1549</v>
      </c>
      <c r="S37" s="29"/>
      <c r="T37" s="34" t="s">
        <v>258</v>
      </c>
      <c r="U37" s="34" t="s">
        <v>258</v>
      </c>
      <c r="V37" s="29">
        <v>72</v>
      </c>
      <c r="W37" s="32">
        <v>46181</v>
      </c>
      <c r="X37" s="32"/>
      <c r="Y37" s="32"/>
      <c r="Z37" s="32"/>
      <c r="AA37" s="32">
        <v>46213</v>
      </c>
      <c r="AB37" s="37">
        <f>WORKDAY(AA37,15,'Feriados y Comunas'!A$2:A$25)</f>
        <v>46234</v>
      </c>
      <c r="AC37" s="29"/>
      <c r="AD37" s="29"/>
      <c r="AE37" s="29"/>
      <c r="AF37" s="29"/>
      <c r="AG37" s="38"/>
      <c r="AH37" s="39"/>
      <c r="AI37" s="40"/>
      <c r="AJ37" s="46"/>
      <c r="AK37" s="29"/>
      <c r="AL37" s="39"/>
      <c r="AM37" s="40"/>
      <c r="AN37" s="45"/>
      <c r="AO37" s="40"/>
      <c r="AP37" s="41"/>
      <c r="AQ37" s="39"/>
      <c r="AR37" s="40"/>
      <c r="AS37" s="29">
        <v>2050</v>
      </c>
      <c r="AT37" s="32">
        <v>46234</v>
      </c>
      <c r="AU37" s="42" t="s">
        <v>90</v>
      </c>
      <c r="AV37" s="29" t="s">
        <v>91</v>
      </c>
      <c r="AW37" s="1">
        <v>3</v>
      </c>
    </row>
    <row r="38" spans="1:49" ht="60" customHeight="1" x14ac:dyDescent="0.25">
      <c r="A38" s="29">
        <f t="shared" si="6"/>
        <v>37</v>
      </c>
      <c r="B38" s="29">
        <v>40080197</v>
      </c>
      <c r="C38" s="29">
        <v>0</v>
      </c>
      <c r="D38" s="29" t="s">
        <v>369</v>
      </c>
      <c r="E38" s="30" t="s">
        <v>46</v>
      </c>
      <c r="F38" s="31" t="str">
        <f>+IFERROR(VLOOKUP(E38,'Feriados y Comunas'!$C$1:$D$36,2,FALSE),"")</f>
        <v>OSORNO</v>
      </c>
      <c r="G38" s="32">
        <v>46160</v>
      </c>
      <c r="H38" s="33">
        <v>546610</v>
      </c>
      <c r="I38" s="29" t="s">
        <v>102</v>
      </c>
      <c r="J38" s="29">
        <v>2027</v>
      </c>
      <c r="K38" s="34" t="s">
        <v>134</v>
      </c>
      <c r="L38" s="34" t="s">
        <v>396</v>
      </c>
      <c r="M38" s="35"/>
      <c r="N38" s="35" t="s">
        <v>136</v>
      </c>
      <c r="O38" s="35" t="s">
        <v>137</v>
      </c>
      <c r="P38" s="36">
        <v>17</v>
      </c>
      <c r="Q38" s="36">
        <v>14</v>
      </c>
      <c r="R38" s="36">
        <f>SUM(P38:Q38)</f>
        <v>31</v>
      </c>
      <c r="S38" s="29"/>
      <c r="T38" s="34" t="s">
        <v>350</v>
      </c>
      <c r="U38" s="34" t="s">
        <v>350</v>
      </c>
      <c r="V38" s="29">
        <v>297</v>
      </c>
      <c r="W38" s="32">
        <v>46157</v>
      </c>
      <c r="X38" s="32"/>
      <c r="Y38" s="32"/>
      <c r="Z38" s="32"/>
      <c r="AA38" s="32">
        <v>46160</v>
      </c>
      <c r="AB38" s="37">
        <f>WORKDAY(AA38,15,'Feriados y Comunas'!A$2:A$25)</f>
        <v>46181</v>
      </c>
      <c r="AC38" s="29"/>
      <c r="AD38" s="29"/>
      <c r="AE38" s="29"/>
      <c r="AF38" s="29"/>
      <c r="AG38" s="38"/>
      <c r="AH38" s="39" t="s">
        <v>370</v>
      </c>
      <c r="AI38" s="40" t="s">
        <v>371</v>
      </c>
      <c r="AJ38" s="40" t="s">
        <v>372</v>
      </c>
      <c r="AK38" s="29" t="s">
        <v>100</v>
      </c>
      <c r="AL38" s="39" t="s">
        <v>392</v>
      </c>
      <c r="AM38" s="40" t="s">
        <v>393</v>
      </c>
      <c r="AN38" s="45"/>
      <c r="AO38" s="40" t="s">
        <v>394</v>
      </c>
      <c r="AP38" s="41"/>
      <c r="AQ38" s="29">
        <v>1464</v>
      </c>
      <c r="AR38" s="43">
        <v>46188</v>
      </c>
      <c r="AS38" s="29">
        <v>2617</v>
      </c>
      <c r="AT38" s="32">
        <v>46266</v>
      </c>
      <c r="AU38" s="42" t="s">
        <v>90</v>
      </c>
      <c r="AV38" s="29"/>
      <c r="AW38" s="1">
        <v>19</v>
      </c>
    </row>
    <row r="39" spans="1:49" ht="60" customHeight="1" x14ac:dyDescent="0.25">
      <c r="A39" s="29">
        <f t="shared" si="6"/>
        <v>38</v>
      </c>
      <c r="B39" s="29">
        <v>40077279</v>
      </c>
      <c r="C39" s="29">
        <v>0</v>
      </c>
      <c r="D39" s="29" t="s">
        <v>397</v>
      </c>
      <c r="E39" s="30" t="s">
        <v>27</v>
      </c>
      <c r="F39" s="31" t="str">
        <f>+IFERROR(VLOOKUP(E39,'Feriados y Comunas'!$C$1:$D$36,2,FALSE),"")</f>
        <v>CHILOÉ</v>
      </c>
      <c r="G39" s="32">
        <v>46258</v>
      </c>
      <c r="H39" s="33">
        <v>352500</v>
      </c>
      <c r="I39" s="29" t="s">
        <v>102</v>
      </c>
      <c r="J39" s="29">
        <v>2027</v>
      </c>
      <c r="K39" s="34" t="s">
        <v>163</v>
      </c>
      <c r="L39" s="34" t="s">
        <v>401</v>
      </c>
      <c r="M39" s="35"/>
      <c r="N39" s="35" t="s">
        <v>87</v>
      </c>
      <c r="O39" s="35" t="s">
        <v>88</v>
      </c>
      <c r="P39" s="36">
        <v>22832</v>
      </c>
      <c r="Q39" s="36">
        <v>24165</v>
      </c>
      <c r="R39" s="36">
        <f>SUM(P39:Q39)</f>
        <v>46997</v>
      </c>
      <c r="S39" s="29"/>
      <c r="T39" s="34" t="s">
        <v>89</v>
      </c>
      <c r="U39" s="34" t="s">
        <v>89</v>
      </c>
      <c r="V39" s="29">
        <v>1009</v>
      </c>
      <c r="W39" s="32">
        <v>46252</v>
      </c>
      <c r="X39" s="32"/>
      <c r="Y39" s="32"/>
      <c r="Z39" s="32"/>
      <c r="AA39" s="32">
        <v>46258</v>
      </c>
      <c r="AB39" s="37">
        <f>WORKDAY(AA39,15,'Feriados y Comunas'!A$2:A$25)</f>
        <v>46279</v>
      </c>
      <c r="AC39" s="29"/>
      <c r="AD39" s="29"/>
      <c r="AE39" s="29"/>
      <c r="AF39" s="29"/>
      <c r="AG39" s="38"/>
      <c r="AH39" s="39"/>
      <c r="AI39" s="40"/>
      <c r="AJ39" s="40"/>
      <c r="AK39" s="34"/>
      <c r="AL39" s="39" t="s">
        <v>398</v>
      </c>
      <c r="AM39" s="40" t="s">
        <v>399</v>
      </c>
      <c r="AN39" s="45"/>
      <c r="AO39" s="40" t="s">
        <v>400</v>
      </c>
      <c r="AP39" s="41"/>
      <c r="AQ39" s="39" t="s">
        <v>322</v>
      </c>
      <c r="AR39" s="40" t="s">
        <v>323</v>
      </c>
      <c r="AS39" s="29">
        <v>2618</v>
      </c>
      <c r="AT39" s="32">
        <v>46266</v>
      </c>
      <c r="AU39" s="42" t="s">
        <v>90</v>
      </c>
      <c r="AV39" s="29" t="s">
        <v>91</v>
      </c>
      <c r="AW39" s="1">
        <v>4</v>
      </c>
    </row>
    <row r="40" spans="1:49" ht="60" customHeight="1" x14ac:dyDescent="0.25">
      <c r="A40" s="29">
        <f t="shared" si="6"/>
        <v>39</v>
      </c>
      <c r="B40" s="29">
        <v>40043232</v>
      </c>
      <c r="C40" s="29">
        <v>0</v>
      </c>
      <c r="D40" s="29" t="s">
        <v>386</v>
      </c>
      <c r="E40" s="30" t="s">
        <v>9</v>
      </c>
      <c r="F40" s="31" t="s">
        <v>5</v>
      </c>
      <c r="G40" s="32">
        <v>46240</v>
      </c>
      <c r="H40" s="33">
        <v>2031826</v>
      </c>
      <c r="I40" s="29" t="s">
        <v>102</v>
      </c>
      <c r="J40" s="29">
        <v>2027</v>
      </c>
      <c r="K40" s="34" t="s">
        <v>115</v>
      </c>
      <c r="L40" s="34" t="s">
        <v>402</v>
      </c>
      <c r="M40" s="35"/>
      <c r="N40" s="35" t="s">
        <v>198</v>
      </c>
      <c r="O40" s="35" t="s">
        <v>177</v>
      </c>
      <c r="P40" s="36">
        <v>875</v>
      </c>
      <c r="Q40" s="36">
        <v>910</v>
      </c>
      <c r="R40" s="36">
        <v>1785</v>
      </c>
      <c r="S40" s="29"/>
      <c r="T40" s="34" t="s">
        <v>387</v>
      </c>
      <c r="U40" s="34" t="s">
        <v>387</v>
      </c>
      <c r="V40" s="29">
        <v>678</v>
      </c>
      <c r="W40" s="32">
        <v>46237</v>
      </c>
      <c r="X40" s="32"/>
      <c r="Y40" s="32">
        <v>46240</v>
      </c>
      <c r="Z40" s="32">
        <v>46240</v>
      </c>
      <c r="AA40" s="32">
        <v>46240</v>
      </c>
      <c r="AB40" s="37">
        <f>WORKDAY(AA40,15,'Feriados y Comunas'!A$2:A$25)</f>
        <v>46261</v>
      </c>
      <c r="AC40" s="29"/>
      <c r="AD40" s="29"/>
      <c r="AE40" s="29"/>
      <c r="AF40" s="29"/>
      <c r="AG40" s="38"/>
      <c r="AH40" s="29"/>
      <c r="AI40" s="43"/>
      <c r="AJ40" s="32"/>
      <c r="AK40" s="29"/>
      <c r="AL40" s="29"/>
      <c r="AM40" s="32"/>
      <c r="AN40" s="29"/>
      <c r="AO40" s="32"/>
      <c r="AP40" s="41"/>
      <c r="AQ40" s="29"/>
      <c r="AR40" s="43"/>
      <c r="AS40" s="29">
        <v>2619</v>
      </c>
      <c r="AT40" s="32">
        <v>46266</v>
      </c>
      <c r="AU40" s="42" t="s">
        <v>90</v>
      </c>
      <c r="AV40" s="29" t="s">
        <v>91</v>
      </c>
      <c r="AW40" s="49">
        <v>15</v>
      </c>
    </row>
    <row r="41" spans="1:49" ht="60" customHeight="1" x14ac:dyDescent="0.25">
      <c r="A41" s="29">
        <f t="shared" si="6"/>
        <v>40</v>
      </c>
      <c r="B41" s="29">
        <v>40068279</v>
      </c>
      <c r="C41" s="29">
        <v>0</v>
      </c>
      <c r="D41" s="29" t="s">
        <v>424</v>
      </c>
      <c r="E41" s="30" t="s">
        <v>36</v>
      </c>
      <c r="F41" s="31" t="s">
        <v>24</v>
      </c>
      <c r="G41" s="32">
        <v>46289</v>
      </c>
      <c r="H41" s="33">
        <v>1632207</v>
      </c>
      <c r="I41" s="29" t="s">
        <v>102</v>
      </c>
      <c r="J41" s="29">
        <v>2027</v>
      </c>
      <c r="K41" s="34" t="s">
        <v>85</v>
      </c>
      <c r="L41" s="34" t="s">
        <v>425</v>
      </c>
      <c r="M41" s="35"/>
      <c r="N41" s="35" t="s">
        <v>184</v>
      </c>
      <c r="O41" s="35" t="s">
        <v>185</v>
      </c>
      <c r="P41" s="36">
        <v>704</v>
      </c>
      <c r="Q41" s="36">
        <v>655</v>
      </c>
      <c r="R41" s="36">
        <f>SUM(P41:Q41)</f>
        <v>1359</v>
      </c>
      <c r="S41" s="29"/>
      <c r="T41" s="34" t="s">
        <v>426</v>
      </c>
      <c r="U41" s="34" t="s">
        <v>426</v>
      </c>
      <c r="V41" s="29">
        <v>346</v>
      </c>
      <c r="W41" s="32">
        <v>46289</v>
      </c>
      <c r="X41" s="32"/>
      <c r="Y41" s="32"/>
      <c r="Z41" s="32"/>
      <c r="AA41" s="32">
        <v>46289</v>
      </c>
      <c r="AB41" s="37">
        <f>WORKDAY(AA41,15,'Feriados y Comunas'!A$2:A$25)</f>
        <v>46310</v>
      </c>
      <c r="AC41" s="29"/>
      <c r="AD41" s="29"/>
      <c r="AE41" s="29"/>
      <c r="AF41" s="29"/>
      <c r="AG41" s="38"/>
      <c r="AH41" s="29"/>
      <c r="AI41" s="43"/>
      <c r="AJ41" s="32"/>
      <c r="AK41" s="29"/>
      <c r="AL41" s="29"/>
      <c r="AM41" s="32"/>
      <c r="AN41" s="29"/>
      <c r="AO41" s="32"/>
      <c r="AP41" s="41"/>
      <c r="AQ41" s="29"/>
      <c r="AR41" s="43"/>
      <c r="AS41" s="29">
        <v>2940</v>
      </c>
      <c r="AT41" s="32">
        <v>46293</v>
      </c>
      <c r="AU41" s="42" t="s">
        <v>90</v>
      </c>
      <c r="AV41" s="29" t="s">
        <v>91</v>
      </c>
      <c r="AW41" s="49">
        <v>1</v>
      </c>
    </row>
    <row r="42" spans="1:49" ht="60" customHeight="1" x14ac:dyDescent="0.25">
      <c r="A42" s="29">
        <f t="shared" si="6"/>
        <v>41</v>
      </c>
      <c r="B42" s="29">
        <v>40081122</v>
      </c>
      <c r="C42" s="29">
        <v>0</v>
      </c>
      <c r="D42" s="29" t="s">
        <v>385</v>
      </c>
      <c r="E42" s="30" t="s">
        <v>27</v>
      </c>
      <c r="F42" s="31" t="str">
        <f>+IFERROR(VLOOKUP(E42,'Feriados y Comunas'!$C$1:$D$36,2,FALSE),"")</f>
        <v>CHILOÉ</v>
      </c>
      <c r="G42" s="32">
        <v>46211</v>
      </c>
      <c r="H42" s="33">
        <v>180000</v>
      </c>
      <c r="I42" s="29" t="s">
        <v>102</v>
      </c>
      <c r="J42" s="29">
        <v>2027</v>
      </c>
      <c r="K42" s="34" t="s">
        <v>103</v>
      </c>
      <c r="L42" s="34" t="s">
        <v>431</v>
      </c>
      <c r="M42" s="35"/>
      <c r="N42" s="35" t="s">
        <v>105</v>
      </c>
      <c r="O42" s="35" t="s">
        <v>158</v>
      </c>
      <c r="P42" s="36">
        <v>9102</v>
      </c>
      <c r="Q42" s="36">
        <v>9100</v>
      </c>
      <c r="R42" s="36">
        <f>SUM(P42:Q42)</f>
        <v>18202</v>
      </c>
      <c r="S42" s="29"/>
      <c r="T42" s="34" t="s">
        <v>89</v>
      </c>
      <c r="U42" s="34" t="s">
        <v>89</v>
      </c>
      <c r="V42" s="29">
        <v>780</v>
      </c>
      <c r="W42" s="32">
        <v>46196</v>
      </c>
      <c r="X42" s="32"/>
      <c r="Y42" s="32"/>
      <c r="Z42" s="32"/>
      <c r="AA42" s="32">
        <v>46211</v>
      </c>
      <c r="AB42" s="37">
        <f>WORKDAY(AA42,15,'Feriados y Comunas'!A$2:A$25)</f>
        <v>46232</v>
      </c>
      <c r="AC42" s="29"/>
      <c r="AD42" s="29"/>
      <c r="AE42" s="29"/>
      <c r="AF42" s="29"/>
      <c r="AG42" s="38"/>
      <c r="AH42" s="39" t="s">
        <v>408</v>
      </c>
      <c r="AI42" s="40" t="s">
        <v>406</v>
      </c>
      <c r="AJ42" s="40" t="s">
        <v>407</v>
      </c>
      <c r="AK42" s="29" t="s">
        <v>100</v>
      </c>
      <c r="AL42" s="34" t="s">
        <v>432</v>
      </c>
      <c r="AM42" s="46" t="s">
        <v>433</v>
      </c>
      <c r="AN42" s="29"/>
      <c r="AO42" s="46" t="s">
        <v>434</v>
      </c>
      <c r="AP42" s="41"/>
      <c r="AQ42" s="39" t="s">
        <v>408</v>
      </c>
      <c r="AR42" s="40" t="s">
        <v>406</v>
      </c>
      <c r="AS42" s="29">
        <v>2942</v>
      </c>
      <c r="AT42" s="32">
        <v>46293</v>
      </c>
      <c r="AU42" s="42" t="s">
        <v>90</v>
      </c>
      <c r="AV42" s="29" t="s">
        <v>91</v>
      </c>
      <c r="AW42" s="1">
        <v>5</v>
      </c>
    </row>
    <row r="43" spans="1:49" ht="60" customHeight="1" x14ac:dyDescent="0.25">
      <c r="A43" s="29">
        <f t="shared" si="6"/>
        <v>42</v>
      </c>
      <c r="B43" s="29">
        <v>40037891</v>
      </c>
      <c r="C43" s="29">
        <v>0</v>
      </c>
      <c r="D43" s="29" t="s">
        <v>357</v>
      </c>
      <c r="E43" s="30" t="s">
        <v>65</v>
      </c>
      <c r="F43" s="31" t="str">
        <f>+IFERROR(VLOOKUP(E43,'Feriados y Comunas'!$C$1:$D$36,2,FALSE),"")</f>
        <v>PALENA</v>
      </c>
      <c r="G43" s="32">
        <v>46128</v>
      </c>
      <c r="H43" s="33">
        <v>2294874</v>
      </c>
      <c r="I43" s="29" t="s">
        <v>102</v>
      </c>
      <c r="J43" s="29">
        <v>2026</v>
      </c>
      <c r="K43" s="34" t="s">
        <v>103</v>
      </c>
      <c r="L43" s="34" t="s">
        <v>435</v>
      </c>
      <c r="M43" s="35"/>
      <c r="N43" s="35" t="s">
        <v>105</v>
      </c>
      <c r="O43" s="35" t="s">
        <v>158</v>
      </c>
      <c r="P43" s="36">
        <v>111</v>
      </c>
      <c r="Q43" s="36">
        <v>110</v>
      </c>
      <c r="R43" s="36">
        <f>SUBTOTAL(9,P43:Q43)</f>
        <v>221</v>
      </c>
      <c r="S43" s="29"/>
      <c r="T43" s="34" t="s">
        <v>173</v>
      </c>
      <c r="U43" s="34" t="s">
        <v>173</v>
      </c>
      <c r="V43" s="29">
        <v>337</v>
      </c>
      <c r="W43" s="32">
        <v>46128</v>
      </c>
      <c r="X43" s="32"/>
      <c r="Y43" s="32"/>
      <c r="Z43" s="32"/>
      <c r="AA43" s="32">
        <v>46128</v>
      </c>
      <c r="AB43" s="37">
        <f>WORKDAY(AA43,15,'Feriados y Comunas'!A$2:A$25)</f>
        <v>46149</v>
      </c>
      <c r="AC43" s="29"/>
      <c r="AD43" s="29"/>
      <c r="AE43" s="29"/>
      <c r="AF43" s="29"/>
      <c r="AG43" s="38"/>
      <c r="AH43" s="39" t="s">
        <v>413</v>
      </c>
      <c r="AI43" s="40" t="s">
        <v>414</v>
      </c>
      <c r="AJ43" s="40" t="s">
        <v>415</v>
      </c>
      <c r="AK43" s="29" t="s">
        <v>100</v>
      </c>
      <c r="AL43" s="39" t="s">
        <v>439</v>
      </c>
      <c r="AM43" s="40" t="s">
        <v>440</v>
      </c>
      <c r="AN43" s="45"/>
      <c r="AO43" s="40" t="s">
        <v>441</v>
      </c>
      <c r="AP43" s="41"/>
      <c r="AQ43" s="39" t="s">
        <v>413</v>
      </c>
      <c r="AR43" s="40" t="s">
        <v>414</v>
      </c>
      <c r="AS43" s="29">
        <v>2943</v>
      </c>
      <c r="AT43" s="32">
        <v>46293</v>
      </c>
      <c r="AU43" s="42" t="s">
        <v>90</v>
      </c>
      <c r="AV43" s="29"/>
      <c r="AW43" s="1">
        <v>22</v>
      </c>
    </row>
    <row r="44" spans="1:49" ht="60" customHeight="1" x14ac:dyDescent="0.25">
      <c r="A44" s="29">
        <f t="shared" si="6"/>
        <v>43</v>
      </c>
      <c r="B44" s="29">
        <v>30125824</v>
      </c>
      <c r="C44" s="29">
        <v>0</v>
      </c>
      <c r="D44" s="29" t="s">
        <v>300</v>
      </c>
      <c r="E44" s="30" t="s">
        <v>12</v>
      </c>
      <c r="F44" s="31" t="str">
        <f>+IFERROR(VLOOKUP(E44,'Feriados y Comunas'!$C$1:$D$36,2,FALSE),"")</f>
        <v>LLANQUIHUE</v>
      </c>
      <c r="G44" s="32">
        <v>45799</v>
      </c>
      <c r="H44" s="33">
        <v>7981161</v>
      </c>
      <c r="I44" s="29" t="s">
        <v>102</v>
      </c>
      <c r="J44" s="29">
        <v>2027</v>
      </c>
      <c r="K44" s="34" t="s">
        <v>94</v>
      </c>
      <c r="L44" s="34" t="s">
        <v>436</v>
      </c>
      <c r="M44" s="35"/>
      <c r="N44" s="35" t="s">
        <v>301</v>
      </c>
      <c r="O44" s="35" t="s">
        <v>97</v>
      </c>
      <c r="P44" s="36">
        <v>2814</v>
      </c>
      <c r="Q44" s="36">
        <v>2893</v>
      </c>
      <c r="R44" s="36">
        <f>SUM(P44:Q44)</f>
        <v>5707</v>
      </c>
      <c r="S44" s="29"/>
      <c r="T44" s="34" t="s">
        <v>165</v>
      </c>
      <c r="U44" s="34" t="s">
        <v>165</v>
      </c>
      <c r="V44" s="29">
        <v>508</v>
      </c>
      <c r="W44" s="32">
        <v>45792</v>
      </c>
      <c r="X44" s="32"/>
      <c r="Y44" s="32">
        <v>45799</v>
      </c>
      <c r="Z44" s="32">
        <v>45799</v>
      </c>
      <c r="AA44" s="32">
        <v>45799</v>
      </c>
      <c r="AB44" s="37">
        <f>WORKDAY(AA44,15,'Feriados y Comunas'!A$2:A$25)</f>
        <v>45820</v>
      </c>
      <c r="AC44" s="29"/>
      <c r="AD44" s="29"/>
      <c r="AE44" s="29"/>
      <c r="AF44" s="29"/>
      <c r="AG44" s="38"/>
      <c r="AH44" s="39" t="s">
        <v>410</v>
      </c>
      <c r="AI44" s="40" t="s">
        <v>411</v>
      </c>
      <c r="AJ44" s="40" t="s">
        <v>412</v>
      </c>
      <c r="AK44" s="34" t="s">
        <v>100</v>
      </c>
      <c r="AL44" s="39" t="s">
        <v>442</v>
      </c>
      <c r="AM44" s="40" t="s">
        <v>443</v>
      </c>
      <c r="AN44" s="39"/>
      <c r="AO44" s="40" t="s">
        <v>444</v>
      </c>
      <c r="AP44" s="41"/>
      <c r="AQ44" s="39" t="s">
        <v>302</v>
      </c>
      <c r="AR44" s="40" t="s">
        <v>303</v>
      </c>
      <c r="AS44" s="29">
        <v>2944</v>
      </c>
      <c r="AT44" s="32">
        <v>46293</v>
      </c>
      <c r="AU44" s="42" t="s">
        <v>90</v>
      </c>
      <c r="AV44" s="29" t="s">
        <v>91</v>
      </c>
      <c r="AW44" s="1">
        <v>11</v>
      </c>
    </row>
    <row r="45" spans="1:49" ht="60" customHeight="1" x14ac:dyDescent="0.25">
      <c r="A45" s="29">
        <f t="shared" si="6"/>
        <v>44</v>
      </c>
      <c r="B45" s="29">
        <v>40004598</v>
      </c>
      <c r="C45" s="29">
        <v>0</v>
      </c>
      <c r="D45" s="29" t="s">
        <v>382</v>
      </c>
      <c r="E45" s="30" t="s">
        <v>12</v>
      </c>
      <c r="F45" s="31" t="str">
        <f>+IFERROR(VLOOKUP(E45,'Feriados y Comunas'!$C$1:$D$36,2,FALSE),"")</f>
        <v>LLANQUIHUE</v>
      </c>
      <c r="G45" s="32">
        <v>46211</v>
      </c>
      <c r="H45" s="33">
        <v>2563661</v>
      </c>
      <c r="I45" s="29" t="s">
        <v>102</v>
      </c>
      <c r="J45" s="29">
        <v>2027</v>
      </c>
      <c r="K45" s="34" t="s">
        <v>251</v>
      </c>
      <c r="L45" s="34" t="s">
        <v>437</v>
      </c>
      <c r="M45" s="35"/>
      <c r="N45" s="35" t="s">
        <v>252</v>
      </c>
      <c r="O45" s="35" t="s">
        <v>253</v>
      </c>
      <c r="P45" s="36">
        <v>8681</v>
      </c>
      <c r="Q45" s="36">
        <v>8387</v>
      </c>
      <c r="R45" s="36">
        <f>SUM(P45:Q45)</f>
        <v>17068</v>
      </c>
      <c r="S45" s="29"/>
      <c r="T45" s="34" t="s">
        <v>165</v>
      </c>
      <c r="U45" s="34" t="s">
        <v>165</v>
      </c>
      <c r="V45" s="29">
        <v>457</v>
      </c>
      <c r="W45" s="32">
        <v>46211</v>
      </c>
      <c r="X45" s="32"/>
      <c r="Y45" s="32"/>
      <c r="Z45" s="32"/>
      <c r="AA45" s="32">
        <v>46211</v>
      </c>
      <c r="AB45" s="37">
        <f>WORKDAY(AA45,15,'Feriados y Comunas'!A$2:A$25)</f>
        <v>46232</v>
      </c>
      <c r="AC45" s="29"/>
      <c r="AD45" s="29"/>
      <c r="AE45" s="29"/>
      <c r="AF45" s="29"/>
      <c r="AG45" s="38"/>
      <c r="AH45" s="39" t="s">
        <v>405</v>
      </c>
      <c r="AI45" s="40" t="s">
        <v>406</v>
      </c>
      <c r="AJ45" s="40" t="s">
        <v>407</v>
      </c>
      <c r="AK45" s="29" t="s">
        <v>100</v>
      </c>
      <c r="AL45" s="39" t="s">
        <v>445</v>
      </c>
      <c r="AM45" s="40" t="s">
        <v>446</v>
      </c>
      <c r="AN45" s="45"/>
      <c r="AO45" s="40" t="s">
        <v>447</v>
      </c>
      <c r="AP45" s="41"/>
      <c r="AQ45" s="39" t="s">
        <v>405</v>
      </c>
      <c r="AR45" s="40" t="s">
        <v>406</v>
      </c>
      <c r="AS45" s="29">
        <v>2945</v>
      </c>
      <c r="AT45" s="32">
        <v>46293</v>
      </c>
      <c r="AU45" s="42" t="s">
        <v>90</v>
      </c>
      <c r="AV45" s="29" t="s">
        <v>91</v>
      </c>
      <c r="AW45" s="1">
        <v>5</v>
      </c>
    </row>
    <row r="46" spans="1:49" ht="60" customHeight="1" x14ac:dyDescent="0.25">
      <c r="A46" s="29">
        <f t="shared" si="6"/>
        <v>45</v>
      </c>
      <c r="B46" s="29">
        <v>40080415</v>
      </c>
      <c r="C46" s="29">
        <v>0</v>
      </c>
      <c r="D46" s="29" t="s">
        <v>448</v>
      </c>
      <c r="E46" s="30" t="s">
        <v>46</v>
      </c>
      <c r="F46" s="31" t="str">
        <f>+IFERROR(VLOOKUP(E46,'Feriados y Comunas'!$C$1:$D$36,2,FALSE),"")</f>
        <v>OSORNO</v>
      </c>
      <c r="G46" s="32">
        <v>46188</v>
      </c>
      <c r="H46" s="33">
        <v>1133751</v>
      </c>
      <c r="I46" s="29" t="s">
        <v>102</v>
      </c>
      <c r="J46" s="29">
        <v>2026</v>
      </c>
      <c r="K46" s="34" t="s">
        <v>134</v>
      </c>
      <c r="L46" s="34" t="s">
        <v>438</v>
      </c>
      <c r="M46" s="35"/>
      <c r="N46" s="35" t="s">
        <v>136</v>
      </c>
      <c r="O46" s="35" t="s">
        <v>137</v>
      </c>
      <c r="P46" s="36">
        <v>31</v>
      </c>
      <c r="Q46" s="36">
        <v>37</v>
      </c>
      <c r="R46" s="36">
        <f>SUM(P46:Q46)</f>
        <v>68</v>
      </c>
      <c r="S46" s="29"/>
      <c r="T46" s="34" t="s">
        <v>126</v>
      </c>
      <c r="U46" s="34" t="s">
        <v>350</v>
      </c>
      <c r="V46" s="29">
        <v>311</v>
      </c>
      <c r="W46" s="32">
        <v>46162</v>
      </c>
      <c r="X46" s="32"/>
      <c r="Y46" s="32"/>
      <c r="Z46" s="32"/>
      <c r="AA46" s="32">
        <v>46188</v>
      </c>
      <c r="AB46" s="37">
        <f>WORKDAY(AA46,15,'Feriados y Comunas'!A$2:A$25)</f>
        <v>46209</v>
      </c>
      <c r="AC46" s="29"/>
      <c r="AD46" s="29"/>
      <c r="AE46" s="29"/>
      <c r="AF46" s="29"/>
      <c r="AG46" s="38"/>
      <c r="AH46" s="29">
        <v>1611</v>
      </c>
      <c r="AI46" s="43">
        <v>46199</v>
      </c>
      <c r="AJ46" s="32">
        <v>46199</v>
      </c>
      <c r="AK46" s="29" t="s">
        <v>100</v>
      </c>
      <c r="AL46" s="29">
        <v>590</v>
      </c>
      <c r="AM46" s="32">
        <v>46282</v>
      </c>
      <c r="AN46" s="29"/>
      <c r="AO46" s="32">
        <v>46283</v>
      </c>
      <c r="AP46" s="41"/>
      <c r="AQ46" s="29">
        <v>1611</v>
      </c>
      <c r="AR46" s="43">
        <v>46199</v>
      </c>
      <c r="AS46" s="29">
        <v>2946</v>
      </c>
      <c r="AT46" s="32">
        <v>46293</v>
      </c>
      <c r="AU46" s="42" t="s">
        <v>100</v>
      </c>
      <c r="AV46" s="29" t="s">
        <v>91</v>
      </c>
      <c r="AW46" s="1">
        <v>9</v>
      </c>
    </row>
    <row r="47" spans="1:49" ht="60" customHeight="1" x14ac:dyDescent="0.25">
      <c r="A47" s="29">
        <f t="shared" si="6"/>
        <v>46</v>
      </c>
      <c r="B47" s="29">
        <v>40062963</v>
      </c>
      <c r="C47" s="29">
        <v>0</v>
      </c>
      <c r="D47" s="29" t="s">
        <v>259</v>
      </c>
      <c r="E47" s="30" t="s">
        <v>67</v>
      </c>
      <c r="F47" s="31" t="str">
        <f>+IFERROR(VLOOKUP(E47,'Feriados y Comunas'!$C$1:$D$36,2,FALSE),"")</f>
        <v>PALENA</v>
      </c>
      <c r="G47" s="32">
        <v>45412</v>
      </c>
      <c r="H47" s="33">
        <v>178293</v>
      </c>
      <c r="I47" s="29" t="s">
        <v>102</v>
      </c>
      <c r="J47" s="29">
        <v>2025</v>
      </c>
      <c r="K47" s="34" t="s">
        <v>145</v>
      </c>
      <c r="L47" s="35" t="s">
        <v>260</v>
      </c>
      <c r="M47" s="35"/>
      <c r="N47" s="35" t="s">
        <v>261</v>
      </c>
      <c r="O47" s="35" t="s">
        <v>262</v>
      </c>
      <c r="P47" s="36">
        <v>2448</v>
      </c>
      <c r="Q47" s="36">
        <v>2400</v>
      </c>
      <c r="R47" s="36">
        <f t="shared" si="5"/>
        <v>4848</v>
      </c>
      <c r="S47" s="29"/>
      <c r="T47" s="34" t="s">
        <v>263</v>
      </c>
      <c r="U47" s="34" t="s">
        <v>263</v>
      </c>
      <c r="V47" s="29">
        <v>192</v>
      </c>
      <c r="W47" s="32">
        <v>45412</v>
      </c>
      <c r="X47" s="32" t="s">
        <v>264</v>
      </c>
      <c r="Y47" s="32">
        <v>45412</v>
      </c>
      <c r="Z47" s="32">
        <v>45412</v>
      </c>
      <c r="AA47" s="32">
        <v>45412</v>
      </c>
      <c r="AB47" s="37">
        <f>WORKDAY(AA47,15,'Feriados y Comunas'!A$2:A$25)</f>
        <v>45435</v>
      </c>
      <c r="AC47" s="29"/>
      <c r="AD47" s="29"/>
      <c r="AE47" s="29"/>
      <c r="AF47" s="29"/>
      <c r="AG47" s="38"/>
      <c r="AH47" s="29">
        <v>957</v>
      </c>
      <c r="AI47" s="32">
        <v>45435</v>
      </c>
      <c r="AJ47" s="32">
        <v>45435</v>
      </c>
      <c r="AK47" s="29" t="s">
        <v>100</v>
      </c>
      <c r="AL47" s="29"/>
      <c r="AM47" s="32"/>
      <c r="AN47" s="29"/>
      <c r="AO47" s="32"/>
      <c r="AP47" s="41"/>
      <c r="AQ47" s="29">
        <v>957</v>
      </c>
      <c r="AR47" s="32">
        <v>45435</v>
      </c>
      <c r="AS47" s="29"/>
      <c r="AT47" s="32"/>
      <c r="AU47" s="42" t="s">
        <v>100</v>
      </c>
      <c r="AV47" s="29" t="s">
        <v>91</v>
      </c>
      <c r="AW47" s="1">
        <v>7</v>
      </c>
    </row>
    <row r="48" spans="1:49" ht="60" customHeight="1" x14ac:dyDescent="0.25">
      <c r="A48" s="29">
        <f t="shared" si="6"/>
        <v>47</v>
      </c>
      <c r="B48" s="29">
        <v>40006863</v>
      </c>
      <c r="C48" s="29">
        <v>0</v>
      </c>
      <c r="D48" s="29" t="s">
        <v>265</v>
      </c>
      <c r="E48" s="30" t="s">
        <v>8</v>
      </c>
      <c r="F48" s="31" t="str">
        <f>+IFERROR(VLOOKUP(E48,'Feriados y Comunas'!$C$1:$D$36,2,FALSE),"")</f>
        <v>LLANQUIHUE</v>
      </c>
      <c r="G48" s="32">
        <v>45460</v>
      </c>
      <c r="H48" s="33">
        <v>16201380</v>
      </c>
      <c r="I48" s="29" t="s">
        <v>102</v>
      </c>
      <c r="J48" s="29">
        <v>2025</v>
      </c>
      <c r="K48" s="34" t="s">
        <v>128</v>
      </c>
      <c r="L48" s="35" t="s">
        <v>266</v>
      </c>
      <c r="M48" s="35"/>
      <c r="N48" s="44" t="s">
        <v>130</v>
      </c>
      <c r="O48" s="44" t="s">
        <v>131</v>
      </c>
      <c r="P48" s="36">
        <v>131</v>
      </c>
      <c r="Q48" s="36">
        <v>121</v>
      </c>
      <c r="R48" s="36">
        <f t="shared" si="5"/>
        <v>252</v>
      </c>
      <c r="S48" s="29"/>
      <c r="T48" s="34" t="s">
        <v>267</v>
      </c>
      <c r="U48" s="34" t="s">
        <v>267</v>
      </c>
      <c r="V48" s="29">
        <v>457</v>
      </c>
      <c r="W48" s="32">
        <v>45460</v>
      </c>
      <c r="X48" s="32" t="s">
        <v>268</v>
      </c>
      <c r="Y48" s="32">
        <v>45460</v>
      </c>
      <c r="Z48" s="32">
        <v>45461</v>
      </c>
      <c r="AA48" s="32">
        <v>45462</v>
      </c>
      <c r="AB48" s="37">
        <f>WORKDAY(AA48,15,'Feriados y Comunas'!A$2:A$25)</f>
        <v>45484</v>
      </c>
      <c r="AC48" s="29"/>
      <c r="AD48" s="29"/>
      <c r="AE48" s="29"/>
      <c r="AF48" s="29"/>
      <c r="AG48" s="38"/>
      <c r="AH48" s="29">
        <v>1494</v>
      </c>
      <c r="AI48" s="32">
        <v>45481</v>
      </c>
      <c r="AJ48" s="32">
        <v>45481</v>
      </c>
      <c r="AK48" s="29" t="s">
        <v>100</v>
      </c>
      <c r="AL48" s="29"/>
      <c r="AM48" s="32"/>
      <c r="AN48" s="29"/>
      <c r="AO48" s="32"/>
      <c r="AP48" s="41"/>
      <c r="AQ48" s="29">
        <v>1494</v>
      </c>
      <c r="AR48" s="32">
        <v>45481</v>
      </c>
      <c r="AS48" s="29"/>
      <c r="AT48" s="32"/>
      <c r="AU48" s="42" t="s">
        <v>100</v>
      </c>
      <c r="AV48" s="29" t="s">
        <v>91</v>
      </c>
      <c r="AW48" s="1">
        <v>11</v>
      </c>
    </row>
    <row r="49" spans="1:49" ht="60" customHeight="1" x14ac:dyDescent="0.25">
      <c r="A49" s="29">
        <f t="shared" si="6"/>
        <v>48</v>
      </c>
      <c r="B49" s="29">
        <v>40033056</v>
      </c>
      <c r="C49" s="29">
        <v>0</v>
      </c>
      <c r="D49" s="29" t="s">
        <v>269</v>
      </c>
      <c r="E49" s="30" t="s">
        <v>23</v>
      </c>
      <c r="F49" s="31" t="str">
        <f>+IFERROR(VLOOKUP(E49,'Feriados y Comunas'!$C$1:$D$36,2,FALSE),"")</f>
        <v>CHILOÉ</v>
      </c>
      <c r="G49" s="32">
        <v>45490</v>
      </c>
      <c r="H49" s="33">
        <v>2036401</v>
      </c>
      <c r="I49" s="29" t="s">
        <v>102</v>
      </c>
      <c r="J49" s="29">
        <v>2025</v>
      </c>
      <c r="K49" s="34" t="s">
        <v>145</v>
      </c>
      <c r="L49" s="35" t="s">
        <v>270</v>
      </c>
      <c r="M49" s="35"/>
      <c r="N49" s="35" t="s">
        <v>271</v>
      </c>
      <c r="O49" s="35" t="s">
        <v>272</v>
      </c>
      <c r="P49" s="36">
        <v>7141</v>
      </c>
      <c r="Q49" s="36">
        <v>7432</v>
      </c>
      <c r="R49" s="36">
        <f t="shared" si="5"/>
        <v>14573</v>
      </c>
      <c r="S49" s="29"/>
      <c r="T49" s="34" t="s">
        <v>273</v>
      </c>
      <c r="U49" s="34" t="s">
        <v>273</v>
      </c>
      <c r="V49" s="29">
        <v>1081</v>
      </c>
      <c r="W49" s="32">
        <v>45483</v>
      </c>
      <c r="X49" s="32" t="s">
        <v>274</v>
      </c>
      <c r="Y49" s="32">
        <v>45490</v>
      </c>
      <c r="Z49" s="32">
        <v>45490</v>
      </c>
      <c r="AA49" s="32">
        <v>45490</v>
      </c>
      <c r="AB49" s="37">
        <f>WORKDAY(AA49,15,'Feriados y Comunas'!A$2:A$25)</f>
        <v>45511</v>
      </c>
      <c r="AC49" s="29"/>
      <c r="AD49" s="29"/>
      <c r="AE49" s="29"/>
      <c r="AF49" s="29"/>
      <c r="AG49" s="38"/>
      <c r="AH49" s="29">
        <v>1670</v>
      </c>
      <c r="AI49" s="32">
        <v>45503</v>
      </c>
      <c r="AJ49" s="32">
        <v>45503</v>
      </c>
      <c r="AK49" s="29" t="s">
        <v>100</v>
      </c>
      <c r="AL49" s="29"/>
      <c r="AM49" s="32"/>
      <c r="AN49" s="29"/>
      <c r="AO49" s="32"/>
      <c r="AP49" s="41"/>
      <c r="AQ49" s="29">
        <v>1670</v>
      </c>
      <c r="AR49" s="32">
        <v>45503</v>
      </c>
      <c r="AS49" s="29"/>
      <c r="AT49" s="32"/>
      <c r="AU49" s="42" t="s">
        <v>100</v>
      </c>
      <c r="AV49" s="29" t="s">
        <v>91</v>
      </c>
      <c r="AW49" s="1">
        <v>7</v>
      </c>
    </row>
    <row r="50" spans="1:49" ht="60" customHeight="1" x14ac:dyDescent="0.25">
      <c r="A50" s="29">
        <f t="shared" si="6"/>
        <v>49</v>
      </c>
      <c r="B50" s="29">
        <v>40066005</v>
      </c>
      <c r="C50" s="29">
        <v>0</v>
      </c>
      <c r="D50" s="29" t="s">
        <v>275</v>
      </c>
      <c r="E50" s="30" t="s">
        <v>65</v>
      </c>
      <c r="F50" s="31" t="str">
        <f>+IFERROR(VLOOKUP(E50,'Feriados y Comunas'!$C$1:$D$36,2,FALSE),"")</f>
        <v>PALENA</v>
      </c>
      <c r="G50" s="32">
        <v>45532</v>
      </c>
      <c r="H50" s="33">
        <v>166777</v>
      </c>
      <c r="I50" s="29" t="s">
        <v>102</v>
      </c>
      <c r="J50" s="29">
        <v>2025</v>
      </c>
      <c r="K50" s="34" t="s">
        <v>145</v>
      </c>
      <c r="L50" s="35" t="s">
        <v>276</v>
      </c>
      <c r="M50" s="35"/>
      <c r="N50" s="35" t="s">
        <v>261</v>
      </c>
      <c r="O50" s="35" t="s">
        <v>262</v>
      </c>
      <c r="P50" s="36">
        <v>5520</v>
      </c>
      <c r="Q50" s="36">
        <v>6500</v>
      </c>
      <c r="R50" s="36">
        <f t="shared" si="5"/>
        <v>12020</v>
      </c>
      <c r="S50" s="29"/>
      <c r="T50" s="34" t="s">
        <v>263</v>
      </c>
      <c r="U50" s="34" t="s">
        <v>263</v>
      </c>
      <c r="V50" s="29">
        <v>340</v>
      </c>
      <c r="W50" s="32">
        <v>45530</v>
      </c>
      <c r="X50" s="32"/>
      <c r="Y50" s="32">
        <v>45532</v>
      </c>
      <c r="Z50" s="32">
        <v>45532</v>
      </c>
      <c r="AA50" s="32">
        <v>45534</v>
      </c>
      <c r="AB50" s="37">
        <f>WORKDAY(AA50,15,'Feriados y Comunas'!A$2:A$25)</f>
        <v>45559</v>
      </c>
      <c r="AC50" s="29"/>
      <c r="AD50" s="29"/>
      <c r="AE50" s="29"/>
      <c r="AF50" s="29"/>
      <c r="AG50" s="38"/>
      <c r="AH50" s="29">
        <v>2404</v>
      </c>
      <c r="AI50" s="43">
        <v>45572</v>
      </c>
      <c r="AJ50" s="43">
        <v>45572</v>
      </c>
      <c r="AK50" s="29" t="s">
        <v>100</v>
      </c>
      <c r="AL50" s="29"/>
      <c r="AM50" s="32"/>
      <c r="AN50" s="29"/>
      <c r="AO50" s="32"/>
      <c r="AP50" s="41"/>
      <c r="AQ50" s="29">
        <v>2404</v>
      </c>
      <c r="AR50" s="43">
        <v>45572</v>
      </c>
      <c r="AS50" s="29"/>
      <c r="AT50" s="32"/>
      <c r="AU50" s="42" t="s">
        <v>100</v>
      </c>
      <c r="AV50" s="29"/>
      <c r="AW50" s="1">
        <v>21</v>
      </c>
    </row>
    <row r="51" spans="1:49" ht="60" customHeight="1" x14ac:dyDescent="0.25">
      <c r="A51" s="29">
        <f t="shared" si="6"/>
        <v>50</v>
      </c>
      <c r="B51" s="29">
        <v>40053830</v>
      </c>
      <c r="C51" s="29">
        <v>0</v>
      </c>
      <c r="D51" s="29" t="s">
        <v>277</v>
      </c>
      <c r="E51" s="30" t="s">
        <v>3</v>
      </c>
      <c r="F51" s="31" t="str">
        <f>+IFERROR(VLOOKUP(E51,'Feriados y Comunas'!$C$1:$D$36,2,FALSE),"")</f>
        <v>LLANQUIHUE</v>
      </c>
      <c r="G51" s="32">
        <v>45586</v>
      </c>
      <c r="H51" s="33">
        <v>18007811</v>
      </c>
      <c r="I51" s="29" t="s">
        <v>102</v>
      </c>
      <c r="J51" s="29">
        <v>2025</v>
      </c>
      <c r="K51" s="34" t="s">
        <v>128</v>
      </c>
      <c r="L51" s="35" t="s">
        <v>278</v>
      </c>
      <c r="M51" s="35"/>
      <c r="N51" s="44" t="s">
        <v>130</v>
      </c>
      <c r="O51" s="44" t="s">
        <v>131</v>
      </c>
      <c r="P51" s="36">
        <v>966</v>
      </c>
      <c r="Q51" s="36">
        <v>0</v>
      </c>
      <c r="R51" s="36">
        <f t="shared" si="5"/>
        <v>966</v>
      </c>
      <c r="S51" s="29"/>
      <c r="T51" s="34" t="s">
        <v>132</v>
      </c>
      <c r="U51" s="34" t="s">
        <v>132</v>
      </c>
      <c r="V51" s="29">
        <v>1762</v>
      </c>
      <c r="W51" s="32">
        <v>45583</v>
      </c>
      <c r="X51" s="32" t="s">
        <v>279</v>
      </c>
      <c r="Y51" s="32">
        <v>45586</v>
      </c>
      <c r="Z51" s="32">
        <v>45587</v>
      </c>
      <c r="AA51" s="32">
        <v>45588</v>
      </c>
      <c r="AB51" s="37">
        <f>WORKDAY(AA51,15,'Feriados y Comunas'!A$2:A$25)</f>
        <v>45611</v>
      </c>
      <c r="AC51" s="29"/>
      <c r="AD51" s="29"/>
      <c r="AE51" s="29"/>
      <c r="AF51" s="29"/>
      <c r="AG51" s="38"/>
      <c r="AH51" s="29">
        <v>2755</v>
      </c>
      <c r="AI51" s="43">
        <v>45604</v>
      </c>
      <c r="AJ51" s="32">
        <v>45604</v>
      </c>
      <c r="AK51" s="29" t="s">
        <v>100</v>
      </c>
      <c r="AL51" s="29"/>
      <c r="AM51" s="32"/>
      <c r="AN51" s="29"/>
      <c r="AO51" s="32"/>
      <c r="AP51" s="41"/>
      <c r="AQ51" s="29">
        <v>2755</v>
      </c>
      <c r="AR51" s="43">
        <v>45604</v>
      </c>
      <c r="AS51" s="29"/>
      <c r="AT51" s="32"/>
      <c r="AU51" s="42" t="s">
        <v>100</v>
      </c>
      <c r="AV51" s="29" t="s">
        <v>91</v>
      </c>
      <c r="AW51" s="1">
        <v>12</v>
      </c>
    </row>
    <row r="52" spans="1:49" ht="60" customHeight="1" x14ac:dyDescent="0.25">
      <c r="A52" s="29">
        <f t="shared" si="6"/>
        <v>51</v>
      </c>
      <c r="B52" s="29">
        <v>40064335</v>
      </c>
      <c r="C52" s="29">
        <v>0</v>
      </c>
      <c r="D52" s="29" t="s">
        <v>280</v>
      </c>
      <c r="E52" s="30" t="s">
        <v>38</v>
      </c>
      <c r="F52" s="31" t="str">
        <f>+IFERROR(VLOOKUP(E52,'Feriados y Comunas'!$C$1:$D$36,2,FALSE),"")</f>
        <v>CHILOÉ</v>
      </c>
      <c r="G52" s="32">
        <v>45631</v>
      </c>
      <c r="H52" s="33">
        <v>2031129</v>
      </c>
      <c r="I52" s="29" t="s">
        <v>102</v>
      </c>
      <c r="J52" s="29">
        <v>2025</v>
      </c>
      <c r="K52" s="34" t="s">
        <v>251</v>
      </c>
      <c r="L52" s="35" t="s">
        <v>281</v>
      </c>
      <c r="M52" s="35"/>
      <c r="N52" s="35" t="s">
        <v>282</v>
      </c>
      <c r="O52" s="35" t="s">
        <v>253</v>
      </c>
      <c r="P52" s="36">
        <v>955</v>
      </c>
      <c r="Q52" s="36">
        <v>781</v>
      </c>
      <c r="R52" s="36">
        <f t="shared" si="5"/>
        <v>1736</v>
      </c>
      <c r="S52" s="29"/>
      <c r="T52" s="34" t="s">
        <v>181</v>
      </c>
      <c r="U52" s="34" t="s">
        <v>181</v>
      </c>
      <c r="V52" s="29">
        <v>571</v>
      </c>
      <c r="W52" s="32">
        <v>45629</v>
      </c>
      <c r="X52" s="32" t="s">
        <v>283</v>
      </c>
      <c r="Y52" s="32">
        <v>45631</v>
      </c>
      <c r="Z52" s="32">
        <v>45631</v>
      </c>
      <c r="AA52" s="32">
        <v>45631</v>
      </c>
      <c r="AB52" s="37">
        <f>WORKDAY(AA52,15,'Feriados y Comunas'!A$2:A$25)</f>
        <v>45653</v>
      </c>
      <c r="AC52" s="29"/>
      <c r="AD52" s="29"/>
      <c r="AE52" s="29"/>
      <c r="AF52" s="29"/>
      <c r="AG52" s="38"/>
      <c r="AH52" s="29">
        <v>2</v>
      </c>
      <c r="AI52" s="43">
        <v>45659</v>
      </c>
      <c r="AJ52" s="32">
        <v>45659</v>
      </c>
      <c r="AK52" s="29" t="s">
        <v>100</v>
      </c>
      <c r="AL52" s="29"/>
      <c r="AM52" s="32"/>
      <c r="AN52" s="29"/>
      <c r="AO52" s="32"/>
      <c r="AP52" s="41"/>
      <c r="AQ52" s="29">
        <v>2</v>
      </c>
      <c r="AR52" s="43">
        <v>45659</v>
      </c>
      <c r="AS52" s="29"/>
      <c r="AT52" s="32"/>
      <c r="AU52" s="42" t="s">
        <v>100</v>
      </c>
      <c r="AV52" s="29" t="s">
        <v>91</v>
      </c>
      <c r="AW52" s="1">
        <v>6</v>
      </c>
    </row>
    <row r="53" spans="1:49" ht="60" customHeight="1" x14ac:dyDescent="0.25">
      <c r="A53" s="29">
        <f t="shared" si="6"/>
        <v>52</v>
      </c>
      <c r="B53" s="29">
        <v>40057688</v>
      </c>
      <c r="C53" s="29">
        <v>0</v>
      </c>
      <c r="D53" s="29" t="s">
        <v>284</v>
      </c>
      <c r="E53" s="30" t="s">
        <v>65</v>
      </c>
      <c r="F53" s="31" t="str">
        <f>+IFERROR(VLOOKUP(E53,'Feriados y Comunas'!$C$1:$D$36,2,FALSE),"")</f>
        <v>PALENA</v>
      </c>
      <c r="G53" s="32">
        <v>45707</v>
      </c>
      <c r="H53" s="33">
        <v>486517</v>
      </c>
      <c r="I53" s="29" t="s">
        <v>84</v>
      </c>
      <c r="J53" s="29">
        <v>2025</v>
      </c>
      <c r="K53" s="34" t="s">
        <v>128</v>
      </c>
      <c r="L53" s="35" t="s">
        <v>285</v>
      </c>
      <c r="M53" s="35"/>
      <c r="N53" s="35" t="s">
        <v>286</v>
      </c>
      <c r="O53" s="35" t="s">
        <v>287</v>
      </c>
      <c r="P53" s="36">
        <v>172</v>
      </c>
      <c r="Q53" s="36">
        <v>173</v>
      </c>
      <c r="R53" s="36">
        <f t="shared" si="5"/>
        <v>345</v>
      </c>
      <c r="S53" s="29"/>
      <c r="T53" s="34" t="s">
        <v>173</v>
      </c>
      <c r="U53" s="34" t="s">
        <v>173</v>
      </c>
      <c r="V53" s="29">
        <v>168</v>
      </c>
      <c r="W53" s="32">
        <v>45707</v>
      </c>
      <c r="X53" s="32" t="s">
        <v>288</v>
      </c>
      <c r="Y53" s="32">
        <v>45707</v>
      </c>
      <c r="Z53" s="32">
        <v>45709</v>
      </c>
      <c r="AA53" s="32">
        <v>45709</v>
      </c>
      <c r="AB53" s="37">
        <f>WORKDAY(AA53,15,'Feriados y Comunas'!A$2:A$25)</f>
        <v>45730</v>
      </c>
      <c r="AC53" s="29"/>
      <c r="AD53" s="29"/>
      <c r="AE53" s="29"/>
      <c r="AF53" s="29"/>
      <c r="AG53" s="38"/>
      <c r="AH53" s="29">
        <v>456</v>
      </c>
      <c r="AI53" s="43">
        <v>45735</v>
      </c>
      <c r="AJ53" s="43" t="s">
        <v>289</v>
      </c>
      <c r="AK53" s="34" t="s">
        <v>100</v>
      </c>
      <c r="AL53" s="29"/>
      <c r="AM53" s="32"/>
      <c r="AN53" s="29"/>
      <c r="AO53" s="32"/>
      <c r="AP53" s="41"/>
      <c r="AQ53" s="29">
        <v>456</v>
      </c>
      <c r="AR53" s="43">
        <v>45735</v>
      </c>
      <c r="AS53" s="29"/>
      <c r="AT53" s="32"/>
      <c r="AU53" s="42" t="s">
        <v>100</v>
      </c>
      <c r="AV53" s="29" t="s">
        <v>91</v>
      </c>
      <c r="AW53" s="1">
        <v>10</v>
      </c>
    </row>
    <row r="54" spans="1:49" ht="60" customHeight="1" x14ac:dyDescent="0.25">
      <c r="A54" s="29">
        <f t="shared" si="6"/>
        <v>53</v>
      </c>
      <c r="B54" s="29">
        <v>40044514</v>
      </c>
      <c r="C54" s="29">
        <v>0</v>
      </c>
      <c r="D54" s="29" t="s">
        <v>290</v>
      </c>
      <c r="E54" s="30" t="s">
        <v>56</v>
      </c>
      <c r="F54" s="31" t="str">
        <f>+IFERROR(VLOOKUP(E54,'Feriados y Comunas'!$C$1:$D$36,2,FALSE),"")</f>
        <v>OSORNO</v>
      </c>
      <c r="G54" s="32">
        <v>45744</v>
      </c>
      <c r="H54" s="33">
        <v>1083125</v>
      </c>
      <c r="I54" s="29" t="s">
        <v>102</v>
      </c>
      <c r="J54" s="29">
        <v>2026</v>
      </c>
      <c r="K54" s="34" t="s">
        <v>122</v>
      </c>
      <c r="L54" s="35" t="s">
        <v>291</v>
      </c>
      <c r="M54" s="35"/>
      <c r="N54" s="35" t="s">
        <v>292</v>
      </c>
      <c r="O54" s="35" t="s">
        <v>220</v>
      </c>
      <c r="P54" s="36">
        <v>197</v>
      </c>
      <c r="Q54" s="36">
        <v>192</v>
      </c>
      <c r="R54" s="36">
        <f t="shared" si="5"/>
        <v>389</v>
      </c>
      <c r="S54" s="29"/>
      <c r="T54" s="34" t="s">
        <v>170</v>
      </c>
      <c r="U54" s="34" t="s">
        <v>170</v>
      </c>
      <c r="V54" s="29">
        <v>239</v>
      </c>
      <c r="W54" s="32">
        <v>45744</v>
      </c>
      <c r="X54" s="32"/>
      <c r="Y54" s="32"/>
      <c r="Z54" s="32"/>
      <c r="AA54" s="32">
        <v>45744</v>
      </c>
      <c r="AB54" s="37">
        <f>WORKDAY(AA54,15,'Feriados y Comunas'!A$2:A$25)</f>
        <v>45768</v>
      </c>
      <c r="AC54" s="29"/>
      <c r="AD54" s="29"/>
      <c r="AE54" s="29"/>
      <c r="AF54" s="29"/>
      <c r="AG54" s="38"/>
      <c r="AH54" s="29">
        <v>987</v>
      </c>
      <c r="AI54" s="43">
        <v>45797</v>
      </c>
      <c r="AJ54" s="32">
        <v>45793</v>
      </c>
      <c r="AK54" s="34" t="s">
        <v>100</v>
      </c>
      <c r="AL54" s="29"/>
      <c r="AM54" s="32"/>
      <c r="AN54" s="29"/>
      <c r="AO54" s="32"/>
      <c r="AP54" s="41"/>
      <c r="AQ54" s="29">
        <v>987</v>
      </c>
      <c r="AR54" s="43">
        <v>45797</v>
      </c>
      <c r="AS54" s="29"/>
      <c r="AT54" s="32"/>
      <c r="AU54" s="42" t="s">
        <v>100</v>
      </c>
      <c r="AV54" s="29" t="s">
        <v>91</v>
      </c>
      <c r="AW54" s="1">
        <v>31</v>
      </c>
    </row>
    <row r="55" spans="1:49" ht="60" customHeight="1" x14ac:dyDescent="0.25">
      <c r="A55" s="29">
        <f t="shared" si="6"/>
        <v>54</v>
      </c>
      <c r="B55" s="29">
        <v>40007573</v>
      </c>
      <c r="C55" s="29">
        <v>0</v>
      </c>
      <c r="D55" s="29" t="s">
        <v>293</v>
      </c>
      <c r="E55" s="30" t="s">
        <v>10</v>
      </c>
      <c r="F55" s="31" t="str">
        <f>+IFERROR(VLOOKUP(E55,'Feriados y Comunas'!$C$1:$D$36,2,FALSE),"")</f>
        <v>LLANQUIHUE</v>
      </c>
      <c r="G55" s="32">
        <v>45726</v>
      </c>
      <c r="H55" s="33">
        <v>354959</v>
      </c>
      <c r="I55" s="29" t="s">
        <v>84</v>
      </c>
      <c r="J55" s="29">
        <v>2026</v>
      </c>
      <c r="K55" s="34" t="s">
        <v>128</v>
      </c>
      <c r="L55" s="35" t="s">
        <v>294</v>
      </c>
      <c r="M55" s="35"/>
      <c r="N55" s="35" t="s">
        <v>295</v>
      </c>
      <c r="O55" s="35" t="s">
        <v>296</v>
      </c>
      <c r="P55" s="36">
        <v>124</v>
      </c>
      <c r="Q55" s="36">
        <v>140</v>
      </c>
      <c r="R55" s="36">
        <f t="shared" si="5"/>
        <v>264</v>
      </c>
      <c r="S55" s="29"/>
      <c r="T55" s="34" t="s">
        <v>119</v>
      </c>
      <c r="U55" s="34" t="s">
        <v>258</v>
      </c>
      <c r="V55" s="29">
        <v>215</v>
      </c>
      <c r="W55" s="32">
        <v>45726</v>
      </c>
      <c r="X55" s="32"/>
      <c r="Y55" s="32"/>
      <c r="Z55" s="32"/>
      <c r="AA55" s="32">
        <v>45726</v>
      </c>
      <c r="AB55" s="37">
        <f>WORKDAY(AA55,15,'Feriados y Comunas'!A$2:A$25)</f>
        <v>45747</v>
      </c>
      <c r="AC55" s="29"/>
      <c r="AD55" s="29"/>
      <c r="AE55" s="29"/>
      <c r="AF55" s="29"/>
      <c r="AG55" s="38"/>
      <c r="AH55" s="39" t="s">
        <v>297</v>
      </c>
      <c r="AI55" s="40" t="s">
        <v>298</v>
      </c>
      <c r="AJ55" s="40" t="s">
        <v>299</v>
      </c>
      <c r="AK55" s="34" t="s">
        <v>100</v>
      </c>
      <c r="AL55" s="29"/>
      <c r="AM55" s="32"/>
      <c r="AN55" s="29"/>
      <c r="AO55" s="32"/>
      <c r="AP55" s="41"/>
      <c r="AQ55" s="39" t="s">
        <v>297</v>
      </c>
      <c r="AR55" s="40" t="s">
        <v>298</v>
      </c>
      <c r="AS55" s="29"/>
      <c r="AT55" s="32"/>
      <c r="AU55" s="42" t="s">
        <v>100</v>
      </c>
      <c r="AV55" s="29" t="s">
        <v>91</v>
      </c>
      <c r="AW55" s="47">
        <v>47</v>
      </c>
    </row>
    <row r="56" spans="1:49" ht="60" customHeight="1" x14ac:dyDescent="0.25">
      <c r="A56" s="29">
        <f t="shared" si="6"/>
        <v>55</v>
      </c>
      <c r="B56" s="29">
        <v>40045283</v>
      </c>
      <c r="C56" s="29">
        <v>0</v>
      </c>
      <c r="D56" s="29" t="s">
        <v>304</v>
      </c>
      <c r="E56" s="30" t="s">
        <v>46</v>
      </c>
      <c r="F56" s="31" t="str">
        <f>+IFERROR(VLOOKUP(E56,'Feriados y Comunas'!$C$1:$D$36,2,FALSE),"")</f>
        <v>OSORNO</v>
      </c>
      <c r="G56" s="32">
        <v>45840</v>
      </c>
      <c r="H56" s="33">
        <v>146333</v>
      </c>
      <c r="I56" s="29" t="s">
        <v>84</v>
      </c>
      <c r="J56" s="29">
        <v>2026</v>
      </c>
      <c r="K56" s="34" t="s">
        <v>128</v>
      </c>
      <c r="L56" s="35" t="s">
        <v>305</v>
      </c>
      <c r="M56" s="35"/>
      <c r="N56" s="35" t="s">
        <v>286</v>
      </c>
      <c r="O56" s="35" t="s">
        <v>306</v>
      </c>
      <c r="P56" s="36">
        <v>134</v>
      </c>
      <c r="Q56" s="36">
        <v>156</v>
      </c>
      <c r="R56" s="36">
        <f t="shared" si="5"/>
        <v>290</v>
      </c>
      <c r="S56" s="29"/>
      <c r="T56" s="34" t="s">
        <v>307</v>
      </c>
      <c r="U56" s="34" t="s">
        <v>307</v>
      </c>
      <c r="V56" s="29">
        <v>382</v>
      </c>
      <c r="W56" s="32">
        <v>45838</v>
      </c>
      <c r="X56" s="32"/>
      <c r="Y56" s="32">
        <v>45840</v>
      </c>
      <c r="Z56" s="32">
        <v>45840</v>
      </c>
      <c r="AA56" s="32">
        <v>45840</v>
      </c>
      <c r="AB56" s="37">
        <f>WORKDAY(AA56,15,'Feriados y Comunas'!A$2:A$25)</f>
        <v>45862</v>
      </c>
      <c r="AC56" s="29"/>
      <c r="AD56" s="29"/>
      <c r="AE56" s="29"/>
      <c r="AF56" s="29"/>
      <c r="AG56" s="38"/>
      <c r="AH56" s="39" t="s">
        <v>308</v>
      </c>
      <c r="AI56" s="40" t="s">
        <v>309</v>
      </c>
      <c r="AJ56" s="40" t="s">
        <v>310</v>
      </c>
      <c r="AK56" s="34" t="s">
        <v>100</v>
      </c>
      <c r="AL56" s="29">
        <v>405</v>
      </c>
      <c r="AM56" s="32">
        <v>45849</v>
      </c>
      <c r="AN56" s="29"/>
      <c r="AO56" s="32">
        <v>45894</v>
      </c>
      <c r="AP56" s="41"/>
      <c r="AQ56" s="39" t="s">
        <v>308</v>
      </c>
      <c r="AR56" s="40" t="s">
        <v>309</v>
      </c>
      <c r="AS56" s="29"/>
      <c r="AT56" s="32"/>
      <c r="AU56" s="42" t="s">
        <v>100</v>
      </c>
      <c r="AV56" s="29" t="s">
        <v>91</v>
      </c>
      <c r="AW56" s="1">
        <v>2</v>
      </c>
    </row>
    <row r="57" spans="1:49" ht="60" customHeight="1" x14ac:dyDescent="0.25">
      <c r="A57" s="29">
        <f t="shared" si="6"/>
        <v>56</v>
      </c>
      <c r="B57" s="29">
        <v>40054435</v>
      </c>
      <c r="C57" s="29">
        <v>0</v>
      </c>
      <c r="D57" s="29" t="s">
        <v>311</v>
      </c>
      <c r="E57" s="30" t="s">
        <v>10</v>
      </c>
      <c r="F57" s="31" t="str">
        <f>+IFERROR(VLOOKUP(E57,'Feriados y Comunas'!$C$1:$D$36,2,FALSE),"")</f>
        <v>LLANQUIHUE</v>
      </c>
      <c r="G57" s="32">
        <v>45841</v>
      </c>
      <c r="H57" s="33">
        <v>669935</v>
      </c>
      <c r="I57" s="29" t="s">
        <v>84</v>
      </c>
      <c r="J57" s="29">
        <v>2026</v>
      </c>
      <c r="K57" s="34" t="s">
        <v>122</v>
      </c>
      <c r="L57" s="35" t="s">
        <v>312</v>
      </c>
      <c r="M57" s="35"/>
      <c r="N57" s="35" t="s">
        <v>313</v>
      </c>
      <c r="O57" s="35" t="s">
        <v>142</v>
      </c>
      <c r="P57" s="36">
        <v>667</v>
      </c>
      <c r="Q57" s="36">
        <v>680</v>
      </c>
      <c r="R57" s="36">
        <f t="shared" si="5"/>
        <v>1347</v>
      </c>
      <c r="S57" s="29"/>
      <c r="T57" s="34" t="s">
        <v>314</v>
      </c>
      <c r="U57" s="34" t="s">
        <v>314</v>
      </c>
      <c r="V57" s="29">
        <v>557</v>
      </c>
      <c r="W57" s="32">
        <v>45835</v>
      </c>
      <c r="X57" s="32"/>
      <c r="Y57" s="32">
        <v>45841</v>
      </c>
      <c r="Z57" s="32">
        <v>45841</v>
      </c>
      <c r="AA57" s="32">
        <v>45841</v>
      </c>
      <c r="AB57" s="37">
        <f>WORKDAY(AA57,15,'Feriados y Comunas'!A$2:A$25)</f>
        <v>45863</v>
      </c>
      <c r="AC57" s="29"/>
      <c r="AD57" s="29"/>
      <c r="AE57" s="29"/>
      <c r="AF57" s="29"/>
      <c r="AG57" s="38"/>
      <c r="AH57" s="29">
        <v>1586</v>
      </c>
      <c r="AI57" s="43">
        <v>45846</v>
      </c>
      <c r="AJ57" s="32">
        <v>45842</v>
      </c>
      <c r="AK57" s="34" t="s">
        <v>100</v>
      </c>
      <c r="AL57" s="29"/>
      <c r="AM57" s="32"/>
      <c r="AN57" s="29"/>
      <c r="AO57" s="32"/>
      <c r="AP57" s="41"/>
      <c r="AQ57" s="29">
        <v>1586</v>
      </c>
      <c r="AR57" s="43">
        <v>45846</v>
      </c>
      <c r="AS57" s="29"/>
      <c r="AT57" s="32"/>
      <c r="AU57" s="42" t="s">
        <v>100</v>
      </c>
      <c r="AV57" s="29" t="s">
        <v>91</v>
      </c>
      <c r="AW57" s="1">
        <v>1</v>
      </c>
    </row>
    <row r="58" spans="1:49" ht="60" customHeight="1" x14ac:dyDescent="0.25">
      <c r="A58" s="29">
        <f t="shared" si="6"/>
        <v>57</v>
      </c>
      <c r="B58" s="29">
        <v>40071800</v>
      </c>
      <c r="C58" s="29">
        <v>0</v>
      </c>
      <c r="D58" s="29" t="s">
        <v>315</v>
      </c>
      <c r="E58" s="30" t="s">
        <v>33</v>
      </c>
      <c r="F58" s="31" t="str">
        <f>+IFERROR(VLOOKUP(E58,'Feriados y Comunas'!$C$1:$D$36,2,FALSE),"")</f>
        <v>CHILOÉ</v>
      </c>
      <c r="G58" s="32">
        <v>45852</v>
      </c>
      <c r="H58" s="33">
        <v>334471</v>
      </c>
      <c r="I58" s="29" t="s">
        <v>84</v>
      </c>
      <c r="J58" s="29">
        <v>2026</v>
      </c>
      <c r="K58" s="34" t="s">
        <v>94</v>
      </c>
      <c r="L58" s="35" t="s">
        <v>316</v>
      </c>
      <c r="M58" s="35"/>
      <c r="N58" s="35" t="s">
        <v>301</v>
      </c>
      <c r="O58" s="35" t="s">
        <v>97</v>
      </c>
      <c r="P58" s="36">
        <v>6050</v>
      </c>
      <c r="Q58" s="36">
        <v>6100</v>
      </c>
      <c r="R58" s="36">
        <f t="shared" si="5"/>
        <v>12150</v>
      </c>
      <c r="S58" s="29"/>
      <c r="T58" s="34" t="s">
        <v>317</v>
      </c>
      <c r="U58" s="34" t="s">
        <v>317</v>
      </c>
      <c r="V58" s="29">
        <v>421</v>
      </c>
      <c r="W58" s="32">
        <v>45852</v>
      </c>
      <c r="X58" s="32"/>
      <c r="Y58" s="32">
        <v>45852</v>
      </c>
      <c r="Z58" s="32">
        <v>45852</v>
      </c>
      <c r="AA58" s="32">
        <v>45852</v>
      </c>
      <c r="AB58" s="37">
        <f>WORKDAY(AA58,15,'Feriados y Comunas'!A$2:A$25)</f>
        <v>45874</v>
      </c>
      <c r="AC58" s="29"/>
      <c r="AD58" s="29"/>
      <c r="AE58" s="29"/>
      <c r="AF58" s="29"/>
      <c r="AG58" s="38"/>
      <c r="AH58" s="29">
        <v>1750</v>
      </c>
      <c r="AI58" s="43">
        <v>45866</v>
      </c>
      <c r="AJ58" s="32">
        <v>45863</v>
      </c>
      <c r="AK58" s="34" t="s">
        <v>100</v>
      </c>
      <c r="AL58" s="29"/>
      <c r="AM58" s="32"/>
      <c r="AN58" s="29"/>
      <c r="AO58" s="32"/>
      <c r="AP58" s="41"/>
      <c r="AQ58" s="29">
        <v>1750</v>
      </c>
      <c r="AR58" s="43">
        <v>45866</v>
      </c>
      <c r="AS58" s="29"/>
      <c r="AT58" s="32"/>
      <c r="AU58" s="42" t="s">
        <v>100</v>
      </c>
      <c r="AV58" s="29" t="s">
        <v>91</v>
      </c>
      <c r="AW58" s="1">
        <v>8</v>
      </c>
    </row>
    <row r="59" spans="1:49" ht="60" customHeight="1" x14ac:dyDescent="0.25">
      <c r="A59" s="29">
        <f t="shared" si="6"/>
        <v>58</v>
      </c>
      <c r="B59" s="29">
        <v>40074881</v>
      </c>
      <c r="C59" s="29">
        <v>0</v>
      </c>
      <c r="D59" s="29" t="s">
        <v>318</v>
      </c>
      <c r="E59" s="30" t="s">
        <v>48</v>
      </c>
      <c r="F59" s="31" t="str">
        <f>+IFERROR(VLOOKUP(E59,'Feriados y Comunas'!$C$1:$D$36,2,FALSE),"")</f>
        <v>OSORNO</v>
      </c>
      <c r="G59" s="32">
        <v>45876</v>
      </c>
      <c r="H59" s="33">
        <v>16000</v>
      </c>
      <c r="I59" s="29" t="s">
        <v>102</v>
      </c>
      <c r="J59" s="29">
        <v>2026</v>
      </c>
      <c r="K59" s="34" t="s">
        <v>145</v>
      </c>
      <c r="L59" s="35" t="s">
        <v>319</v>
      </c>
      <c r="M59" s="35"/>
      <c r="N59" s="35" t="s">
        <v>320</v>
      </c>
      <c r="O59" s="35" t="s">
        <v>321</v>
      </c>
      <c r="P59" s="36">
        <v>0</v>
      </c>
      <c r="Q59" s="36">
        <v>0</v>
      </c>
      <c r="R59" s="36">
        <f t="shared" si="5"/>
        <v>0</v>
      </c>
      <c r="S59" s="29"/>
      <c r="T59" s="34" t="s">
        <v>178</v>
      </c>
      <c r="U59" s="34" t="s">
        <v>178</v>
      </c>
      <c r="V59" s="29">
        <v>569</v>
      </c>
      <c r="W59" s="32">
        <v>45874</v>
      </c>
      <c r="X59" s="32"/>
      <c r="Y59" s="32">
        <v>45876</v>
      </c>
      <c r="Z59" s="32">
        <v>45876</v>
      </c>
      <c r="AA59" s="32">
        <v>45876</v>
      </c>
      <c r="AB59" s="37">
        <f>WORKDAY(AA59,15,'Feriados y Comunas'!A$2:A$25)</f>
        <v>45898</v>
      </c>
      <c r="AC59" s="29"/>
      <c r="AD59" s="29"/>
      <c r="AE59" s="29"/>
      <c r="AF59" s="29"/>
      <c r="AG59" s="38"/>
      <c r="AH59" s="29">
        <v>2135</v>
      </c>
      <c r="AI59" s="43">
        <v>45894</v>
      </c>
      <c r="AJ59" s="32">
        <v>45891</v>
      </c>
      <c r="AK59" s="34" t="s">
        <v>100</v>
      </c>
      <c r="AL59" s="29"/>
      <c r="AM59" s="32"/>
      <c r="AN59" s="29"/>
      <c r="AO59" s="32"/>
      <c r="AP59" s="41"/>
      <c r="AQ59" s="29">
        <v>2135</v>
      </c>
      <c r="AR59" s="43">
        <v>45894</v>
      </c>
      <c r="AS59" s="29"/>
      <c r="AT59" s="32"/>
      <c r="AU59" s="42" t="s">
        <v>100</v>
      </c>
      <c r="AV59" s="29" t="s">
        <v>91</v>
      </c>
      <c r="AW59" s="1">
        <v>10</v>
      </c>
    </row>
    <row r="60" spans="1:49" ht="60" customHeight="1" x14ac:dyDescent="0.25">
      <c r="A60" s="29">
        <f t="shared" si="6"/>
        <v>59</v>
      </c>
      <c r="B60" s="29">
        <v>40073040</v>
      </c>
      <c r="C60" s="29">
        <v>0</v>
      </c>
      <c r="D60" s="29" t="s">
        <v>324</v>
      </c>
      <c r="E60" s="30" t="s">
        <v>67</v>
      </c>
      <c r="F60" s="31" t="str">
        <f>+IFERROR(VLOOKUP(E60,'Feriados y Comunas'!$C$1:$D$36,2,FALSE),"")</f>
        <v>PALENA</v>
      </c>
      <c r="G60" s="32">
        <v>45896</v>
      </c>
      <c r="H60" s="33">
        <v>980000</v>
      </c>
      <c r="I60" s="29" t="s">
        <v>102</v>
      </c>
      <c r="J60" s="29">
        <v>2026</v>
      </c>
      <c r="K60" s="34" t="s">
        <v>122</v>
      </c>
      <c r="L60" s="35" t="s">
        <v>325</v>
      </c>
      <c r="M60" s="35"/>
      <c r="N60" s="35" t="s">
        <v>141</v>
      </c>
      <c r="O60" s="35" t="s">
        <v>142</v>
      </c>
      <c r="P60" s="36">
        <v>30</v>
      </c>
      <c r="Q60" s="36">
        <v>30</v>
      </c>
      <c r="R60" s="36">
        <f t="shared" si="5"/>
        <v>60</v>
      </c>
      <c r="S60" s="29"/>
      <c r="T60" s="34" t="s">
        <v>326</v>
      </c>
      <c r="U60" s="34" t="s">
        <v>326</v>
      </c>
      <c r="V60" s="29">
        <v>213</v>
      </c>
      <c r="W60" s="32">
        <v>45803</v>
      </c>
      <c r="X60" s="32"/>
      <c r="Y60" s="32">
        <v>45896</v>
      </c>
      <c r="Z60" s="32">
        <v>45896</v>
      </c>
      <c r="AA60" s="32">
        <v>45896</v>
      </c>
      <c r="AB60" s="37">
        <f>WORKDAY(AA60,15,'Feriados y Comunas'!A$2:A$25)</f>
        <v>45917</v>
      </c>
      <c r="AC60" s="29"/>
      <c r="AD60" s="29"/>
      <c r="AE60" s="29"/>
      <c r="AF60" s="29"/>
      <c r="AG60" s="38"/>
      <c r="AH60" s="29">
        <v>2386</v>
      </c>
      <c r="AI60" s="43">
        <v>45916</v>
      </c>
      <c r="AJ60" s="32">
        <v>45912</v>
      </c>
      <c r="AK60" s="34" t="s">
        <v>100</v>
      </c>
      <c r="AL60" s="29"/>
      <c r="AM60" s="32"/>
      <c r="AN60" s="29"/>
      <c r="AO60" s="32"/>
      <c r="AP60" s="41"/>
      <c r="AQ60" s="29">
        <v>2386</v>
      </c>
      <c r="AR60" s="43">
        <v>45916</v>
      </c>
      <c r="AS60" s="29"/>
      <c r="AT60" s="32"/>
      <c r="AU60" s="42" t="s">
        <v>100</v>
      </c>
      <c r="AV60" s="29" t="s">
        <v>91</v>
      </c>
      <c r="AW60" s="1">
        <v>12</v>
      </c>
    </row>
    <row r="61" spans="1:49" ht="60" customHeight="1" x14ac:dyDescent="0.25">
      <c r="A61" s="29">
        <f t="shared" si="6"/>
        <v>60</v>
      </c>
      <c r="B61" s="29">
        <v>40015899</v>
      </c>
      <c r="C61" s="29">
        <v>0</v>
      </c>
      <c r="D61" s="29" t="s">
        <v>327</v>
      </c>
      <c r="E61" s="30" t="s">
        <v>27</v>
      </c>
      <c r="F61" s="31" t="s">
        <v>24</v>
      </c>
      <c r="G61" s="32">
        <v>45939</v>
      </c>
      <c r="H61" s="33">
        <v>2755673</v>
      </c>
      <c r="I61" s="29" t="s">
        <v>102</v>
      </c>
      <c r="J61" s="29">
        <v>2026</v>
      </c>
      <c r="K61" s="34" t="s">
        <v>103</v>
      </c>
      <c r="L61" s="35" t="s">
        <v>328</v>
      </c>
      <c r="M61" s="35"/>
      <c r="N61" s="35" t="s">
        <v>105</v>
      </c>
      <c r="O61" s="35" t="s">
        <v>158</v>
      </c>
      <c r="P61" s="36">
        <v>22336</v>
      </c>
      <c r="Q61" s="36">
        <v>21471</v>
      </c>
      <c r="R61" s="36">
        <v>43807</v>
      </c>
      <c r="S61" s="29"/>
      <c r="T61" s="34" t="s">
        <v>89</v>
      </c>
      <c r="U61" s="34" t="s">
        <v>89</v>
      </c>
      <c r="V61" s="29">
        <v>1011</v>
      </c>
      <c r="W61" s="32">
        <v>45931</v>
      </c>
      <c r="X61" s="32"/>
      <c r="Y61" s="32">
        <v>45939</v>
      </c>
      <c r="Z61" s="32">
        <v>45939</v>
      </c>
      <c r="AA61" s="32">
        <v>45939</v>
      </c>
      <c r="AB61" s="37">
        <f>WORKDAY(AA61,15,'Feriados y Comunas'!A$2:A$25)</f>
        <v>45960</v>
      </c>
      <c r="AC61" s="29"/>
      <c r="AD61" s="29"/>
      <c r="AE61" s="29"/>
      <c r="AF61" s="29"/>
      <c r="AG61" s="38"/>
      <c r="AH61" s="29">
        <v>2904</v>
      </c>
      <c r="AI61" s="32">
        <v>45964</v>
      </c>
      <c r="AJ61" s="32">
        <v>45960</v>
      </c>
      <c r="AK61" s="34" t="s">
        <v>100</v>
      </c>
      <c r="AL61" s="29"/>
      <c r="AM61" s="32"/>
      <c r="AN61" s="29"/>
      <c r="AO61" s="32"/>
      <c r="AP61" s="41"/>
      <c r="AQ61" s="29">
        <v>2904</v>
      </c>
      <c r="AR61" s="32">
        <v>45964</v>
      </c>
      <c r="AS61" s="29"/>
      <c r="AT61" s="32"/>
      <c r="AU61" s="42" t="s">
        <v>100</v>
      </c>
      <c r="AV61" s="29" t="s">
        <v>91</v>
      </c>
      <c r="AW61" s="1">
        <v>15</v>
      </c>
    </row>
    <row r="62" spans="1:49" ht="60" customHeight="1" x14ac:dyDescent="0.25">
      <c r="A62" s="29">
        <f t="shared" si="6"/>
        <v>61</v>
      </c>
      <c r="B62" s="29">
        <v>30118609</v>
      </c>
      <c r="C62" s="29">
        <v>0</v>
      </c>
      <c r="D62" s="29" t="s">
        <v>329</v>
      </c>
      <c r="E62" s="30" t="s">
        <v>30</v>
      </c>
      <c r="F62" s="31" t="str">
        <f>+IFERROR(VLOOKUP(E62,'Feriados y Comunas'!$C$1:$D$36,2,FALSE),"")</f>
        <v>CHILOÉ</v>
      </c>
      <c r="G62" s="32">
        <v>45959</v>
      </c>
      <c r="H62" s="33">
        <v>658620</v>
      </c>
      <c r="I62" s="29" t="s">
        <v>102</v>
      </c>
      <c r="J62" s="29">
        <v>2026</v>
      </c>
      <c r="K62" s="34" t="s">
        <v>134</v>
      </c>
      <c r="L62" s="35" t="s">
        <v>330</v>
      </c>
      <c r="M62" s="35"/>
      <c r="N62" s="35" t="s">
        <v>136</v>
      </c>
      <c r="O62" s="35" t="s">
        <v>137</v>
      </c>
      <c r="P62" s="36">
        <v>67</v>
      </c>
      <c r="Q62" s="36">
        <v>58</v>
      </c>
      <c r="R62" s="36">
        <f t="shared" ref="R62:R63" si="7">SUM(P62:Q62)</f>
        <v>125</v>
      </c>
      <c r="S62" s="29"/>
      <c r="T62" s="34" t="s">
        <v>331</v>
      </c>
      <c r="U62" s="34" t="s">
        <v>331</v>
      </c>
      <c r="V62" s="29"/>
      <c r="W62" s="32">
        <v>45953</v>
      </c>
      <c r="X62" s="32"/>
      <c r="Y62" s="32">
        <v>45959</v>
      </c>
      <c r="Z62" s="32">
        <v>45959</v>
      </c>
      <c r="AA62" s="32">
        <v>45959</v>
      </c>
      <c r="AB62" s="37">
        <f>WORKDAY(AA62,15,'Feriados y Comunas'!A$2:A$25)</f>
        <v>45981</v>
      </c>
      <c r="AC62" s="29"/>
      <c r="AD62" s="29"/>
      <c r="AE62" s="29"/>
      <c r="AF62" s="29"/>
      <c r="AG62" s="38"/>
      <c r="AH62" s="29">
        <v>2913</v>
      </c>
      <c r="AI62" s="43">
        <v>45964</v>
      </c>
      <c r="AJ62" s="32">
        <v>45960</v>
      </c>
      <c r="AK62" s="34" t="s">
        <v>100</v>
      </c>
      <c r="AL62" s="29"/>
      <c r="AM62" s="32"/>
      <c r="AN62" s="29"/>
      <c r="AO62" s="32"/>
      <c r="AP62" s="41"/>
      <c r="AQ62" s="29">
        <v>2913</v>
      </c>
      <c r="AR62" s="43">
        <v>45964</v>
      </c>
      <c r="AS62" s="29"/>
      <c r="AT62" s="32"/>
      <c r="AU62" s="42" t="s">
        <v>100</v>
      </c>
      <c r="AV62" s="29" t="s">
        <v>91</v>
      </c>
      <c r="AW62" s="1">
        <v>1</v>
      </c>
    </row>
    <row r="63" spans="1:49" ht="60" customHeight="1" x14ac:dyDescent="0.25">
      <c r="A63" s="29">
        <f t="shared" si="6"/>
        <v>62</v>
      </c>
      <c r="B63" s="29">
        <v>30095595</v>
      </c>
      <c r="C63" s="29">
        <v>0</v>
      </c>
      <c r="D63" s="29" t="s">
        <v>332</v>
      </c>
      <c r="E63" s="30" t="s">
        <v>30</v>
      </c>
      <c r="F63" s="31" t="str">
        <f>+IFERROR(VLOOKUP(E63,'Feriados y Comunas'!$C$1:$D$36,2,FALSE),"")</f>
        <v>CHILOÉ</v>
      </c>
      <c r="G63" s="32">
        <v>45960</v>
      </c>
      <c r="H63" s="33">
        <v>833063</v>
      </c>
      <c r="I63" s="29" t="s">
        <v>102</v>
      </c>
      <c r="J63" s="29">
        <v>2026</v>
      </c>
      <c r="K63" s="34" t="s">
        <v>134</v>
      </c>
      <c r="L63" s="35" t="s">
        <v>330</v>
      </c>
      <c r="M63" s="35"/>
      <c r="N63" s="35" t="s">
        <v>136</v>
      </c>
      <c r="O63" s="35" t="s">
        <v>137</v>
      </c>
      <c r="P63" s="36">
        <v>71</v>
      </c>
      <c r="Q63" s="36">
        <v>65</v>
      </c>
      <c r="R63" s="36">
        <f t="shared" si="7"/>
        <v>136</v>
      </c>
      <c r="S63" s="29"/>
      <c r="T63" s="34" t="s">
        <v>331</v>
      </c>
      <c r="U63" s="34" t="s">
        <v>331</v>
      </c>
      <c r="V63" s="29">
        <v>978</v>
      </c>
      <c r="W63" s="32">
        <v>45953</v>
      </c>
      <c r="X63" s="32"/>
      <c r="Y63" s="32">
        <v>45959</v>
      </c>
      <c r="Z63" s="32">
        <v>45959</v>
      </c>
      <c r="AA63" s="32">
        <v>45959</v>
      </c>
      <c r="AB63" s="37">
        <f>WORKDAY(AA63,15,'Feriados y Comunas'!A$2:A$25)</f>
        <v>45981</v>
      </c>
      <c r="AC63" s="29"/>
      <c r="AD63" s="29"/>
      <c r="AE63" s="29"/>
      <c r="AF63" s="29"/>
      <c r="AG63" s="38"/>
      <c r="AH63" s="29">
        <v>2903</v>
      </c>
      <c r="AI63" s="43">
        <v>45964</v>
      </c>
      <c r="AJ63" s="32">
        <v>45960</v>
      </c>
      <c r="AK63" s="34" t="s">
        <v>100</v>
      </c>
      <c r="AL63" s="29"/>
      <c r="AM63" s="32"/>
      <c r="AN63" s="29"/>
      <c r="AO63" s="32"/>
      <c r="AP63" s="41"/>
      <c r="AQ63" s="29">
        <v>2903</v>
      </c>
      <c r="AR63" s="43">
        <v>45964</v>
      </c>
      <c r="AS63" s="29"/>
      <c r="AT63" s="32"/>
      <c r="AU63" s="42" t="s">
        <v>100</v>
      </c>
      <c r="AV63" s="29" t="s">
        <v>91</v>
      </c>
      <c r="AW63" s="1">
        <v>1</v>
      </c>
    </row>
    <row r="64" spans="1:49" ht="60" customHeight="1" x14ac:dyDescent="0.25">
      <c r="A64" s="29">
        <f t="shared" si="6"/>
        <v>63</v>
      </c>
      <c r="B64" s="29">
        <v>50000242</v>
      </c>
      <c r="C64" s="29">
        <v>0</v>
      </c>
      <c r="D64" s="29" t="s">
        <v>333</v>
      </c>
      <c r="E64" s="30" t="s">
        <v>42</v>
      </c>
      <c r="F64" s="31" t="str">
        <f>+IFERROR(VLOOKUP(E64,'Feriados y Comunas'!$C$1:$D$36,2,FALSE),"")</f>
        <v>OSORNO</v>
      </c>
      <c r="G64" s="32">
        <v>46050</v>
      </c>
      <c r="H64" s="33">
        <v>157800</v>
      </c>
      <c r="I64" s="29" t="s">
        <v>84</v>
      </c>
      <c r="J64" s="29">
        <v>2026</v>
      </c>
      <c r="K64" s="34" t="s">
        <v>115</v>
      </c>
      <c r="L64" s="35" t="s">
        <v>334</v>
      </c>
      <c r="M64" s="35"/>
      <c r="N64" s="35" t="s">
        <v>198</v>
      </c>
      <c r="O64" s="35" t="s">
        <v>177</v>
      </c>
      <c r="P64" s="36">
        <v>0</v>
      </c>
      <c r="Q64" s="36">
        <v>0</v>
      </c>
      <c r="R64" s="36">
        <v>0</v>
      </c>
      <c r="S64" s="29"/>
      <c r="T64" s="34" t="s">
        <v>119</v>
      </c>
      <c r="U64" s="34" t="s">
        <v>335</v>
      </c>
      <c r="V64" s="29">
        <v>54</v>
      </c>
      <c r="W64" s="32">
        <v>46043</v>
      </c>
      <c r="X64" s="32"/>
      <c r="Y64" s="32"/>
      <c r="Z64" s="32"/>
      <c r="AA64" s="32">
        <v>46050</v>
      </c>
      <c r="AB64" s="37">
        <f>WORKDAY(AA64,15,'Feriados y Comunas'!A$2:A$25)</f>
        <v>46071</v>
      </c>
      <c r="AC64" s="29"/>
      <c r="AD64" s="29"/>
      <c r="AE64" s="29"/>
      <c r="AF64" s="29"/>
      <c r="AG64" s="38"/>
      <c r="AH64" s="39" t="s">
        <v>336</v>
      </c>
      <c r="AI64" s="40" t="s">
        <v>337</v>
      </c>
      <c r="AJ64" s="40" t="s">
        <v>209</v>
      </c>
      <c r="AK64" s="29" t="s">
        <v>100</v>
      </c>
      <c r="AL64" s="39" t="s">
        <v>338</v>
      </c>
      <c r="AM64" s="40" t="s">
        <v>339</v>
      </c>
      <c r="AN64" s="45"/>
      <c r="AO64" s="40" t="s">
        <v>340</v>
      </c>
      <c r="AP64" s="41"/>
      <c r="AQ64" s="39" t="s">
        <v>336</v>
      </c>
      <c r="AR64" s="40" t="s">
        <v>337</v>
      </c>
      <c r="AS64" s="29"/>
      <c r="AT64" s="32"/>
      <c r="AU64" s="42" t="s">
        <v>100</v>
      </c>
      <c r="AV64" s="29" t="s">
        <v>91</v>
      </c>
      <c r="AW64" s="1">
        <v>7</v>
      </c>
    </row>
    <row r="65" spans="1:49" ht="60" customHeight="1" x14ac:dyDescent="0.25">
      <c r="A65" s="29">
        <f t="shared" si="6"/>
        <v>64</v>
      </c>
      <c r="B65" s="29">
        <v>40072882</v>
      </c>
      <c r="C65" s="29">
        <v>0</v>
      </c>
      <c r="D65" s="29" t="s">
        <v>341</v>
      </c>
      <c r="E65" s="30" t="s">
        <v>6</v>
      </c>
      <c r="F65" s="31" t="str">
        <f>+IFERROR(VLOOKUP(E65,'Feriados y Comunas'!$C$1:$D$36,2,FALSE),"")</f>
        <v>LLANQUIHUE</v>
      </c>
      <c r="G65" s="32">
        <v>46064</v>
      </c>
      <c r="H65" s="33">
        <v>118250</v>
      </c>
      <c r="I65" s="29" t="s">
        <v>102</v>
      </c>
      <c r="J65" s="29">
        <v>2026</v>
      </c>
      <c r="K65" s="34" t="s">
        <v>145</v>
      </c>
      <c r="L65" s="35" t="s">
        <v>342</v>
      </c>
      <c r="M65" s="35"/>
      <c r="N65" s="35" t="s">
        <v>343</v>
      </c>
      <c r="O65" s="35" t="s">
        <v>262</v>
      </c>
      <c r="P65" s="36">
        <v>306149</v>
      </c>
      <c r="Q65" s="36">
        <v>246411</v>
      </c>
      <c r="R65" s="36">
        <f t="shared" ref="R65:R67" si="8">SUM(P65:Q65)</f>
        <v>552560</v>
      </c>
      <c r="S65" s="29"/>
      <c r="T65" s="34" t="s">
        <v>263</v>
      </c>
      <c r="U65" s="34" t="s">
        <v>263</v>
      </c>
      <c r="V65" s="29">
        <v>403</v>
      </c>
      <c r="W65" s="32">
        <v>46059</v>
      </c>
      <c r="X65" s="32"/>
      <c r="Y65" s="32">
        <v>46064</v>
      </c>
      <c r="Z65" s="32">
        <v>46064</v>
      </c>
      <c r="AA65" s="32">
        <v>46064</v>
      </c>
      <c r="AB65" s="37">
        <f>WORKDAY(AA65,15,'Feriados y Comunas'!A$2:A$25)</f>
        <v>46085</v>
      </c>
      <c r="AC65" s="29"/>
      <c r="AD65" s="29"/>
      <c r="AE65" s="29"/>
      <c r="AF65" s="29"/>
      <c r="AG65" s="38"/>
      <c r="AH65" s="29">
        <v>519</v>
      </c>
      <c r="AI65" s="43">
        <v>46097</v>
      </c>
      <c r="AJ65" s="32">
        <v>46094</v>
      </c>
      <c r="AK65" s="29" t="s">
        <v>100</v>
      </c>
      <c r="AL65" s="29"/>
      <c r="AM65" s="32"/>
      <c r="AN65" s="29"/>
      <c r="AO65" s="32"/>
      <c r="AP65" s="41"/>
      <c r="AQ65" s="29">
        <v>519</v>
      </c>
      <c r="AR65" s="43">
        <v>46097</v>
      </c>
      <c r="AS65" s="29"/>
      <c r="AT65" s="32"/>
      <c r="AU65" s="42" t="s">
        <v>100</v>
      </c>
      <c r="AV65" s="29"/>
      <c r="AW65" s="1">
        <v>22</v>
      </c>
    </row>
    <row r="66" spans="1:49" ht="60" customHeight="1" x14ac:dyDescent="0.25">
      <c r="A66" s="29">
        <f t="shared" si="6"/>
        <v>65</v>
      </c>
      <c r="B66" s="29">
        <v>40005957</v>
      </c>
      <c r="C66" s="29">
        <v>0</v>
      </c>
      <c r="D66" s="29" t="s">
        <v>344</v>
      </c>
      <c r="E66" s="30" t="s">
        <v>27</v>
      </c>
      <c r="F66" s="31" t="str">
        <f>+IFERROR(VLOOKUP(E66,'Feriados y Comunas'!$C$1:$D$36,2,FALSE),"")</f>
        <v>CHILOÉ</v>
      </c>
      <c r="G66" s="32">
        <v>46274</v>
      </c>
      <c r="H66" s="33">
        <v>8731320</v>
      </c>
      <c r="I66" s="29" t="s">
        <v>102</v>
      </c>
      <c r="J66" s="29">
        <v>2026</v>
      </c>
      <c r="K66" s="34" t="s">
        <v>128</v>
      </c>
      <c r="L66" s="35" t="s">
        <v>345</v>
      </c>
      <c r="M66" s="35"/>
      <c r="N66" s="35" t="s">
        <v>346</v>
      </c>
      <c r="O66" s="35" t="s">
        <v>347</v>
      </c>
      <c r="P66" s="36">
        <v>21471</v>
      </c>
      <c r="Q66" s="36">
        <v>22336</v>
      </c>
      <c r="R66" s="36">
        <f t="shared" si="8"/>
        <v>43807</v>
      </c>
      <c r="S66" s="29"/>
      <c r="T66" s="34" t="s">
        <v>89</v>
      </c>
      <c r="U66" s="34" t="s">
        <v>89</v>
      </c>
      <c r="V66" s="29">
        <v>276</v>
      </c>
      <c r="W66" s="32">
        <v>46086</v>
      </c>
      <c r="X66" s="32"/>
      <c r="Y66" s="32"/>
      <c r="Z66" s="32"/>
      <c r="AA66" s="32">
        <v>46090</v>
      </c>
      <c r="AB66" s="37">
        <f>WORKDAY(AA66,15,'Feriados y Comunas'!A$2:A$25)</f>
        <v>46111</v>
      </c>
      <c r="AC66" s="29"/>
      <c r="AD66" s="29"/>
      <c r="AE66" s="29"/>
      <c r="AF66" s="29"/>
      <c r="AG66" s="38"/>
      <c r="AH66" s="29">
        <v>791</v>
      </c>
      <c r="AI66" s="43">
        <v>46126</v>
      </c>
      <c r="AJ66" s="32">
        <v>46122</v>
      </c>
      <c r="AK66" s="29" t="s">
        <v>100</v>
      </c>
      <c r="AL66" s="39" t="s">
        <v>389</v>
      </c>
      <c r="AM66" s="40" t="s">
        <v>390</v>
      </c>
      <c r="AN66" s="45"/>
      <c r="AO66" s="40" t="s">
        <v>391</v>
      </c>
      <c r="AP66" s="41"/>
      <c r="AQ66" s="29">
        <v>791</v>
      </c>
      <c r="AR66" s="43">
        <v>46126</v>
      </c>
      <c r="AS66" s="29"/>
      <c r="AT66" s="32"/>
      <c r="AU66" s="42" t="s">
        <v>100</v>
      </c>
      <c r="AV66" s="29"/>
      <c r="AW66" s="1">
        <v>24</v>
      </c>
    </row>
    <row r="67" spans="1:49" ht="60" customHeight="1" x14ac:dyDescent="0.25">
      <c r="A67" s="29">
        <f t="shared" si="6"/>
        <v>66</v>
      </c>
      <c r="B67" s="29">
        <v>40043228</v>
      </c>
      <c r="C67" s="29">
        <v>0</v>
      </c>
      <c r="D67" s="29" t="s">
        <v>348</v>
      </c>
      <c r="E67" s="30" t="s">
        <v>46</v>
      </c>
      <c r="F67" s="31" t="str">
        <f>+IFERROR(VLOOKUP(E67,'Feriados y Comunas'!$C$1:$D$36,2,FALSE),"")</f>
        <v>OSORNO</v>
      </c>
      <c r="G67" s="32">
        <v>46108</v>
      </c>
      <c r="H67" s="33">
        <v>1861874</v>
      </c>
      <c r="I67" s="29" t="s">
        <v>102</v>
      </c>
      <c r="J67" s="29">
        <v>2026</v>
      </c>
      <c r="K67" s="34" t="s">
        <v>103</v>
      </c>
      <c r="L67" s="35" t="s">
        <v>349</v>
      </c>
      <c r="M67" s="35"/>
      <c r="N67" s="35" t="s">
        <v>105</v>
      </c>
      <c r="O67" s="35" t="s">
        <v>158</v>
      </c>
      <c r="P67" s="36">
        <v>500</v>
      </c>
      <c r="Q67" s="36">
        <v>130</v>
      </c>
      <c r="R67" s="36">
        <f t="shared" si="8"/>
        <v>630</v>
      </c>
      <c r="S67" s="29"/>
      <c r="T67" s="34" t="s">
        <v>350</v>
      </c>
      <c r="U67" s="34" t="s">
        <v>350</v>
      </c>
      <c r="V67" s="29">
        <v>700</v>
      </c>
      <c r="W67" s="32">
        <v>45945</v>
      </c>
      <c r="X67" s="32"/>
      <c r="Y67" s="32"/>
      <c r="Z67" s="32"/>
      <c r="AA67" s="32">
        <v>46108</v>
      </c>
      <c r="AB67" s="37">
        <f>WORKDAY(AA67,15,'Feriados y Comunas'!A$2:A$25)</f>
        <v>46129</v>
      </c>
      <c r="AC67" s="29"/>
      <c r="AD67" s="29"/>
      <c r="AE67" s="29"/>
      <c r="AF67" s="29"/>
      <c r="AG67" s="38"/>
      <c r="AH67" s="39" t="s">
        <v>351</v>
      </c>
      <c r="AI67" s="40" t="s">
        <v>352</v>
      </c>
      <c r="AJ67" s="40" t="s">
        <v>353</v>
      </c>
      <c r="AK67" s="29" t="s">
        <v>100</v>
      </c>
      <c r="AL67" s="39" t="s">
        <v>354</v>
      </c>
      <c r="AM67" s="40" t="s">
        <v>355</v>
      </c>
      <c r="AN67" s="45"/>
      <c r="AO67" s="40" t="s">
        <v>356</v>
      </c>
      <c r="AP67" s="41"/>
      <c r="AQ67" s="39" t="s">
        <v>351</v>
      </c>
      <c r="AR67" s="40" t="s">
        <v>352</v>
      </c>
      <c r="AS67" s="29"/>
      <c r="AT67" s="32"/>
      <c r="AU67" s="42" t="s">
        <v>100</v>
      </c>
      <c r="AV67" s="29" t="s">
        <v>91</v>
      </c>
      <c r="AW67" s="1">
        <v>10</v>
      </c>
    </row>
    <row r="68" spans="1:49" ht="60" customHeight="1" x14ac:dyDescent="0.25">
      <c r="A68" s="29">
        <f t="shared" si="6"/>
        <v>67</v>
      </c>
      <c r="B68" s="29">
        <v>40071293</v>
      </c>
      <c r="C68" s="29">
        <v>0</v>
      </c>
      <c r="D68" s="29" t="s">
        <v>358</v>
      </c>
      <c r="E68" s="30" t="s">
        <v>63</v>
      </c>
      <c r="F68" s="31" t="str">
        <f>+IFERROR(VLOOKUP(E68,'Feriados y Comunas'!$C$1:$D$36,2,FALSE),"")</f>
        <v>PALENA</v>
      </c>
      <c r="G68" s="32">
        <v>46133</v>
      </c>
      <c r="H68" s="33">
        <v>1643325</v>
      </c>
      <c r="I68" s="29" t="s">
        <v>102</v>
      </c>
      <c r="J68" s="29">
        <v>2026</v>
      </c>
      <c r="K68" s="34" t="s">
        <v>85</v>
      </c>
      <c r="L68" s="35" t="s">
        <v>359</v>
      </c>
      <c r="M68" s="35"/>
      <c r="N68" s="35" t="s">
        <v>184</v>
      </c>
      <c r="O68" s="35" t="s">
        <v>185</v>
      </c>
      <c r="P68" s="36">
        <v>258</v>
      </c>
      <c r="Q68" s="36">
        <v>230</v>
      </c>
      <c r="R68" s="36">
        <f t="shared" ref="R68:R74" si="9">SUM(P68:Q68)</f>
        <v>488</v>
      </c>
      <c r="S68" s="29"/>
      <c r="T68" s="34" t="s">
        <v>360</v>
      </c>
      <c r="U68" s="34" t="s">
        <v>361</v>
      </c>
      <c r="V68" s="29">
        <v>302</v>
      </c>
      <c r="W68" s="32">
        <v>46133</v>
      </c>
      <c r="X68" s="32"/>
      <c r="Y68" s="32"/>
      <c r="Z68" s="32"/>
      <c r="AA68" s="32">
        <v>46133</v>
      </c>
      <c r="AB68" s="37">
        <f>WORKDAY(AA68,15,'Feriados y Comunas'!A$2:A$25)</f>
        <v>46154</v>
      </c>
      <c r="AC68" s="29"/>
      <c r="AD68" s="29"/>
      <c r="AE68" s="29"/>
      <c r="AF68" s="29"/>
      <c r="AG68" s="38"/>
      <c r="AH68" s="39" t="s">
        <v>362</v>
      </c>
      <c r="AI68" s="40" t="s">
        <v>363</v>
      </c>
      <c r="AJ68" s="46" t="s">
        <v>364</v>
      </c>
      <c r="AK68" s="29" t="s">
        <v>100</v>
      </c>
      <c r="AL68" s="29">
        <v>433</v>
      </c>
      <c r="AM68" s="32">
        <v>46171</v>
      </c>
      <c r="AN68" s="29"/>
      <c r="AO68" s="32">
        <v>46171</v>
      </c>
      <c r="AP68" s="41"/>
      <c r="AQ68" s="39" t="s">
        <v>362</v>
      </c>
      <c r="AR68" s="40" t="s">
        <v>363</v>
      </c>
      <c r="AS68" s="29"/>
      <c r="AT68" s="32"/>
      <c r="AU68" s="42" t="s">
        <v>100</v>
      </c>
      <c r="AV68" s="29"/>
      <c r="AW68" s="1">
        <v>18</v>
      </c>
    </row>
    <row r="69" spans="1:49" ht="60" customHeight="1" x14ac:dyDescent="0.25">
      <c r="A69" s="29">
        <f t="shared" si="6"/>
        <v>68</v>
      </c>
      <c r="B69" s="29">
        <v>40073908</v>
      </c>
      <c r="C69" s="29">
        <v>0</v>
      </c>
      <c r="D69" s="29" t="s">
        <v>365</v>
      </c>
      <c r="E69" s="30" t="s">
        <v>33</v>
      </c>
      <c r="F69" s="31" t="str">
        <f>+IFERROR(VLOOKUP(E69,'Feriados y Comunas'!$C$1:$D$36,2,FALSE),"")</f>
        <v>CHILOÉ</v>
      </c>
      <c r="G69" s="32">
        <v>46157</v>
      </c>
      <c r="H69" s="33">
        <v>83922</v>
      </c>
      <c r="I69" s="29" t="s">
        <v>84</v>
      </c>
      <c r="J69" s="29">
        <v>2027</v>
      </c>
      <c r="K69" s="34" t="s">
        <v>103</v>
      </c>
      <c r="L69" s="35" t="s">
        <v>366</v>
      </c>
      <c r="M69" s="35"/>
      <c r="N69" s="35" t="s">
        <v>105</v>
      </c>
      <c r="O69" s="35" t="s">
        <v>158</v>
      </c>
      <c r="P69" s="36">
        <v>407</v>
      </c>
      <c r="Q69" s="36">
        <v>406</v>
      </c>
      <c r="R69" s="36">
        <f t="shared" si="9"/>
        <v>813</v>
      </c>
      <c r="S69" s="29"/>
      <c r="T69" s="34" t="s">
        <v>367</v>
      </c>
      <c r="U69" s="34" t="s">
        <v>367</v>
      </c>
      <c r="V69" s="29">
        <v>235</v>
      </c>
      <c r="W69" s="32">
        <v>46154</v>
      </c>
      <c r="X69" s="32"/>
      <c r="Y69" s="32"/>
      <c r="Z69" s="32"/>
      <c r="AA69" s="32">
        <v>46157</v>
      </c>
      <c r="AB69" s="37">
        <f>WORKDAY(AA69,15,'Feriados y Comunas'!A$2:A$25)</f>
        <v>46178</v>
      </c>
      <c r="AC69" s="29"/>
      <c r="AD69" s="29"/>
      <c r="AE69" s="29"/>
      <c r="AF69" s="29"/>
      <c r="AG69" s="38"/>
      <c r="AH69" s="39" t="s">
        <v>368</v>
      </c>
      <c r="AI69" s="40" t="s">
        <v>363</v>
      </c>
      <c r="AJ69" s="40" t="s">
        <v>364</v>
      </c>
      <c r="AK69" s="29" t="s">
        <v>100</v>
      </c>
      <c r="AL69" s="29">
        <v>252</v>
      </c>
      <c r="AM69" s="32">
        <v>46169</v>
      </c>
      <c r="AN69" s="29"/>
      <c r="AO69" s="32">
        <v>46171</v>
      </c>
      <c r="AP69" s="41"/>
      <c r="AQ69" s="39" t="s">
        <v>368</v>
      </c>
      <c r="AR69" s="40" t="s">
        <v>363</v>
      </c>
      <c r="AS69" s="29"/>
      <c r="AT69" s="32"/>
      <c r="AU69" s="42" t="s">
        <v>100</v>
      </c>
      <c r="AV69" s="29" t="s">
        <v>91</v>
      </c>
      <c r="AW69" s="1">
        <v>1</v>
      </c>
    </row>
    <row r="70" spans="1:49" ht="60" customHeight="1" x14ac:dyDescent="0.25">
      <c r="A70" s="29">
        <f t="shared" si="6"/>
        <v>69</v>
      </c>
      <c r="B70" s="29">
        <v>40031485</v>
      </c>
      <c r="C70" s="29">
        <v>0</v>
      </c>
      <c r="D70" s="29" t="s">
        <v>373</v>
      </c>
      <c r="E70" s="30" t="s">
        <v>37</v>
      </c>
      <c r="F70" s="31" t="str">
        <f>+IFERROR(VLOOKUP(E70,'Feriados y Comunas'!$C$1:$D$36,2,FALSE),"")</f>
        <v>CHILOÉ</v>
      </c>
      <c r="G70" s="32">
        <v>46178</v>
      </c>
      <c r="H70" s="33">
        <v>1400000</v>
      </c>
      <c r="I70" s="29" t="s">
        <v>84</v>
      </c>
      <c r="J70" s="29">
        <v>2027</v>
      </c>
      <c r="K70" s="34" t="s">
        <v>122</v>
      </c>
      <c r="L70" s="35" t="s">
        <v>374</v>
      </c>
      <c r="M70" s="35"/>
      <c r="N70" s="35" t="s">
        <v>141</v>
      </c>
      <c r="O70" s="35" t="s">
        <v>142</v>
      </c>
      <c r="P70" s="36">
        <v>1612</v>
      </c>
      <c r="Q70" s="36">
        <v>1650</v>
      </c>
      <c r="R70" s="36">
        <f t="shared" si="9"/>
        <v>3262</v>
      </c>
      <c r="S70" s="29"/>
      <c r="T70" s="34" t="s">
        <v>375</v>
      </c>
      <c r="U70" s="34" t="s">
        <v>375</v>
      </c>
      <c r="V70" s="29">
        <v>581</v>
      </c>
      <c r="W70" s="32">
        <v>46176</v>
      </c>
      <c r="X70" s="32"/>
      <c r="Y70" s="32"/>
      <c r="Z70" s="32"/>
      <c r="AA70" s="32">
        <v>46178</v>
      </c>
      <c r="AB70" s="37">
        <f>WORKDAY(AA70,15,'Feriados y Comunas'!A$2:A$25)</f>
        <v>46199</v>
      </c>
      <c r="AC70" s="29"/>
      <c r="AD70" s="29"/>
      <c r="AE70" s="29"/>
      <c r="AF70" s="29"/>
      <c r="AG70" s="38"/>
      <c r="AH70" s="29">
        <v>1465</v>
      </c>
      <c r="AI70" s="43">
        <v>46188</v>
      </c>
      <c r="AJ70" s="32">
        <v>46185</v>
      </c>
      <c r="AK70" s="29" t="s">
        <v>100</v>
      </c>
      <c r="AL70" s="29"/>
      <c r="AM70" s="32"/>
      <c r="AN70" s="29"/>
      <c r="AO70" s="32"/>
      <c r="AP70" s="41"/>
      <c r="AQ70" s="29">
        <v>1465</v>
      </c>
      <c r="AR70" s="43">
        <v>46188</v>
      </c>
      <c r="AS70" s="29"/>
      <c r="AT70" s="32"/>
      <c r="AU70" s="42" t="s">
        <v>100</v>
      </c>
      <c r="AV70" s="29" t="s">
        <v>91</v>
      </c>
      <c r="AW70" s="1">
        <v>5</v>
      </c>
    </row>
    <row r="71" spans="1:49" ht="60" customHeight="1" x14ac:dyDescent="0.25">
      <c r="A71" s="29">
        <f t="shared" si="6"/>
        <v>70</v>
      </c>
      <c r="B71" s="29">
        <v>30419694</v>
      </c>
      <c r="C71" s="29">
        <v>0</v>
      </c>
      <c r="D71" s="29" t="s">
        <v>376</v>
      </c>
      <c r="E71" s="30" t="s">
        <v>65</v>
      </c>
      <c r="F71" s="31" t="str">
        <f>+IFERROR(VLOOKUP(E71,'Feriados y Comunas'!$C$1:$D$36,2,FALSE),"")</f>
        <v>PALENA</v>
      </c>
      <c r="G71" s="32">
        <v>46176</v>
      </c>
      <c r="H71" s="33">
        <v>2752987</v>
      </c>
      <c r="I71" s="29" t="s">
        <v>102</v>
      </c>
      <c r="J71" s="29">
        <v>2027</v>
      </c>
      <c r="K71" s="34" t="s">
        <v>128</v>
      </c>
      <c r="L71" s="35" t="s">
        <v>377</v>
      </c>
      <c r="M71" s="35"/>
      <c r="N71" s="35" t="s">
        <v>286</v>
      </c>
      <c r="O71" s="35" t="s">
        <v>287</v>
      </c>
      <c r="P71" s="36">
        <v>27</v>
      </c>
      <c r="Q71" s="36">
        <v>27</v>
      </c>
      <c r="R71" s="36">
        <f t="shared" si="9"/>
        <v>54</v>
      </c>
      <c r="S71" s="29"/>
      <c r="T71" s="34" t="s">
        <v>173</v>
      </c>
      <c r="U71" s="34" t="s">
        <v>173</v>
      </c>
      <c r="V71" s="29">
        <v>523</v>
      </c>
      <c r="W71" s="32">
        <v>46175</v>
      </c>
      <c r="X71" s="32"/>
      <c r="Y71" s="32"/>
      <c r="Z71" s="32"/>
      <c r="AA71" s="32">
        <v>46176</v>
      </c>
      <c r="AB71" s="37">
        <f>WORKDAY(AA71,15,'Feriados y Comunas'!A$2:A$25)</f>
        <v>46197</v>
      </c>
      <c r="AC71" s="29"/>
      <c r="AD71" s="29"/>
      <c r="AE71" s="29"/>
      <c r="AF71" s="29"/>
      <c r="AG71" s="38"/>
      <c r="AH71" s="29">
        <v>1462</v>
      </c>
      <c r="AI71" s="43">
        <v>46188</v>
      </c>
      <c r="AJ71" s="32">
        <v>46185</v>
      </c>
      <c r="AK71" s="29" t="s">
        <v>100</v>
      </c>
      <c r="AL71" s="29"/>
      <c r="AM71" s="32"/>
      <c r="AN71" s="29"/>
      <c r="AO71" s="32"/>
      <c r="AP71" s="41"/>
      <c r="AQ71" s="29">
        <v>1462</v>
      </c>
      <c r="AR71" s="43">
        <v>46188</v>
      </c>
      <c r="AS71" s="29"/>
      <c r="AT71" s="32"/>
      <c r="AU71" s="42" t="s">
        <v>100</v>
      </c>
      <c r="AV71" s="29" t="s">
        <v>91</v>
      </c>
      <c r="AW71" s="1">
        <v>7</v>
      </c>
    </row>
    <row r="72" spans="1:49" ht="60" customHeight="1" x14ac:dyDescent="0.25">
      <c r="A72" s="29">
        <f t="shared" si="6"/>
        <v>71</v>
      </c>
      <c r="B72" s="29">
        <v>30034826</v>
      </c>
      <c r="C72" s="29">
        <v>0</v>
      </c>
      <c r="D72" s="29" t="s">
        <v>378</v>
      </c>
      <c r="E72" s="30" t="s">
        <v>3</v>
      </c>
      <c r="F72" s="31" t="str">
        <f>+IFERROR(VLOOKUP(E72,'Feriados y Comunas'!$C$1:$D$36,2,FALSE),"")</f>
        <v>LLANQUIHUE</v>
      </c>
      <c r="G72" s="32">
        <v>46190</v>
      </c>
      <c r="H72" s="33">
        <v>1451216</v>
      </c>
      <c r="I72" s="29" t="s">
        <v>102</v>
      </c>
      <c r="J72" s="29">
        <v>2026</v>
      </c>
      <c r="K72" s="34" t="s">
        <v>85</v>
      </c>
      <c r="L72" s="35" t="s">
        <v>421</v>
      </c>
      <c r="M72" s="35"/>
      <c r="N72" s="35" t="s">
        <v>184</v>
      </c>
      <c r="O72" s="35" t="s">
        <v>185</v>
      </c>
      <c r="P72" s="36">
        <v>199</v>
      </c>
      <c r="Q72" s="36">
        <v>249</v>
      </c>
      <c r="R72" s="36">
        <f t="shared" si="9"/>
        <v>448</v>
      </c>
      <c r="S72" s="29"/>
      <c r="T72" s="34" t="s">
        <v>132</v>
      </c>
      <c r="U72" s="34" t="s">
        <v>132</v>
      </c>
      <c r="V72" s="29">
        <v>494</v>
      </c>
      <c r="W72" s="32">
        <v>46176</v>
      </c>
      <c r="X72" s="32"/>
      <c r="Y72" s="32"/>
      <c r="Z72" s="32"/>
      <c r="AA72" s="32">
        <v>46190</v>
      </c>
      <c r="AB72" s="37">
        <f>WORKDAY(AA72,15,'Feriados y Comunas'!A$2:A$25)</f>
        <v>46211</v>
      </c>
      <c r="AC72" s="29"/>
      <c r="AD72" s="29"/>
      <c r="AE72" s="29"/>
      <c r="AF72" s="29"/>
      <c r="AG72" s="38"/>
      <c r="AH72" s="39" t="s">
        <v>454</v>
      </c>
      <c r="AI72" s="40" t="s">
        <v>455</v>
      </c>
      <c r="AJ72" s="40" t="s">
        <v>456</v>
      </c>
      <c r="AK72" s="29" t="s">
        <v>100</v>
      </c>
      <c r="AL72" s="29">
        <v>1788</v>
      </c>
      <c r="AM72" s="32">
        <v>46262</v>
      </c>
      <c r="AN72" s="29"/>
      <c r="AO72" s="32">
        <v>46265</v>
      </c>
      <c r="AP72" s="41"/>
      <c r="AQ72" s="39" t="s">
        <v>454</v>
      </c>
      <c r="AR72" s="40" t="s">
        <v>455</v>
      </c>
      <c r="AS72" s="29"/>
      <c r="AT72" s="32"/>
      <c r="AU72" s="42" t="s">
        <v>100</v>
      </c>
      <c r="AV72" s="29" t="s">
        <v>91</v>
      </c>
      <c r="AW72" s="1">
        <v>7</v>
      </c>
    </row>
    <row r="73" spans="1:49" ht="60" customHeight="1" x14ac:dyDescent="0.25">
      <c r="A73" s="29">
        <f t="shared" si="6"/>
        <v>72</v>
      </c>
      <c r="B73" s="29">
        <v>40072730</v>
      </c>
      <c r="C73" s="29">
        <v>0</v>
      </c>
      <c r="D73" s="29" t="s">
        <v>379</v>
      </c>
      <c r="E73" s="30" t="s">
        <v>8</v>
      </c>
      <c r="F73" s="31" t="str">
        <f>+IFERROR(VLOOKUP(E73,'Feriados y Comunas'!$C$1:$D$36,2,FALSE),"")</f>
        <v>LLANQUIHUE</v>
      </c>
      <c r="G73" s="32">
        <v>46198</v>
      </c>
      <c r="H73" s="33">
        <v>440112</v>
      </c>
      <c r="I73" s="29" t="s">
        <v>102</v>
      </c>
      <c r="J73" s="29">
        <v>2027</v>
      </c>
      <c r="K73" s="34" t="s">
        <v>128</v>
      </c>
      <c r="L73" s="35" t="s">
        <v>380</v>
      </c>
      <c r="M73" s="35"/>
      <c r="N73" s="35" t="s">
        <v>286</v>
      </c>
      <c r="O73" s="35" t="s">
        <v>287</v>
      </c>
      <c r="P73" s="36">
        <v>50</v>
      </c>
      <c r="Q73" s="36">
        <v>50</v>
      </c>
      <c r="R73" s="36">
        <f t="shared" si="9"/>
        <v>100</v>
      </c>
      <c r="S73" s="29"/>
      <c r="T73" s="34" t="s">
        <v>381</v>
      </c>
      <c r="U73" s="34" t="s">
        <v>381</v>
      </c>
      <c r="V73" s="29">
        <v>490</v>
      </c>
      <c r="W73" s="32">
        <v>46199</v>
      </c>
      <c r="X73" s="32"/>
      <c r="Y73" s="32"/>
      <c r="Z73" s="32"/>
      <c r="AA73" s="32">
        <v>46199</v>
      </c>
      <c r="AB73" s="37">
        <f>WORKDAY(AA73,15,'Feriados y Comunas'!A$2:A$25)</f>
        <v>46220</v>
      </c>
      <c r="AC73" s="29"/>
      <c r="AD73" s="29"/>
      <c r="AE73" s="29"/>
      <c r="AF73" s="29"/>
      <c r="AG73" s="38"/>
      <c r="AH73" s="29">
        <v>1845</v>
      </c>
      <c r="AI73" s="43">
        <v>46225</v>
      </c>
      <c r="AJ73" s="32">
        <v>46218</v>
      </c>
      <c r="AK73" s="29" t="s">
        <v>100</v>
      </c>
      <c r="AL73" s="29"/>
      <c r="AM73" s="32"/>
      <c r="AN73" s="29"/>
      <c r="AO73" s="32"/>
      <c r="AP73" s="41"/>
      <c r="AQ73" s="29">
        <v>1845</v>
      </c>
      <c r="AR73" s="43">
        <v>46225</v>
      </c>
      <c r="AS73" s="29"/>
      <c r="AT73" s="32"/>
      <c r="AU73" s="42" t="s">
        <v>100</v>
      </c>
      <c r="AV73" s="29" t="s">
        <v>91</v>
      </c>
      <c r="AW73" s="1">
        <v>13</v>
      </c>
    </row>
    <row r="74" spans="1:49" ht="60" customHeight="1" x14ac:dyDescent="0.25">
      <c r="A74" s="29">
        <f t="shared" si="6"/>
        <v>73</v>
      </c>
      <c r="B74" s="29">
        <v>40069091</v>
      </c>
      <c r="C74" s="29">
        <v>0</v>
      </c>
      <c r="D74" s="29" t="s">
        <v>383</v>
      </c>
      <c r="E74" s="30" t="s">
        <v>42</v>
      </c>
      <c r="F74" s="31" t="str">
        <f>+IFERROR(VLOOKUP(E74,'Feriados y Comunas'!$C$1:$D$36,2,FALSE),"")</f>
        <v>OSORNO</v>
      </c>
      <c r="G74" s="32">
        <v>46205</v>
      </c>
      <c r="H74" s="33">
        <v>1270025</v>
      </c>
      <c r="I74" s="29" t="s">
        <v>102</v>
      </c>
      <c r="J74" s="29">
        <v>2027</v>
      </c>
      <c r="K74" s="34" t="s">
        <v>85</v>
      </c>
      <c r="L74" s="35" t="s">
        <v>384</v>
      </c>
      <c r="M74" s="35"/>
      <c r="N74" s="35" t="s">
        <v>184</v>
      </c>
      <c r="O74" s="35" t="s">
        <v>185</v>
      </c>
      <c r="P74" s="36">
        <v>468</v>
      </c>
      <c r="Q74" s="36">
        <v>391</v>
      </c>
      <c r="R74" s="36">
        <f t="shared" si="9"/>
        <v>859</v>
      </c>
      <c r="S74" s="29"/>
      <c r="T74" s="34" t="s">
        <v>159</v>
      </c>
      <c r="U74" s="34" t="s">
        <v>159</v>
      </c>
      <c r="V74" s="29">
        <v>309</v>
      </c>
      <c r="W74" s="32">
        <v>46199</v>
      </c>
      <c r="X74" s="32"/>
      <c r="Y74" s="32"/>
      <c r="Z74" s="32"/>
      <c r="AA74" s="32">
        <v>46205</v>
      </c>
      <c r="AB74" s="37">
        <f>WORKDAY(AA74,15,'Feriados y Comunas'!A$2:A$25)</f>
        <v>46226</v>
      </c>
      <c r="AC74" s="29"/>
      <c r="AD74" s="29"/>
      <c r="AE74" s="29"/>
      <c r="AF74" s="29"/>
      <c r="AG74" s="38"/>
      <c r="AH74" s="29">
        <v>1849</v>
      </c>
      <c r="AI74" s="43">
        <v>46225</v>
      </c>
      <c r="AJ74" s="32">
        <v>46218</v>
      </c>
      <c r="AK74" s="29" t="s">
        <v>100</v>
      </c>
      <c r="AL74" s="29"/>
      <c r="AM74" s="32"/>
      <c r="AN74" s="29"/>
      <c r="AO74" s="32"/>
      <c r="AP74" s="41"/>
      <c r="AQ74" s="29">
        <v>1849</v>
      </c>
      <c r="AR74" s="43">
        <v>46225</v>
      </c>
      <c r="AS74" s="29"/>
      <c r="AT74" s="32"/>
      <c r="AU74" s="42" t="s">
        <v>100</v>
      </c>
      <c r="AV74" s="29" t="s">
        <v>91</v>
      </c>
      <c r="AW74" s="1">
        <v>10</v>
      </c>
    </row>
    <row r="75" spans="1:49" ht="60" customHeight="1" x14ac:dyDescent="0.25">
      <c r="A75" s="29">
        <f t="shared" si="6"/>
        <v>74</v>
      </c>
      <c r="B75" s="29">
        <v>40072640</v>
      </c>
      <c r="C75" s="29">
        <v>0</v>
      </c>
      <c r="D75" s="29" t="s">
        <v>388</v>
      </c>
      <c r="E75" s="30" t="s">
        <v>23</v>
      </c>
      <c r="F75" s="31" t="str">
        <f>+IFERROR(VLOOKUP(E75,'Feriados y Comunas'!$C$1:$D$36,2,FALSE),"")</f>
        <v>CHILOÉ</v>
      </c>
      <c r="G75" s="32">
        <v>46244</v>
      </c>
      <c r="H75" s="33">
        <v>115000</v>
      </c>
      <c r="I75" s="29" t="s">
        <v>84</v>
      </c>
      <c r="J75" s="29">
        <v>2027</v>
      </c>
      <c r="K75" s="34" t="s">
        <v>103</v>
      </c>
      <c r="L75" s="35" t="s">
        <v>409</v>
      </c>
      <c r="M75" s="35"/>
      <c r="N75" s="35" t="s">
        <v>105</v>
      </c>
      <c r="O75" s="35" t="s">
        <v>158</v>
      </c>
      <c r="P75" s="36">
        <v>448</v>
      </c>
      <c r="Q75" s="36">
        <v>64</v>
      </c>
      <c r="R75" s="36">
        <f>SUM(P75:Q75)</f>
        <v>512</v>
      </c>
      <c r="S75" s="29"/>
      <c r="T75" s="34" t="s">
        <v>273</v>
      </c>
      <c r="U75" s="34" t="s">
        <v>273</v>
      </c>
      <c r="V75" s="29">
        <v>750</v>
      </c>
      <c r="W75" s="32">
        <v>46240</v>
      </c>
      <c r="X75" s="32"/>
      <c r="Y75" s="32"/>
      <c r="Z75" s="32"/>
      <c r="AA75" s="32">
        <v>46244</v>
      </c>
      <c r="AB75" s="37">
        <f>WORKDAY(AA75,15,'Feriados y Comunas'!A$2:A$25)</f>
        <v>46265</v>
      </c>
      <c r="AC75" s="29"/>
      <c r="AD75" s="29"/>
      <c r="AE75" s="29"/>
      <c r="AF75" s="29"/>
      <c r="AG75" s="38"/>
      <c r="AH75" s="29">
        <v>2642</v>
      </c>
      <c r="AI75" s="43">
        <v>46268</v>
      </c>
      <c r="AJ75" s="32">
        <v>46262</v>
      </c>
      <c r="AK75" s="29" t="s">
        <v>100</v>
      </c>
      <c r="AL75" s="29"/>
      <c r="AM75" s="32"/>
      <c r="AN75" s="29"/>
      <c r="AO75" s="32"/>
      <c r="AP75" s="41"/>
      <c r="AQ75" s="29">
        <v>2642</v>
      </c>
      <c r="AR75" s="43">
        <v>46268</v>
      </c>
      <c r="AS75" s="29"/>
      <c r="AT75" s="32"/>
      <c r="AU75" s="42" t="s">
        <v>100</v>
      </c>
      <c r="AV75" s="29" t="s">
        <v>91</v>
      </c>
      <c r="AW75" s="49">
        <v>14</v>
      </c>
    </row>
    <row r="76" spans="1:49" ht="60" customHeight="1" x14ac:dyDescent="0.25">
      <c r="A76" s="29">
        <f t="shared" si="6"/>
        <v>75</v>
      </c>
      <c r="B76" s="29">
        <v>40077016</v>
      </c>
      <c r="C76" s="29">
        <v>0</v>
      </c>
      <c r="D76" s="29" t="s">
        <v>403</v>
      </c>
      <c r="E76" s="30" t="s">
        <v>42</v>
      </c>
      <c r="F76" s="31" t="str">
        <f>+IFERROR(VLOOKUP(E76,'Feriados y Comunas'!$C$1:$D$36,2,FALSE),"")</f>
        <v>OSORNO</v>
      </c>
      <c r="G76" s="32">
        <v>46258</v>
      </c>
      <c r="H76" s="33">
        <v>112664</v>
      </c>
      <c r="I76" s="29" t="s">
        <v>84</v>
      </c>
      <c r="J76" s="29">
        <v>2027</v>
      </c>
      <c r="K76" s="34" t="s">
        <v>128</v>
      </c>
      <c r="L76" s="35" t="s">
        <v>404</v>
      </c>
      <c r="M76" s="35"/>
      <c r="N76" s="35"/>
      <c r="O76" s="35"/>
      <c r="P76" s="36">
        <v>420</v>
      </c>
      <c r="Q76" s="36">
        <v>404</v>
      </c>
      <c r="R76" s="36">
        <f>SUM(P76:Q76)</f>
        <v>824</v>
      </c>
      <c r="S76" s="29"/>
      <c r="T76" s="34" t="s">
        <v>395</v>
      </c>
      <c r="U76" s="34" t="s">
        <v>395</v>
      </c>
      <c r="V76" s="29">
        <v>132</v>
      </c>
      <c r="W76" s="32">
        <v>46251</v>
      </c>
      <c r="X76" s="32"/>
      <c r="Y76" s="32"/>
      <c r="Z76" s="32"/>
      <c r="AA76" s="32">
        <v>46258</v>
      </c>
      <c r="AB76" s="37">
        <f>WORKDAY(AA76,15,'Feriados y Comunas'!A$2:A$25)</f>
        <v>46279</v>
      </c>
      <c r="AC76" s="29"/>
      <c r="AD76" s="29"/>
      <c r="AE76" s="29"/>
      <c r="AF76" s="29"/>
      <c r="AG76" s="38"/>
      <c r="AH76" s="29">
        <v>2651</v>
      </c>
      <c r="AI76" s="43">
        <v>46269</v>
      </c>
      <c r="AJ76" s="32">
        <v>46262</v>
      </c>
      <c r="AK76" s="29" t="s">
        <v>100</v>
      </c>
      <c r="AL76" s="29"/>
      <c r="AM76" s="32"/>
      <c r="AN76" s="29"/>
      <c r="AO76" s="32"/>
      <c r="AP76" s="41"/>
      <c r="AQ76" s="29"/>
      <c r="AR76" s="43"/>
      <c r="AS76" s="29"/>
      <c r="AT76" s="32"/>
      <c r="AU76" s="42" t="s">
        <v>100</v>
      </c>
      <c r="AV76" s="29" t="s">
        <v>91</v>
      </c>
      <c r="AW76">
        <v>4</v>
      </c>
    </row>
    <row r="77" spans="1:49" ht="60" customHeight="1" x14ac:dyDescent="0.25">
      <c r="A77" s="29">
        <f t="shared" si="6"/>
        <v>76</v>
      </c>
      <c r="B77" s="29">
        <v>40073295</v>
      </c>
      <c r="C77" s="29">
        <v>0</v>
      </c>
      <c r="D77" s="29" t="s">
        <v>418</v>
      </c>
      <c r="E77" s="30" t="s">
        <v>8</v>
      </c>
      <c r="F77" s="31" t="str">
        <f>+IFERROR(VLOOKUP(E77,'Feriados y Comunas'!$C$1:$D$36,2,FALSE),"")</f>
        <v>LLANQUIHUE</v>
      </c>
      <c r="G77" s="32">
        <v>46275</v>
      </c>
      <c r="H77" s="33">
        <v>556258</v>
      </c>
      <c r="I77" s="29" t="s">
        <v>102</v>
      </c>
      <c r="J77" s="29">
        <v>2027</v>
      </c>
      <c r="K77" s="34" t="s">
        <v>103</v>
      </c>
      <c r="L77" s="35" t="s">
        <v>449</v>
      </c>
      <c r="M77" s="35"/>
      <c r="N77" s="35" t="s">
        <v>286</v>
      </c>
      <c r="O77" s="35" t="s">
        <v>287</v>
      </c>
      <c r="P77" s="36">
        <v>96</v>
      </c>
      <c r="Q77" s="36">
        <v>96</v>
      </c>
      <c r="R77" s="36">
        <f>SUM(P77:Q77)</f>
        <v>192</v>
      </c>
      <c r="S77" s="29"/>
      <c r="T77" s="34" t="s">
        <v>381</v>
      </c>
      <c r="U77" s="34" t="s">
        <v>381</v>
      </c>
      <c r="V77" s="45" t="s">
        <v>450</v>
      </c>
      <c r="W77" s="32">
        <v>46275</v>
      </c>
      <c r="X77" s="32"/>
      <c r="Y77" s="32"/>
      <c r="Z77" s="32"/>
      <c r="AA77" s="32">
        <v>46279</v>
      </c>
      <c r="AB77" s="37">
        <f>WORKDAY(AA77,15,'Feriados y Comunas'!A$2:A$25)</f>
        <v>46300</v>
      </c>
      <c r="AC77" s="29"/>
      <c r="AD77" s="29"/>
      <c r="AE77" s="29"/>
      <c r="AF77" s="29"/>
      <c r="AG77" s="38"/>
      <c r="AH77" s="29">
        <v>2881</v>
      </c>
      <c r="AI77" s="43">
        <v>46288</v>
      </c>
      <c r="AJ77" s="32">
        <v>46290</v>
      </c>
      <c r="AK77" s="29" t="s">
        <v>100</v>
      </c>
      <c r="AL77" s="29"/>
      <c r="AM77" s="32"/>
      <c r="AN77" s="29"/>
      <c r="AO77" s="32"/>
      <c r="AP77" s="41"/>
      <c r="AQ77" s="29">
        <v>2881</v>
      </c>
      <c r="AR77" s="43">
        <v>46288</v>
      </c>
      <c r="AS77" s="29"/>
      <c r="AT77" s="32"/>
      <c r="AU77" s="42" t="s">
        <v>100</v>
      </c>
      <c r="AV77" s="29" t="s">
        <v>91</v>
      </c>
      <c r="AW77">
        <v>9</v>
      </c>
    </row>
    <row r="78" spans="1:49" ht="60" customHeight="1" x14ac:dyDescent="0.25">
      <c r="A78" s="29">
        <f t="shared" si="6"/>
        <v>77</v>
      </c>
      <c r="B78" s="29">
        <v>40063290</v>
      </c>
      <c r="C78" s="29">
        <v>0</v>
      </c>
      <c r="D78" s="29" t="s">
        <v>419</v>
      </c>
      <c r="E78" s="30" t="s">
        <v>54</v>
      </c>
      <c r="F78" s="31" t="str">
        <f>+IFERROR(VLOOKUP(E78,'Feriados y Comunas'!$C$1:$D$36,2,FALSE),"")</f>
        <v>OSORNO</v>
      </c>
      <c r="G78" s="32">
        <v>46274</v>
      </c>
      <c r="H78" s="33">
        <v>434641</v>
      </c>
      <c r="I78" s="29" t="s">
        <v>102</v>
      </c>
      <c r="J78" s="29">
        <v>2027</v>
      </c>
      <c r="K78" s="34" t="s">
        <v>163</v>
      </c>
      <c r="L78" s="35" t="s">
        <v>423</v>
      </c>
      <c r="M78" s="35"/>
      <c r="N78" s="35" t="s">
        <v>87</v>
      </c>
      <c r="O78" s="35" t="s">
        <v>88</v>
      </c>
      <c r="P78" s="36">
        <v>503</v>
      </c>
      <c r="Q78" s="36">
        <v>489</v>
      </c>
      <c r="R78" s="36">
        <f>SUM(P78:Q78)</f>
        <v>992</v>
      </c>
      <c r="S78" s="29"/>
      <c r="T78" s="34" t="s">
        <v>138</v>
      </c>
      <c r="U78" s="34" t="s">
        <v>138</v>
      </c>
      <c r="V78" s="29">
        <v>948</v>
      </c>
      <c r="W78" s="32">
        <v>46274</v>
      </c>
      <c r="X78" s="32"/>
      <c r="Y78" s="32"/>
      <c r="Z78" s="32"/>
      <c r="AA78" s="32">
        <v>46274</v>
      </c>
      <c r="AB78" s="37">
        <f>WORKDAY(AA78,15,'Feriados y Comunas'!A$2:A$25)</f>
        <v>46295</v>
      </c>
      <c r="AC78" s="29"/>
      <c r="AD78" s="29"/>
      <c r="AE78" s="29"/>
      <c r="AF78" s="29"/>
      <c r="AG78" s="38"/>
      <c r="AH78" s="29">
        <v>2880</v>
      </c>
      <c r="AI78" s="43">
        <v>46288</v>
      </c>
      <c r="AJ78" s="32">
        <v>46290</v>
      </c>
      <c r="AK78" s="29" t="s">
        <v>100</v>
      </c>
      <c r="AL78" s="29"/>
      <c r="AM78" s="32"/>
      <c r="AN78" s="29"/>
      <c r="AO78" s="32"/>
      <c r="AP78" s="41"/>
      <c r="AQ78" s="29">
        <v>2880</v>
      </c>
      <c r="AR78" s="43">
        <v>46288</v>
      </c>
      <c r="AS78" s="29"/>
      <c r="AT78" s="32"/>
      <c r="AU78" s="42" t="s">
        <v>100</v>
      </c>
      <c r="AV78" s="29" t="s">
        <v>91</v>
      </c>
      <c r="AW78">
        <v>12</v>
      </c>
    </row>
    <row r="79" spans="1:49" ht="60" customHeight="1" x14ac:dyDescent="0.25">
      <c r="A79" s="29">
        <f t="shared" si="6"/>
        <v>78</v>
      </c>
      <c r="B79" s="29">
        <v>30092370</v>
      </c>
      <c r="C79" s="29">
        <v>0</v>
      </c>
      <c r="D79" s="29" t="s">
        <v>416</v>
      </c>
      <c r="E79" s="30" t="s">
        <v>3</v>
      </c>
      <c r="F79" s="31" t="str">
        <f>+IFERROR(VLOOKUP(E79,'Feriados y Comunas'!$C$1:$D$36,2,FALSE),"")</f>
        <v>LLANQUIHUE</v>
      </c>
      <c r="G79" s="32">
        <v>46266</v>
      </c>
      <c r="H79" s="33">
        <v>1313306</v>
      </c>
      <c r="I79" s="29" t="s">
        <v>102</v>
      </c>
      <c r="J79" s="29">
        <v>2027</v>
      </c>
      <c r="K79" s="34" t="s">
        <v>85</v>
      </c>
      <c r="L79" s="35" t="s">
        <v>420</v>
      </c>
      <c r="M79" s="35"/>
      <c r="N79" s="35" t="s">
        <v>184</v>
      </c>
      <c r="O79" s="35" t="s">
        <v>185</v>
      </c>
      <c r="P79" s="36">
        <v>150</v>
      </c>
      <c r="Q79" s="36">
        <v>250</v>
      </c>
      <c r="R79" s="36">
        <f t="shared" ref="R79:R80" si="10">SUM(P79:Q79)</f>
        <v>400</v>
      </c>
      <c r="S79" s="29"/>
      <c r="T79" s="34" t="s">
        <v>132</v>
      </c>
      <c r="U79" s="34" t="s">
        <v>132</v>
      </c>
      <c r="V79" s="29">
        <v>710</v>
      </c>
      <c r="W79" s="32">
        <v>46266</v>
      </c>
      <c r="X79" s="32"/>
      <c r="Y79" s="32"/>
      <c r="Z79" s="32"/>
      <c r="AA79" s="32">
        <v>46267</v>
      </c>
      <c r="AB79" s="37">
        <f>WORKDAY(AA79,15,'Feriados y Comunas'!A$2:A$25)</f>
        <v>46288</v>
      </c>
      <c r="AC79" s="29"/>
      <c r="AD79" s="29"/>
      <c r="AE79" s="29"/>
      <c r="AF79" s="29"/>
      <c r="AG79" s="38"/>
      <c r="AH79" s="29">
        <v>2695</v>
      </c>
      <c r="AI79" s="43">
        <v>46275</v>
      </c>
      <c r="AJ79" s="32">
        <v>46290</v>
      </c>
      <c r="AK79" s="29" t="s">
        <v>100</v>
      </c>
      <c r="AL79" s="29"/>
      <c r="AM79" s="32"/>
      <c r="AN79" s="29"/>
      <c r="AO79" s="32"/>
      <c r="AP79" s="41"/>
      <c r="AQ79" s="29">
        <v>2695</v>
      </c>
      <c r="AR79" s="43">
        <v>46275</v>
      </c>
      <c r="AS79" s="29"/>
      <c r="AT79" s="32"/>
      <c r="AU79" s="42" t="s">
        <v>100</v>
      </c>
      <c r="AV79" s="29" t="s">
        <v>91</v>
      </c>
      <c r="AW79">
        <v>6</v>
      </c>
    </row>
    <row r="80" spans="1:49" ht="60" customHeight="1" x14ac:dyDescent="0.25">
      <c r="A80" s="29">
        <f t="shared" si="6"/>
        <v>79</v>
      </c>
      <c r="B80" s="29">
        <v>40080268</v>
      </c>
      <c r="C80" s="29">
        <v>0</v>
      </c>
      <c r="D80" s="29" t="s">
        <v>417</v>
      </c>
      <c r="E80" s="30" t="s">
        <v>6</v>
      </c>
      <c r="F80" s="31" t="str">
        <f>+IFERROR(VLOOKUP(E80,'Feriados y Comunas'!$C$1:$D$36,2,FALSE),"")</f>
        <v>LLANQUIHUE</v>
      </c>
      <c r="G80" s="32">
        <v>46260</v>
      </c>
      <c r="H80" s="33">
        <v>417249</v>
      </c>
      <c r="I80" s="29" t="s">
        <v>102</v>
      </c>
      <c r="J80" s="29">
        <v>2027</v>
      </c>
      <c r="K80" s="34" t="s">
        <v>163</v>
      </c>
      <c r="L80" s="35" t="s">
        <v>422</v>
      </c>
      <c r="M80" s="35"/>
      <c r="N80" s="35" t="s">
        <v>87</v>
      </c>
      <c r="O80" s="35" t="s">
        <v>88</v>
      </c>
      <c r="P80" s="36">
        <v>349</v>
      </c>
      <c r="Q80" s="36">
        <v>348</v>
      </c>
      <c r="R80" s="36">
        <f t="shared" si="10"/>
        <v>697</v>
      </c>
      <c r="S80" s="29"/>
      <c r="T80" s="34" t="s">
        <v>453</v>
      </c>
      <c r="U80" s="34" t="s">
        <v>453</v>
      </c>
      <c r="V80" s="29">
        <v>908</v>
      </c>
      <c r="W80" s="32">
        <v>46260</v>
      </c>
      <c r="X80" s="32"/>
      <c r="Y80" s="32"/>
      <c r="Z80" s="32"/>
      <c r="AA80" s="32">
        <v>46262</v>
      </c>
      <c r="AB80" s="37">
        <f>WORKDAY(AA80,15,'Feriados y Comunas'!A$2:A$25)</f>
        <v>46283</v>
      </c>
      <c r="AC80" s="29"/>
      <c r="AD80" s="29"/>
      <c r="AE80" s="29"/>
      <c r="AF80" s="29"/>
      <c r="AG80" s="38"/>
      <c r="AH80" s="29">
        <v>2694</v>
      </c>
      <c r="AI80" s="43">
        <v>46275</v>
      </c>
      <c r="AJ80" s="32">
        <v>46290</v>
      </c>
      <c r="AK80" s="29" t="s">
        <v>100</v>
      </c>
      <c r="AL80" s="29"/>
      <c r="AM80" s="32"/>
      <c r="AN80" s="29"/>
      <c r="AO80" s="32"/>
      <c r="AP80" s="41"/>
      <c r="AQ80" s="29">
        <v>2694</v>
      </c>
      <c r="AR80" s="43">
        <v>46275</v>
      </c>
      <c r="AS80" s="29"/>
      <c r="AT80" s="32"/>
      <c r="AU80" s="42" t="s">
        <v>100</v>
      </c>
      <c r="AV80" s="29" t="s">
        <v>91</v>
      </c>
      <c r="AW80">
        <v>9</v>
      </c>
    </row>
    <row r="81" spans="1:49" ht="60" customHeight="1" x14ac:dyDescent="0.25">
      <c r="A81" s="29">
        <f t="shared" si="6"/>
        <v>80</v>
      </c>
      <c r="B81" s="29">
        <v>40024992</v>
      </c>
      <c r="C81" s="29">
        <v>0</v>
      </c>
      <c r="D81" s="29" t="s">
        <v>451</v>
      </c>
      <c r="E81" s="30" t="s">
        <v>37</v>
      </c>
      <c r="F81" s="31" t="str">
        <f>+IFERROR(VLOOKUP(E81,'Feriados y Comunas'!$C$1:$D$36,2,FALSE),"")</f>
        <v>CHILOÉ</v>
      </c>
      <c r="G81" s="32">
        <v>46282</v>
      </c>
      <c r="H81" s="33">
        <v>2096619</v>
      </c>
      <c r="I81" s="29" t="s">
        <v>102</v>
      </c>
      <c r="J81" s="29">
        <v>2027</v>
      </c>
      <c r="K81" s="34" t="s">
        <v>103</v>
      </c>
      <c r="L81" s="35" t="s">
        <v>452</v>
      </c>
      <c r="M81" s="35"/>
      <c r="N81" s="35" t="s">
        <v>286</v>
      </c>
      <c r="O81" s="35" t="s">
        <v>287</v>
      </c>
      <c r="P81" s="36">
        <v>96</v>
      </c>
      <c r="Q81" s="36">
        <v>92</v>
      </c>
      <c r="R81" s="36">
        <f>SUM(P81:Q81)</f>
        <v>188</v>
      </c>
      <c r="S81" s="29"/>
      <c r="T81" s="34" t="s">
        <v>375</v>
      </c>
      <c r="U81" s="34" t="s">
        <v>375</v>
      </c>
      <c r="V81" s="29">
        <v>846</v>
      </c>
      <c r="W81" s="32">
        <v>46281</v>
      </c>
      <c r="X81" s="32"/>
      <c r="Y81" s="32"/>
      <c r="Z81" s="32"/>
      <c r="AA81" s="32">
        <v>46282</v>
      </c>
      <c r="AB81" s="37">
        <f>WORKDAY(AA81,15,'Feriados y Comunas'!A$2:A$25)</f>
        <v>46303</v>
      </c>
      <c r="AC81" s="29"/>
      <c r="AD81" s="29"/>
      <c r="AE81" s="29"/>
      <c r="AF81" s="29"/>
      <c r="AG81" s="38"/>
      <c r="AH81" s="29">
        <v>2935</v>
      </c>
      <c r="AI81" s="43">
        <v>46294</v>
      </c>
      <c r="AJ81" s="32">
        <v>46290</v>
      </c>
      <c r="AK81" s="29" t="s">
        <v>100</v>
      </c>
      <c r="AL81" s="29"/>
      <c r="AM81" s="32"/>
      <c r="AN81" s="29"/>
      <c r="AO81" s="32"/>
      <c r="AP81" s="41"/>
      <c r="AQ81" s="29">
        <v>2935</v>
      </c>
      <c r="AR81" s="43">
        <v>46294</v>
      </c>
      <c r="AS81" s="29"/>
      <c r="AT81" s="32"/>
      <c r="AU81" s="42" t="s">
        <v>100</v>
      </c>
      <c r="AV81" s="29" t="s">
        <v>91</v>
      </c>
      <c r="AW81">
        <v>6</v>
      </c>
    </row>
    <row r="82" spans="1:49" ht="60" customHeight="1" x14ac:dyDescent="0.25">
      <c r="A82" s="29">
        <f t="shared" si="6"/>
        <v>81</v>
      </c>
      <c r="B82" s="29"/>
      <c r="C82" s="29"/>
      <c r="D82" s="29"/>
      <c r="E82" s="30"/>
      <c r="F82" s="31" t="str">
        <f>+IFERROR(VLOOKUP(E82,'Feriados y Comunas'!$C$1:$D$36,2,FALSE),"")</f>
        <v/>
      </c>
      <c r="G82" s="32"/>
      <c r="H82" s="33"/>
      <c r="I82" s="29"/>
      <c r="J82" s="29"/>
      <c r="K82" s="34"/>
      <c r="L82" s="35"/>
      <c r="M82" s="35"/>
      <c r="N82" s="35"/>
      <c r="O82" s="35"/>
      <c r="P82" s="36"/>
      <c r="Q82" s="36"/>
      <c r="R82" s="36"/>
      <c r="S82" s="29"/>
      <c r="T82" s="34"/>
      <c r="U82" s="34"/>
      <c r="V82" s="29"/>
      <c r="W82" s="32"/>
      <c r="X82" s="32"/>
      <c r="Y82" s="32"/>
      <c r="Z82" s="32"/>
      <c r="AA82" s="32"/>
      <c r="AB82" s="37"/>
      <c r="AC82" s="29"/>
      <c r="AD82" s="29"/>
      <c r="AE82" s="29"/>
      <c r="AF82" s="29"/>
      <c r="AG82" s="38"/>
      <c r="AH82" s="29"/>
      <c r="AI82" s="43"/>
      <c r="AJ82" s="32"/>
      <c r="AK82" s="29"/>
      <c r="AL82" s="29"/>
      <c r="AM82" s="32"/>
      <c r="AN82" s="29"/>
      <c r="AO82" s="32"/>
      <c r="AP82" s="41"/>
      <c r="AQ82" s="29"/>
      <c r="AR82" s="43"/>
      <c r="AS82" s="29"/>
      <c r="AT82" s="32"/>
      <c r="AU82" s="42"/>
      <c r="AV82" s="29"/>
    </row>
    <row r="83" spans="1:49" ht="60" customHeight="1" x14ac:dyDescent="0.25">
      <c r="A83" s="29">
        <f t="shared" si="6"/>
        <v>82</v>
      </c>
      <c r="B83" s="29"/>
      <c r="C83" s="29"/>
      <c r="D83" s="29"/>
      <c r="E83" s="30"/>
      <c r="F83" s="31" t="str">
        <f>+IFERROR(VLOOKUP(E83,'Feriados y Comunas'!$C$1:$D$36,2,FALSE),"")</f>
        <v/>
      </c>
      <c r="G83" s="32"/>
      <c r="H83" s="33"/>
      <c r="I83" s="29"/>
      <c r="J83" s="29"/>
      <c r="K83" s="34"/>
      <c r="L83" s="35"/>
      <c r="M83" s="35"/>
      <c r="N83" s="35"/>
      <c r="O83" s="35"/>
      <c r="P83" s="36"/>
      <c r="Q83" s="36"/>
      <c r="R83" s="36"/>
      <c r="S83" s="29"/>
      <c r="T83" s="34"/>
      <c r="U83" s="34"/>
      <c r="V83" s="29"/>
      <c r="W83" s="32"/>
      <c r="X83" s="32"/>
      <c r="Y83" s="32"/>
      <c r="Z83" s="32"/>
      <c r="AA83" s="32"/>
      <c r="AB83" s="37"/>
      <c r="AC83" s="29"/>
      <c r="AD83" s="29"/>
      <c r="AE83" s="29"/>
      <c r="AF83" s="29"/>
      <c r="AG83" s="38"/>
      <c r="AH83" s="29"/>
      <c r="AI83" s="43"/>
      <c r="AJ83" s="32"/>
      <c r="AK83" s="29"/>
      <c r="AL83" s="29"/>
      <c r="AM83" s="32"/>
      <c r="AN83" s="29"/>
      <c r="AO83" s="32"/>
      <c r="AP83" s="41"/>
      <c r="AQ83" s="29"/>
      <c r="AR83" s="43"/>
      <c r="AS83" s="29"/>
      <c r="AT83" s="32"/>
      <c r="AU83" s="42"/>
      <c r="AV83" s="29"/>
    </row>
    <row r="84" spans="1:49" ht="60" customHeight="1" x14ac:dyDescent="0.25">
      <c r="A84" s="29">
        <f t="shared" si="6"/>
        <v>83</v>
      </c>
      <c r="B84" s="29"/>
      <c r="C84" s="29"/>
      <c r="D84" s="29"/>
      <c r="E84" s="30"/>
      <c r="F84" s="31" t="str">
        <f>+IFERROR(VLOOKUP(E84,'Feriados y Comunas'!$C$1:$D$36,2,FALSE),"")</f>
        <v/>
      </c>
      <c r="G84" s="32"/>
      <c r="H84" s="33"/>
      <c r="I84" s="29"/>
      <c r="J84" s="29"/>
      <c r="K84" s="34"/>
      <c r="L84" s="35"/>
      <c r="M84" s="35"/>
      <c r="N84" s="35"/>
      <c r="O84" s="35"/>
      <c r="P84" s="36"/>
      <c r="Q84" s="36"/>
      <c r="R84" s="36"/>
      <c r="S84" s="29"/>
      <c r="T84" s="34"/>
      <c r="U84" s="34"/>
      <c r="V84" s="29"/>
      <c r="W84" s="32"/>
      <c r="X84" s="32"/>
      <c r="Y84" s="32"/>
      <c r="Z84" s="32"/>
      <c r="AA84" s="32"/>
      <c r="AB84" s="37"/>
      <c r="AC84" s="29"/>
      <c r="AD84" s="29"/>
      <c r="AE84" s="29"/>
      <c r="AF84" s="29"/>
      <c r="AG84" s="38"/>
      <c r="AH84" s="29"/>
      <c r="AI84" s="43"/>
      <c r="AJ84" s="32"/>
      <c r="AK84" s="29"/>
      <c r="AL84" s="29"/>
      <c r="AM84" s="32"/>
      <c r="AN84" s="29"/>
      <c r="AO84" s="32"/>
      <c r="AP84" s="41"/>
      <c r="AQ84" s="29"/>
      <c r="AR84" s="43"/>
      <c r="AS84" s="29"/>
      <c r="AT84" s="32"/>
      <c r="AU84" s="42"/>
      <c r="AV84" s="29"/>
    </row>
    <row r="85" spans="1:49" ht="60" customHeight="1" x14ac:dyDescent="0.25">
      <c r="A85" s="29">
        <f t="shared" si="6"/>
        <v>84</v>
      </c>
      <c r="B85" s="29"/>
      <c r="C85" s="29"/>
      <c r="D85" s="29"/>
      <c r="E85" s="30"/>
      <c r="F85" s="31" t="str">
        <f>+IFERROR(VLOOKUP(E85,'Feriados y Comunas'!$C$1:$D$36,2,FALSE),"")</f>
        <v/>
      </c>
      <c r="G85" s="32"/>
      <c r="H85" s="33"/>
      <c r="I85" s="29"/>
      <c r="J85" s="29"/>
      <c r="K85" s="34"/>
      <c r="L85" s="35"/>
      <c r="M85" s="35"/>
      <c r="N85" s="35"/>
      <c r="O85" s="35"/>
      <c r="P85" s="36"/>
      <c r="Q85" s="36"/>
      <c r="R85" s="36"/>
      <c r="S85" s="29"/>
      <c r="T85" s="34"/>
      <c r="U85" s="34"/>
      <c r="V85" s="29"/>
      <c r="W85" s="32"/>
      <c r="X85" s="32"/>
      <c r="Y85" s="32"/>
      <c r="Z85" s="32"/>
      <c r="AA85" s="32"/>
      <c r="AB85" s="37"/>
      <c r="AC85" s="29"/>
      <c r="AD85" s="29"/>
      <c r="AE85" s="29"/>
      <c r="AF85" s="29"/>
      <c r="AG85" s="38"/>
      <c r="AH85" s="29"/>
      <c r="AI85" s="43"/>
      <c r="AJ85" s="32"/>
      <c r="AK85" s="29"/>
      <c r="AL85" s="29"/>
      <c r="AM85" s="32"/>
      <c r="AN85" s="29"/>
      <c r="AO85" s="32"/>
      <c r="AP85" s="41"/>
      <c r="AQ85" s="29"/>
      <c r="AR85" s="43"/>
      <c r="AS85" s="29"/>
      <c r="AT85" s="32"/>
      <c r="AU85" s="42"/>
      <c r="AV85" s="29"/>
    </row>
    <row r="86" spans="1:49" ht="60" customHeight="1" x14ac:dyDescent="0.25">
      <c r="A86" s="29">
        <f t="shared" si="6"/>
        <v>85</v>
      </c>
      <c r="B86" s="29"/>
      <c r="C86" s="29"/>
      <c r="D86" s="29"/>
      <c r="E86" s="30"/>
      <c r="F86" s="31" t="str">
        <f>+IFERROR(VLOOKUP(E86,'Feriados y Comunas'!$C$1:$D$36,2,FALSE),"")</f>
        <v/>
      </c>
      <c r="G86" s="32"/>
      <c r="H86" s="33"/>
      <c r="I86" s="29"/>
      <c r="J86" s="29"/>
      <c r="K86" s="34"/>
      <c r="L86" s="35"/>
      <c r="M86" s="35"/>
      <c r="N86" s="35"/>
      <c r="O86" s="35"/>
      <c r="P86" s="36"/>
      <c r="Q86" s="36"/>
      <c r="R86" s="36"/>
      <c r="S86" s="29"/>
      <c r="T86" s="34"/>
      <c r="U86" s="34"/>
      <c r="V86" s="29"/>
      <c r="W86" s="32"/>
      <c r="X86" s="32"/>
      <c r="Y86" s="32"/>
      <c r="Z86" s="32"/>
      <c r="AA86" s="32"/>
      <c r="AB86" s="37"/>
      <c r="AC86" s="29"/>
      <c r="AD86" s="29"/>
      <c r="AE86" s="29"/>
      <c r="AF86" s="29"/>
      <c r="AG86" s="38"/>
      <c r="AH86" s="29"/>
      <c r="AI86" s="43"/>
      <c r="AJ86" s="32"/>
      <c r="AK86" s="29"/>
      <c r="AL86" s="29"/>
      <c r="AM86" s="32"/>
      <c r="AN86" s="29"/>
      <c r="AO86" s="32"/>
      <c r="AP86" s="41"/>
      <c r="AQ86" s="29"/>
      <c r="AR86" s="43"/>
      <c r="AS86" s="29"/>
      <c r="AT86" s="32"/>
      <c r="AU86" s="42"/>
      <c r="AV86" s="29"/>
    </row>
    <row r="87" spans="1:49" ht="60" customHeight="1" x14ac:dyDescent="0.25">
      <c r="A87" s="29">
        <f t="shared" si="6"/>
        <v>86</v>
      </c>
      <c r="B87" s="29"/>
      <c r="C87" s="29"/>
      <c r="D87" s="29"/>
      <c r="E87" s="30"/>
      <c r="F87" s="31" t="str">
        <f>+IFERROR(VLOOKUP(E87,'Feriados y Comunas'!$C$1:$D$36,2,FALSE),"")</f>
        <v/>
      </c>
      <c r="G87" s="32"/>
      <c r="H87" s="33"/>
      <c r="I87" s="29"/>
      <c r="J87" s="29"/>
      <c r="K87" s="34"/>
      <c r="L87" s="35"/>
      <c r="M87" s="35"/>
      <c r="N87" s="35"/>
      <c r="O87" s="35"/>
      <c r="P87" s="36"/>
      <c r="Q87" s="36"/>
      <c r="R87" s="36"/>
      <c r="S87" s="29"/>
      <c r="T87" s="34"/>
      <c r="U87" s="34"/>
      <c r="V87" s="29"/>
      <c r="W87" s="32"/>
      <c r="X87" s="32"/>
      <c r="Y87" s="32"/>
      <c r="Z87" s="32"/>
      <c r="AA87" s="32"/>
      <c r="AB87" s="37"/>
      <c r="AC87" s="29"/>
      <c r="AD87" s="29"/>
      <c r="AE87" s="29"/>
      <c r="AF87" s="29"/>
      <c r="AG87" s="38"/>
      <c r="AH87" s="29"/>
      <c r="AI87" s="43"/>
      <c r="AJ87" s="32"/>
      <c r="AK87" s="29"/>
      <c r="AL87" s="29"/>
      <c r="AM87" s="32"/>
      <c r="AN87" s="29"/>
      <c r="AO87" s="32"/>
      <c r="AP87" s="41"/>
      <c r="AQ87" s="29"/>
      <c r="AR87" s="43"/>
      <c r="AS87" s="29"/>
      <c r="AT87" s="32"/>
      <c r="AU87" s="42"/>
      <c r="AV87" s="29"/>
    </row>
    <row r="88" spans="1:49" ht="60" customHeight="1" x14ac:dyDescent="0.25">
      <c r="A88" s="29">
        <f t="shared" si="6"/>
        <v>87</v>
      </c>
      <c r="B88" s="29"/>
      <c r="C88" s="29"/>
      <c r="D88" s="29"/>
      <c r="E88" s="30"/>
      <c r="F88" s="31" t="str">
        <f>+IFERROR(VLOOKUP(E88,'Feriados y Comunas'!$C$1:$D$36,2,FALSE),"")</f>
        <v/>
      </c>
      <c r="G88" s="32"/>
      <c r="H88" s="33"/>
      <c r="I88" s="29"/>
      <c r="J88" s="29"/>
      <c r="K88" s="34"/>
      <c r="L88" s="35"/>
      <c r="M88" s="35"/>
      <c r="N88" s="35"/>
      <c r="O88" s="35"/>
      <c r="P88" s="36"/>
      <c r="Q88" s="36"/>
      <c r="R88" s="36"/>
      <c r="S88" s="29"/>
      <c r="T88" s="34"/>
      <c r="U88" s="34"/>
      <c r="V88" s="29"/>
      <c r="W88" s="32"/>
      <c r="X88" s="32"/>
      <c r="Y88" s="32"/>
      <c r="Z88" s="32"/>
      <c r="AA88" s="32"/>
      <c r="AB88" s="37"/>
      <c r="AC88" s="29"/>
      <c r="AD88" s="29"/>
      <c r="AE88" s="29"/>
      <c r="AF88" s="29"/>
      <c r="AG88" s="38"/>
      <c r="AH88" s="29"/>
      <c r="AI88" s="43"/>
      <c r="AJ88" s="32"/>
      <c r="AK88" s="29"/>
      <c r="AL88" s="29"/>
      <c r="AM88" s="32"/>
      <c r="AN88" s="29"/>
      <c r="AO88" s="32"/>
      <c r="AP88" s="41"/>
      <c r="AQ88" s="29"/>
      <c r="AR88" s="43"/>
      <c r="AS88" s="29"/>
      <c r="AT88" s="32"/>
      <c r="AU88" s="42"/>
      <c r="AV88" s="29"/>
    </row>
    <row r="89" spans="1:49" ht="60" customHeight="1" x14ac:dyDescent="0.25">
      <c r="A89" s="29">
        <f t="shared" si="6"/>
        <v>88</v>
      </c>
      <c r="B89" s="29"/>
      <c r="C89" s="29"/>
      <c r="D89" s="29"/>
      <c r="E89" s="30"/>
      <c r="F89" s="31" t="str">
        <f>+IFERROR(VLOOKUP(E89,'Feriados y Comunas'!$C$1:$D$36,2,FALSE),"")</f>
        <v/>
      </c>
      <c r="G89" s="32"/>
      <c r="H89" s="33"/>
      <c r="I89" s="29"/>
      <c r="J89" s="29"/>
      <c r="K89" s="34"/>
      <c r="L89" s="35"/>
      <c r="M89" s="35"/>
      <c r="N89" s="35"/>
      <c r="O89" s="35"/>
      <c r="P89" s="36"/>
      <c r="Q89" s="36"/>
      <c r="R89" s="36"/>
      <c r="S89" s="29"/>
      <c r="T89" s="34"/>
      <c r="U89" s="34"/>
      <c r="V89" s="29"/>
      <c r="W89" s="32"/>
      <c r="X89" s="32"/>
      <c r="Y89" s="32"/>
      <c r="Z89" s="32"/>
      <c r="AA89" s="32"/>
      <c r="AB89" s="37"/>
      <c r="AC89" s="29"/>
      <c r="AD89" s="29"/>
      <c r="AE89" s="29"/>
      <c r="AF89" s="29"/>
      <c r="AG89" s="38"/>
      <c r="AH89" s="29"/>
      <c r="AI89" s="43"/>
      <c r="AJ89" s="32"/>
      <c r="AK89" s="29"/>
      <c r="AL89" s="29"/>
      <c r="AM89" s="32"/>
      <c r="AN89" s="29"/>
      <c r="AO89" s="32"/>
      <c r="AP89" s="41"/>
      <c r="AQ89" s="29"/>
      <c r="AR89" s="43"/>
      <c r="AS89" s="29"/>
      <c r="AT89" s="32"/>
      <c r="AU89" s="42"/>
      <c r="AV89" s="29"/>
    </row>
    <row r="90" spans="1:49" ht="60" customHeight="1" x14ac:dyDescent="0.25">
      <c r="A90" s="29">
        <f t="shared" si="6"/>
        <v>89</v>
      </c>
      <c r="B90" s="29"/>
      <c r="C90" s="29"/>
      <c r="D90" s="29"/>
      <c r="E90" s="30"/>
      <c r="F90" s="31" t="str">
        <f>+IFERROR(VLOOKUP(E90,'Feriados y Comunas'!$C$1:$D$36,2,FALSE),"")</f>
        <v/>
      </c>
      <c r="G90" s="32"/>
      <c r="H90" s="33"/>
      <c r="I90" s="29"/>
      <c r="J90" s="29"/>
      <c r="K90" s="34"/>
      <c r="L90" s="35"/>
      <c r="M90" s="35"/>
      <c r="N90" s="35"/>
      <c r="O90" s="35"/>
      <c r="P90" s="36"/>
      <c r="Q90" s="36"/>
      <c r="R90" s="36"/>
      <c r="S90" s="29"/>
      <c r="T90" s="34"/>
      <c r="U90" s="34"/>
      <c r="V90" s="29"/>
      <c r="W90" s="32"/>
      <c r="X90" s="32"/>
      <c r="Y90" s="32"/>
      <c r="Z90" s="32"/>
      <c r="AA90" s="32"/>
      <c r="AB90" s="37"/>
      <c r="AC90" s="29"/>
      <c r="AD90" s="29"/>
      <c r="AE90" s="29"/>
      <c r="AF90" s="29"/>
      <c r="AG90" s="38"/>
      <c r="AH90" s="29"/>
      <c r="AI90" s="43"/>
      <c r="AJ90" s="32"/>
      <c r="AK90" s="29"/>
      <c r="AL90" s="29"/>
      <c r="AM90" s="32"/>
      <c r="AN90" s="29"/>
      <c r="AO90" s="32"/>
      <c r="AP90" s="41"/>
      <c r="AQ90" s="29"/>
      <c r="AR90" s="43"/>
      <c r="AS90" s="29"/>
      <c r="AT90" s="32"/>
      <c r="AU90" s="42"/>
      <c r="AV90" s="29"/>
    </row>
    <row r="91" spans="1:49" ht="60" customHeight="1" x14ac:dyDescent="0.25">
      <c r="A91" s="29">
        <f t="shared" si="6"/>
        <v>90</v>
      </c>
      <c r="B91" s="29"/>
      <c r="C91" s="29"/>
      <c r="D91" s="29"/>
      <c r="E91" s="30"/>
      <c r="F91" s="31" t="str">
        <f>+IFERROR(VLOOKUP(E91,'Feriados y Comunas'!$C$1:$D$36,2,FALSE),"")</f>
        <v/>
      </c>
      <c r="G91" s="32"/>
      <c r="H91" s="33"/>
      <c r="I91" s="29"/>
      <c r="J91" s="29"/>
      <c r="K91" s="34"/>
      <c r="L91" s="35"/>
      <c r="M91" s="35"/>
      <c r="N91" s="35"/>
      <c r="O91" s="35"/>
      <c r="P91" s="36"/>
      <c r="Q91" s="36"/>
      <c r="R91" s="36"/>
      <c r="S91" s="29"/>
      <c r="T91" s="34"/>
      <c r="U91" s="34"/>
      <c r="V91" s="29"/>
      <c r="W91" s="32"/>
      <c r="X91" s="32"/>
      <c r="Y91" s="32"/>
      <c r="Z91" s="32"/>
      <c r="AA91" s="32"/>
      <c r="AB91" s="37"/>
      <c r="AC91" s="29"/>
      <c r="AD91" s="29"/>
      <c r="AE91" s="29"/>
      <c r="AF91" s="29"/>
      <c r="AG91" s="38"/>
      <c r="AH91" s="29"/>
      <c r="AI91" s="43"/>
      <c r="AJ91" s="32"/>
      <c r="AK91" s="29"/>
      <c r="AL91" s="29"/>
      <c r="AM91" s="32"/>
      <c r="AN91" s="29"/>
      <c r="AO91" s="32"/>
      <c r="AP91" s="41"/>
      <c r="AQ91" s="29"/>
      <c r="AR91" s="43"/>
      <c r="AS91" s="29"/>
      <c r="AT91" s="32"/>
      <c r="AU91" s="42"/>
      <c r="AV91" s="29"/>
    </row>
    <row r="92" spans="1:49" ht="60" customHeight="1" x14ac:dyDescent="0.25">
      <c r="A92" s="29">
        <f t="shared" si="6"/>
        <v>91</v>
      </c>
      <c r="B92" s="29"/>
      <c r="C92" s="29"/>
      <c r="D92" s="29"/>
      <c r="E92" s="30"/>
      <c r="F92" s="31" t="str">
        <f>+IFERROR(VLOOKUP(E92,'Feriados y Comunas'!$C$1:$D$36,2,FALSE),"")</f>
        <v/>
      </c>
      <c r="G92" s="32"/>
      <c r="H92" s="33"/>
      <c r="I92" s="29"/>
      <c r="J92" s="29"/>
      <c r="K92" s="34"/>
      <c r="L92" s="35"/>
      <c r="M92" s="35"/>
      <c r="N92" s="35"/>
      <c r="O92" s="35"/>
      <c r="P92" s="36"/>
      <c r="Q92" s="36"/>
      <c r="R92" s="36"/>
      <c r="S92" s="29"/>
      <c r="T92" s="34"/>
      <c r="U92" s="34"/>
      <c r="V92" s="29"/>
      <c r="W92" s="32"/>
      <c r="X92" s="32"/>
      <c r="Y92" s="32"/>
      <c r="Z92" s="32"/>
      <c r="AA92" s="32"/>
      <c r="AB92" s="37"/>
      <c r="AC92" s="29"/>
      <c r="AD92" s="29"/>
      <c r="AE92" s="29"/>
      <c r="AF92" s="29"/>
      <c r="AG92" s="38"/>
      <c r="AH92" s="29"/>
      <c r="AI92" s="43"/>
      <c r="AJ92" s="32"/>
      <c r="AK92" s="29"/>
      <c r="AL92" s="29"/>
      <c r="AM92" s="32"/>
      <c r="AN92" s="29"/>
      <c r="AO92" s="32"/>
      <c r="AP92" s="41"/>
      <c r="AQ92" s="29"/>
      <c r="AR92" s="43"/>
      <c r="AS92" s="29"/>
      <c r="AT92" s="32"/>
      <c r="AU92" s="42"/>
      <c r="AV92" s="29"/>
    </row>
    <row r="93" spans="1:49" ht="60" customHeight="1" x14ac:dyDescent="0.25">
      <c r="A93" s="29">
        <f t="shared" si="6"/>
        <v>92</v>
      </c>
      <c r="B93" s="29"/>
      <c r="C93" s="29"/>
      <c r="D93" s="29"/>
      <c r="E93" s="30"/>
      <c r="F93" s="31" t="str">
        <f>+IFERROR(VLOOKUP(E93,'Feriados y Comunas'!$C$1:$D$36,2,FALSE),"")</f>
        <v/>
      </c>
      <c r="G93" s="32"/>
      <c r="H93" s="33"/>
      <c r="I93" s="29"/>
      <c r="J93" s="29"/>
      <c r="K93" s="34"/>
      <c r="L93" s="35"/>
      <c r="M93" s="35"/>
      <c r="N93" s="35"/>
      <c r="O93" s="35"/>
      <c r="P93" s="36"/>
      <c r="Q93" s="36"/>
      <c r="R93" s="36"/>
      <c r="S93" s="29"/>
      <c r="T93" s="34"/>
      <c r="U93" s="34"/>
      <c r="V93" s="29"/>
      <c r="W93" s="32"/>
      <c r="X93" s="32"/>
      <c r="Y93" s="32"/>
      <c r="Z93" s="32"/>
      <c r="AA93" s="32"/>
      <c r="AB93" s="37"/>
      <c r="AC93" s="29"/>
      <c r="AD93" s="29"/>
      <c r="AE93" s="29"/>
      <c r="AF93" s="29"/>
      <c r="AG93" s="38"/>
      <c r="AH93" s="29"/>
      <c r="AI93" s="43"/>
      <c r="AJ93" s="32"/>
      <c r="AK93" s="29"/>
      <c r="AL93" s="29"/>
      <c r="AM93" s="32"/>
      <c r="AN93" s="29"/>
      <c r="AO93" s="32"/>
      <c r="AP93" s="41"/>
      <c r="AQ93" s="29"/>
      <c r="AR93" s="43"/>
      <c r="AS93" s="29"/>
      <c r="AT93" s="32"/>
      <c r="AU93" s="42"/>
      <c r="AV93" s="29"/>
    </row>
    <row r="94" spans="1:49" ht="60" customHeight="1" x14ac:dyDescent="0.25">
      <c r="A94" s="29">
        <f t="shared" si="6"/>
        <v>93</v>
      </c>
      <c r="B94" s="29"/>
      <c r="C94" s="29"/>
      <c r="D94" s="29"/>
      <c r="E94" s="30"/>
      <c r="F94" s="31" t="str">
        <f>+IFERROR(VLOOKUP(E94,'Feriados y Comunas'!$C$1:$D$36,2,FALSE),"")</f>
        <v/>
      </c>
      <c r="G94" s="32"/>
      <c r="H94" s="33"/>
      <c r="I94" s="29"/>
      <c r="J94" s="29"/>
      <c r="K94" s="34"/>
      <c r="L94" s="35"/>
      <c r="M94" s="35"/>
      <c r="N94" s="35"/>
      <c r="O94" s="35"/>
      <c r="P94" s="36"/>
      <c r="Q94" s="36"/>
      <c r="R94" s="36"/>
      <c r="S94" s="29"/>
      <c r="T94" s="34"/>
      <c r="U94" s="34"/>
      <c r="V94" s="29"/>
      <c r="W94" s="32"/>
      <c r="X94" s="32"/>
      <c r="Y94" s="32"/>
      <c r="Z94" s="32"/>
      <c r="AA94" s="32"/>
      <c r="AB94" s="37"/>
      <c r="AC94" s="29"/>
      <c r="AD94" s="29"/>
      <c r="AE94" s="29"/>
      <c r="AF94" s="29"/>
      <c r="AG94" s="38"/>
      <c r="AH94" s="29"/>
      <c r="AI94" s="43"/>
      <c r="AJ94" s="32"/>
      <c r="AK94" s="29"/>
      <c r="AL94" s="29"/>
      <c r="AM94" s="32"/>
      <c r="AN94" s="29"/>
      <c r="AO94" s="32"/>
      <c r="AP94" s="41"/>
      <c r="AQ94" s="29"/>
      <c r="AR94" s="43"/>
      <c r="AS94" s="29"/>
      <c r="AT94" s="32"/>
      <c r="AU94" s="42"/>
      <c r="AV94" s="29"/>
    </row>
    <row r="95" spans="1:49" ht="60" customHeight="1" x14ac:dyDescent="0.25">
      <c r="A95" s="29">
        <f t="shared" si="6"/>
        <v>94</v>
      </c>
      <c r="B95" s="29"/>
      <c r="C95" s="29"/>
      <c r="D95" s="29"/>
      <c r="E95" s="30"/>
      <c r="F95" s="31" t="str">
        <f>+IFERROR(VLOOKUP(E95,'Feriados y Comunas'!$C$1:$D$36,2,FALSE),"")</f>
        <v/>
      </c>
      <c r="G95" s="32"/>
      <c r="H95" s="33"/>
      <c r="I95" s="29"/>
      <c r="J95" s="29"/>
      <c r="K95" s="34"/>
      <c r="L95" s="35"/>
      <c r="M95" s="35"/>
      <c r="N95" s="35"/>
      <c r="O95" s="35"/>
      <c r="P95" s="36"/>
      <c r="Q95" s="36"/>
      <c r="R95" s="36"/>
      <c r="S95" s="29"/>
      <c r="T95" s="34"/>
      <c r="U95" s="34"/>
      <c r="V95" s="29"/>
      <c r="W95" s="32"/>
      <c r="X95" s="32"/>
      <c r="Y95" s="32"/>
      <c r="Z95" s="32"/>
      <c r="AA95" s="32"/>
      <c r="AB95" s="37"/>
      <c r="AC95" s="29"/>
      <c r="AD95" s="29"/>
      <c r="AE95" s="29"/>
      <c r="AF95" s="29"/>
      <c r="AG95" s="38"/>
      <c r="AH95" s="29"/>
      <c r="AI95" s="43"/>
      <c r="AJ95" s="32"/>
      <c r="AK95" s="29"/>
      <c r="AL95" s="29"/>
      <c r="AM95" s="32"/>
      <c r="AN95" s="29"/>
      <c r="AO95" s="32"/>
      <c r="AP95" s="41"/>
      <c r="AQ95" s="29"/>
      <c r="AR95" s="43"/>
      <c r="AS95" s="29"/>
      <c r="AT95" s="32"/>
      <c r="AU95" s="42"/>
      <c r="AV95" s="29"/>
    </row>
    <row r="96" spans="1:49" ht="60" customHeight="1" x14ac:dyDescent="0.25">
      <c r="A96" s="29">
        <f t="shared" si="6"/>
        <v>95</v>
      </c>
      <c r="B96" s="29"/>
      <c r="C96" s="29"/>
      <c r="D96" s="29"/>
      <c r="E96" s="30"/>
      <c r="F96" s="31" t="str">
        <f>+IFERROR(VLOOKUP(E96,'Feriados y Comunas'!$C$1:$D$36,2,FALSE),"")</f>
        <v/>
      </c>
      <c r="G96" s="32"/>
      <c r="H96" s="33"/>
      <c r="I96" s="29"/>
      <c r="J96" s="29"/>
      <c r="K96" s="34"/>
      <c r="L96" s="35"/>
      <c r="M96" s="35"/>
      <c r="N96" s="35"/>
      <c r="O96" s="35"/>
      <c r="P96" s="36"/>
      <c r="Q96" s="36"/>
      <c r="R96" s="36"/>
      <c r="S96" s="29"/>
      <c r="T96" s="34"/>
      <c r="U96" s="34"/>
      <c r="V96" s="29"/>
      <c r="W96" s="32"/>
      <c r="X96" s="32"/>
      <c r="Y96" s="32"/>
      <c r="Z96" s="32"/>
      <c r="AA96" s="32"/>
      <c r="AB96" s="37"/>
      <c r="AC96" s="29"/>
      <c r="AD96" s="29"/>
      <c r="AE96" s="29"/>
      <c r="AF96" s="29"/>
      <c r="AG96" s="38"/>
      <c r="AH96" s="29"/>
      <c r="AI96" s="43"/>
      <c r="AJ96" s="32"/>
      <c r="AK96" s="29"/>
      <c r="AL96" s="29"/>
      <c r="AM96" s="32"/>
      <c r="AN96" s="29"/>
      <c r="AO96" s="32"/>
      <c r="AP96" s="41"/>
      <c r="AQ96" s="29"/>
      <c r="AR96" s="43"/>
      <c r="AS96" s="29"/>
      <c r="AT96" s="32"/>
      <c r="AU96" s="42"/>
      <c r="AV96" s="29"/>
    </row>
    <row r="97" spans="1:48" ht="60" customHeight="1" x14ac:dyDescent="0.25">
      <c r="A97" s="29">
        <f t="shared" si="6"/>
        <v>96</v>
      </c>
      <c r="B97" s="29"/>
      <c r="C97" s="29"/>
      <c r="D97" s="29"/>
      <c r="E97" s="30"/>
      <c r="F97" s="31" t="str">
        <f>+IFERROR(VLOOKUP(E97,'Feriados y Comunas'!$C$1:$D$36,2,FALSE),"")</f>
        <v/>
      </c>
      <c r="G97" s="32"/>
      <c r="H97" s="33"/>
      <c r="I97" s="29"/>
      <c r="J97" s="29"/>
      <c r="K97" s="34"/>
      <c r="L97" s="35"/>
      <c r="M97" s="35"/>
      <c r="N97" s="35"/>
      <c r="O97" s="35"/>
      <c r="P97" s="36"/>
      <c r="Q97" s="36"/>
      <c r="R97" s="36"/>
      <c r="S97" s="29"/>
      <c r="T97" s="34"/>
      <c r="U97" s="34"/>
      <c r="V97" s="29"/>
      <c r="W97" s="32"/>
      <c r="X97" s="32"/>
      <c r="Y97" s="32"/>
      <c r="Z97" s="32"/>
      <c r="AA97" s="32"/>
      <c r="AB97" s="37"/>
      <c r="AC97" s="29"/>
      <c r="AD97" s="29"/>
      <c r="AE97" s="29"/>
      <c r="AF97" s="29"/>
      <c r="AG97" s="38"/>
      <c r="AH97" s="29"/>
      <c r="AI97" s="43"/>
      <c r="AJ97" s="32"/>
      <c r="AK97" s="29"/>
      <c r="AL97" s="29"/>
      <c r="AM97" s="32"/>
      <c r="AN97" s="29"/>
      <c r="AO97" s="32"/>
      <c r="AP97" s="41"/>
      <c r="AQ97" s="29"/>
      <c r="AR97" s="43"/>
      <c r="AS97" s="29"/>
      <c r="AT97" s="32"/>
      <c r="AU97" s="42"/>
      <c r="AV97" s="29"/>
    </row>
    <row r="98" spans="1:48" ht="60" customHeight="1" x14ac:dyDescent="0.25">
      <c r="A98" s="29">
        <f t="shared" si="6"/>
        <v>97</v>
      </c>
      <c r="B98" s="29"/>
      <c r="C98" s="29"/>
      <c r="D98" s="29"/>
      <c r="E98" s="30"/>
      <c r="F98" s="31" t="str">
        <f>+IFERROR(VLOOKUP(E98,'Feriados y Comunas'!$C$1:$D$36,2,FALSE),"")</f>
        <v/>
      </c>
      <c r="G98" s="32"/>
      <c r="H98" s="33"/>
      <c r="I98" s="29"/>
      <c r="J98" s="29"/>
      <c r="K98" s="34"/>
      <c r="L98" s="35"/>
      <c r="M98" s="35"/>
      <c r="N98" s="35"/>
      <c r="O98" s="35"/>
      <c r="P98" s="36"/>
      <c r="Q98" s="36"/>
      <c r="R98" s="36"/>
      <c r="S98" s="29"/>
      <c r="T98" s="34"/>
      <c r="U98" s="34"/>
      <c r="V98" s="29"/>
      <c r="W98" s="32"/>
      <c r="X98" s="32"/>
      <c r="Y98" s="32"/>
      <c r="Z98" s="32"/>
      <c r="AA98" s="32"/>
      <c r="AB98" s="37"/>
      <c r="AC98" s="29"/>
      <c r="AD98" s="29"/>
      <c r="AE98" s="29"/>
      <c r="AF98" s="29"/>
      <c r="AG98" s="38"/>
      <c r="AH98" s="29"/>
      <c r="AI98" s="43"/>
      <c r="AJ98" s="32"/>
      <c r="AK98" s="29"/>
      <c r="AL98" s="29"/>
      <c r="AM98" s="32"/>
      <c r="AN98" s="29"/>
      <c r="AO98" s="32"/>
      <c r="AP98" s="41"/>
      <c r="AQ98" s="29"/>
      <c r="AR98" s="43"/>
      <c r="AS98" s="29"/>
      <c r="AT98" s="32"/>
      <c r="AU98" s="42"/>
      <c r="AV98" s="29"/>
    </row>
    <row r="99" spans="1:48" ht="60" customHeight="1" x14ac:dyDescent="0.25">
      <c r="A99" s="29">
        <f t="shared" ref="A99:A115" si="11">1+A98</f>
        <v>98</v>
      </c>
      <c r="B99" s="29"/>
      <c r="C99" s="29"/>
      <c r="D99" s="29"/>
      <c r="E99" s="30"/>
      <c r="F99" s="31" t="str">
        <f>+IFERROR(VLOOKUP(E99,'Feriados y Comunas'!$C$1:$D$36,2,FALSE),"")</f>
        <v/>
      </c>
      <c r="G99" s="32"/>
      <c r="H99" s="33"/>
      <c r="I99" s="29"/>
      <c r="J99" s="29"/>
      <c r="K99" s="34"/>
      <c r="L99" s="35"/>
      <c r="M99" s="35"/>
      <c r="N99" s="35"/>
      <c r="O99" s="35"/>
      <c r="P99" s="36"/>
      <c r="Q99" s="36"/>
      <c r="R99" s="36"/>
      <c r="S99" s="29"/>
      <c r="T99" s="34"/>
      <c r="U99" s="34"/>
      <c r="V99" s="29"/>
      <c r="W99" s="32"/>
      <c r="X99" s="32"/>
      <c r="Y99" s="32"/>
      <c r="Z99" s="32"/>
      <c r="AA99" s="32"/>
      <c r="AB99" s="37"/>
      <c r="AC99" s="29"/>
      <c r="AD99" s="29"/>
      <c r="AE99" s="29"/>
      <c r="AF99" s="29"/>
      <c r="AG99" s="38"/>
      <c r="AH99" s="29"/>
      <c r="AI99" s="43"/>
      <c r="AJ99" s="32"/>
      <c r="AK99" s="29"/>
      <c r="AL99" s="29"/>
      <c r="AM99" s="32"/>
      <c r="AN99" s="29"/>
      <c r="AO99" s="32"/>
      <c r="AP99" s="41"/>
      <c r="AQ99" s="29"/>
      <c r="AR99" s="43"/>
      <c r="AS99" s="29"/>
      <c r="AT99" s="32"/>
      <c r="AU99" s="42"/>
      <c r="AV99" s="29"/>
    </row>
    <row r="100" spans="1:48" ht="60" customHeight="1" x14ac:dyDescent="0.25">
      <c r="A100" s="29">
        <f t="shared" si="11"/>
        <v>99</v>
      </c>
      <c r="B100" s="29"/>
      <c r="C100" s="29"/>
      <c r="D100" s="29"/>
      <c r="E100" s="30"/>
      <c r="F100" s="31" t="str">
        <f>+IFERROR(VLOOKUP(E100,'Feriados y Comunas'!$C$1:$D$36,2,FALSE),"")</f>
        <v/>
      </c>
      <c r="G100" s="32"/>
      <c r="H100" s="33"/>
      <c r="I100" s="29"/>
      <c r="J100" s="29"/>
      <c r="K100" s="34"/>
      <c r="L100" s="35"/>
      <c r="M100" s="35"/>
      <c r="N100" s="35"/>
      <c r="O100" s="35"/>
      <c r="P100" s="36"/>
      <c r="Q100" s="36"/>
      <c r="R100" s="36"/>
      <c r="S100" s="29"/>
      <c r="T100" s="34"/>
      <c r="U100" s="34"/>
      <c r="V100" s="29"/>
      <c r="W100" s="32"/>
      <c r="X100" s="32"/>
      <c r="Y100" s="32"/>
      <c r="Z100" s="32"/>
      <c r="AA100" s="32"/>
      <c r="AB100" s="37"/>
      <c r="AC100" s="29"/>
      <c r="AD100" s="29"/>
      <c r="AE100" s="29"/>
      <c r="AF100" s="29"/>
      <c r="AG100" s="38"/>
      <c r="AH100" s="29"/>
      <c r="AI100" s="43"/>
      <c r="AJ100" s="32"/>
      <c r="AK100" s="29"/>
      <c r="AL100" s="29"/>
      <c r="AM100" s="32"/>
      <c r="AN100" s="29"/>
      <c r="AO100" s="32"/>
      <c r="AP100" s="41"/>
      <c r="AQ100" s="29"/>
      <c r="AR100" s="43"/>
      <c r="AS100" s="29"/>
      <c r="AT100" s="32"/>
      <c r="AU100" s="42"/>
      <c r="AV100" s="29"/>
    </row>
    <row r="101" spans="1:48" ht="60" customHeight="1" x14ac:dyDescent="0.25">
      <c r="A101" s="29">
        <f t="shared" si="11"/>
        <v>100</v>
      </c>
      <c r="B101" s="29"/>
      <c r="C101" s="29"/>
      <c r="D101" s="29"/>
      <c r="E101" s="30"/>
      <c r="F101" s="31" t="str">
        <f>+IFERROR(VLOOKUP(E101,'Feriados y Comunas'!$C$1:$D$36,2,FALSE),"")</f>
        <v/>
      </c>
      <c r="G101" s="32"/>
      <c r="H101" s="33"/>
      <c r="I101" s="29"/>
      <c r="J101" s="29"/>
      <c r="K101" s="34"/>
      <c r="L101" s="35"/>
      <c r="M101" s="35"/>
      <c r="N101" s="35"/>
      <c r="O101" s="35"/>
      <c r="P101" s="36"/>
      <c r="Q101" s="36"/>
      <c r="R101" s="36"/>
      <c r="S101" s="29"/>
      <c r="T101" s="34"/>
      <c r="U101" s="34"/>
      <c r="V101" s="29"/>
      <c r="W101" s="32"/>
      <c r="X101" s="32"/>
      <c r="Y101" s="32"/>
      <c r="Z101" s="32"/>
      <c r="AA101" s="32"/>
      <c r="AB101" s="37"/>
      <c r="AC101" s="29"/>
      <c r="AD101" s="29"/>
      <c r="AE101" s="29"/>
      <c r="AF101" s="29"/>
      <c r="AG101" s="38"/>
      <c r="AH101" s="29"/>
      <c r="AI101" s="43"/>
      <c r="AJ101" s="32"/>
      <c r="AK101" s="29"/>
      <c r="AL101" s="29"/>
      <c r="AM101" s="32"/>
      <c r="AN101" s="29"/>
      <c r="AO101" s="32"/>
      <c r="AP101" s="41"/>
      <c r="AQ101" s="29"/>
      <c r="AR101" s="43"/>
      <c r="AS101" s="29"/>
      <c r="AT101" s="32"/>
      <c r="AU101" s="42"/>
      <c r="AV101" s="29"/>
    </row>
    <row r="102" spans="1:48" ht="60" customHeight="1" x14ac:dyDescent="0.25">
      <c r="A102" s="29">
        <f t="shared" si="11"/>
        <v>101</v>
      </c>
      <c r="B102" s="29"/>
      <c r="C102" s="29"/>
      <c r="D102" s="29"/>
      <c r="E102" s="30"/>
      <c r="F102" s="31" t="str">
        <f>+IFERROR(VLOOKUP(E102,'Feriados y Comunas'!$C$1:$D$36,2,FALSE),"")</f>
        <v/>
      </c>
      <c r="G102" s="32"/>
      <c r="H102" s="33"/>
      <c r="I102" s="29"/>
      <c r="J102" s="29"/>
      <c r="K102" s="34"/>
      <c r="L102" s="35"/>
      <c r="M102" s="35"/>
      <c r="N102" s="35"/>
      <c r="O102" s="35"/>
      <c r="P102" s="36"/>
      <c r="Q102" s="36"/>
      <c r="R102" s="36"/>
      <c r="S102" s="29"/>
      <c r="T102" s="34"/>
      <c r="U102" s="34"/>
      <c r="V102" s="29"/>
      <c r="W102" s="32"/>
      <c r="X102" s="32"/>
      <c r="Y102" s="32"/>
      <c r="Z102" s="32"/>
      <c r="AA102" s="32"/>
      <c r="AB102" s="37"/>
      <c r="AC102" s="29"/>
      <c r="AD102" s="29"/>
      <c r="AE102" s="29"/>
      <c r="AF102" s="29"/>
      <c r="AG102" s="38"/>
      <c r="AH102" s="29"/>
      <c r="AI102" s="43"/>
      <c r="AJ102" s="32"/>
      <c r="AK102" s="29"/>
      <c r="AL102" s="29"/>
      <c r="AM102" s="32"/>
      <c r="AN102" s="29"/>
      <c r="AO102" s="32"/>
      <c r="AP102" s="41"/>
      <c r="AQ102" s="29"/>
      <c r="AR102" s="43"/>
      <c r="AS102" s="29"/>
      <c r="AT102" s="32"/>
      <c r="AU102" s="42"/>
      <c r="AV102" s="29"/>
    </row>
    <row r="103" spans="1:48" ht="60" customHeight="1" x14ac:dyDescent="0.25">
      <c r="A103" s="29">
        <f t="shared" si="11"/>
        <v>102</v>
      </c>
      <c r="B103" s="29"/>
      <c r="C103" s="29"/>
      <c r="D103" s="29"/>
      <c r="E103" s="30"/>
      <c r="F103" s="31" t="str">
        <f>+IFERROR(VLOOKUP(E103,'Feriados y Comunas'!$C$1:$D$36,2,FALSE),"")</f>
        <v/>
      </c>
      <c r="G103" s="32"/>
      <c r="H103" s="33"/>
      <c r="I103" s="29"/>
      <c r="J103" s="29"/>
      <c r="K103" s="34"/>
      <c r="L103" s="35"/>
      <c r="M103" s="35"/>
      <c r="N103" s="35"/>
      <c r="O103" s="35"/>
      <c r="P103" s="36"/>
      <c r="Q103" s="36"/>
      <c r="R103" s="36"/>
      <c r="S103" s="29"/>
      <c r="T103" s="34"/>
      <c r="U103" s="34"/>
      <c r="V103" s="29"/>
      <c r="W103" s="32"/>
      <c r="X103" s="32"/>
      <c r="Y103" s="32"/>
      <c r="Z103" s="32"/>
      <c r="AA103" s="32"/>
      <c r="AB103" s="37"/>
      <c r="AC103" s="29"/>
      <c r="AD103" s="29"/>
      <c r="AE103" s="29"/>
      <c r="AF103" s="29"/>
      <c r="AG103" s="38"/>
      <c r="AH103" s="29"/>
      <c r="AI103" s="43"/>
      <c r="AJ103" s="32"/>
      <c r="AK103" s="29"/>
      <c r="AL103" s="29"/>
      <c r="AM103" s="32"/>
      <c r="AN103" s="29"/>
      <c r="AO103" s="32"/>
      <c r="AP103" s="41"/>
      <c r="AQ103" s="29"/>
      <c r="AR103" s="43"/>
      <c r="AS103" s="29"/>
      <c r="AT103" s="32"/>
      <c r="AU103" s="42"/>
      <c r="AV103" s="29"/>
    </row>
    <row r="104" spans="1:48" ht="60" customHeight="1" x14ac:dyDescent="0.25">
      <c r="A104" s="29">
        <f t="shared" si="11"/>
        <v>103</v>
      </c>
      <c r="B104" s="29"/>
      <c r="C104" s="29"/>
      <c r="D104" s="29"/>
      <c r="E104" s="30"/>
      <c r="F104" s="31" t="str">
        <f>+IFERROR(VLOOKUP(E104,'Feriados y Comunas'!$C$1:$D$36,2,FALSE),"")</f>
        <v/>
      </c>
      <c r="G104" s="32"/>
      <c r="H104" s="33"/>
      <c r="I104" s="29"/>
      <c r="J104" s="29"/>
      <c r="K104" s="34"/>
      <c r="L104" s="35"/>
      <c r="M104" s="35"/>
      <c r="N104" s="35"/>
      <c r="O104" s="35"/>
      <c r="P104" s="36"/>
      <c r="Q104" s="36"/>
      <c r="R104" s="36"/>
      <c r="S104" s="29"/>
      <c r="T104" s="34"/>
      <c r="U104" s="34"/>
      <c r="V104" s="29"/>
      <c r="W104" s="32"/>
      <c r="X104" s="32"/>
      <c r="Y104" s="32"/>
      <c r="Z104" s="32"/>
      <c r="AA104" s="32"/>
      <c r="AB104" s="37"/>
      <c r="AC104" s="29"/>
      <c r="AD104" s="29"/>
      <c r="AE104" s="29"/>
      <c r="AF104" s="29"/>
      <c r="AG104" s="38"/>
      <c r="AH104" s="29"/>
      <c r="AI104" s="43"/>
      <c r="AJ104" s="32"/>
      <c r="AK104" s="29"/>
      <c r="AL104" s="29"/>
      <c r="AM104" s="32"/>
      <c r="AN104" s="29"/>
      <c r="AO104" s="32"/>
      <c r="AP104" s="41"/>
      <c r="AQ104" s="29"/>
      <c r="AR104" s="43"/>
      <c r="AS104" s="29"/>
      <c r="AT104" s="32"/>
      <c r="AU104" s="42"/>
      <c r="AV104" s="29"/>
    </row>
    <row r="105" spans="1:48" ht="60" customHeight="1" x14ac:dyDescent="0.25">
      <c r="A105" s="29">
        <f t="shared" si="11"/>
        <v>104</v>
      </c>
      <c r="B105" s="29"/>
      <c r="C105" s="29"/>
      <c r="D105" s="29"/>
      <c r="E105" s="30"/>
      <c r="F105" s="31" t="str">
        <f>+IFERROR(VLOOKUP(E105,'Feriados y Comunas'!$C$1:$D$36,2,FALSE),"")</f>
        <v/>
      </c>
      <c r="G105" s="32"/>
      <c r="H105" s="33"/>
      <c r="I105" s="29"/>
      <c r="J105" s="29"/>
      <c r="K105" s="34"/>
      <c r="L105" s="35"/>
      <c r="M105" s="35"/>
      <c r="N105" s="35"/>
      <c r="O105" s="35"/>
      <c r="P105" s="36"/>
      <c r="Q105" s="36"/>
      <c r="R105" s="36"/>
      <c r="S105" s="29"/>
      <c r="T105" s="34"/>
      <c r="U105" s="34"/>
      <c r="V105" s="29"/>
      <c r="W105" s="32"/>
      <c r="X105" s="32"/>
      <c r="Y105" s="32"/>
      <c r="Z105" s="32"/>
      <c r="AA105" s="32"/>
      <c r="AB105" s="37"/>
      <c r="AC105" s="29"/>
      <c r="AD105" s="29"/>
      <c r="AE105" s="29"/>
      <c r="AF105" s="29"/>
      <c r="AG105" s="38"/>
      <c r="AH105" s="29"/>
      <c r="AI105" s="43"/>
      <c r="AJ105" s="32"/>
      <c r="AK105" s="29"/>
      <c r="AL105" s="29"/>
      <c r="AM105" s="32"/>
      <c r="AN105" s="29"/>
      <c r="AO105" s="32"/>
      <c r="AP105" s="41"/>
      <c r="AQ105" s="29"/>
      <c r="AR105" s="43"/>
      <c r="AS105" s="29"/>
      <c r="AT105" s="32"/>
      <c r="AU105" s="42"/>
      <c r="AV105" s="29"/>
    </row>
    <row r="106" spans="1:48" ht="60" customHeight="1" x14ac:dyDescent="0.25">
      <c r="A106" s="29">
        <f t="shared" si="11"/>
        <v>105</v>
      </c>
      <c r="B106" s="29"/>
      <c r="C106" s="29"/>
      <c r="D106" s="29"/>
      <c r="E106" s="30"/>
      <c r="F106" s="31" t="str">
        <f>+IFERROR(VLOOKUP(E106,'Feriados y Comunas'!$C$1:$D$36,2,FALSE),"")</f>
        <v/>
      </c>
      <c r="G106" s="32"/>
      <c r="H106" s="33"/>
      <c r="I106" s="29"/>
      <c r="J106" s="29"/>
      <c r="K106" s="34"/>
      <c r="L106" s="35"/>
      <c r="M106" s="35"/>
      <c r="N106" s="35"/>
      <c r="O106" s="35"/>
      <c r="P106" s="36"/>
      <c r="Q106" s="36"/>
      <c r="R106" s="36"/>
      <c r="S106" s="29"/>
      <c r="T106" s="34"/>
      <c r="U106" s="34"/>
      <c r="V106" s="29"/>
      <c r="W106" s="32"/>
      <c r="X106" s="32"/>
      <c r="Y106" s="32"/>
      <c r="Z106" s="32"/>
      <c r="AA106" s="32"/>
      <c r="AB106" s="37"/>
      <c r="AC106" s="29"/>
      <c r="AD106" s="29"/>
      <c r="AE106" s="29"/>
      <c r="AF106" s="29"/>
      <c r="AG106" s="38"/>
      <c r="AH106" s="29"/>
      <c r="AI106" s="43"/>
      <c r="AJ106" s="32"/>
      <c r="AK106" s="29"/>
      <c r="AL106" s="29"/>
      <c r="AM106" s="32"/>
      <c r="AN106" s="29"/>
      <c r="AO106" s="32"/>
      <c r="AP106" s="41"/>
      <c r="AQ106" s="29"/>
      <c r="AR106" s="43"/>
      <c r="AS106" s="29"/>
      <c r="AT106" s="32"/>
      <c r="AU106" s="42"/>
      <c r="AV106" s="29"/>
    </row>
    <row r="107" spans="1:48" ht="60" customHeight="1" x14ac:dyDescent="0.25">
      <c r="A107" s="29">
        <f t="shared" si="11"/>
        <v>106</v>
      </c>
      <c r="B107" s="29"/>
      <c r="C107" s="29"/>
      <c r="D107" s="29"/>
      <c r="E107" s="30"/>
      <c r="F107" s="31" t="str">
        <f>+IFERROR(VLOOKUP(E107,'Feriados y Comunas'!$C$1:$D$36,2,FALSE),"")</f>
        <v/>
      </c>
      <c r="G107" s="32"/>
      <c r="H107" s="33"/>
      <c r="I107" s="29"/>
      <c r="J107" s="29"/>
      <c r="K107" s="34"/>
      <c r="L107" s="35"/>
      <c r="M107" s="35"/>
      <c r="N107" s="35"/>
      <c r="O107" s="35"/>
      <c r="P107" s="36"/>
      <c r="Q107" s="36"/>
      <c r="R107" s="36"/>
      <c r="S107" s="29"/>
      <c r="T107" s="34"/>
      <c r="U107" s="34"/>
      <c r="V107" s="29"/>
      <c r="W107" s="32"/>
      <c r="X107" s="32"/>
      <c r="Y107" s="32"/>
      <c r="Z107" s="32"/>
      <c r="AA107" s="32"/>
      <c r="AB107" s="37"/>
      <c r="AC107" s="29"/>
      <c r="AD107" s="29"/>
      <c r="AE107" s="29"/>
      <c r="AF107" s="29"/>
      <c r="AG107" s="38"/>
      <c r="AH107" s="29"/>
      <c r="AI107" s="43"/>
      <c r="AJ107" s="32"/>
      <c r="AK107" s="29"/>
      <c r="AL107" s="29"/>
      <c r="AM107" s="32"/>
      <c r="AN107" s="29"/>
      <c r="AO107" s="32"/>
      <c r="AP107" s="41"/>
      <c r="AQ107" s="29"/>
      <c r="AR107" s="43"/>
      <c r="AS107" s="29"/>
      <c r="AT107" s="32"/>
      <c r="AU107" s="42"/>
      <c r="AV107" s="29"/>
    </row>
    <row r="108" spans="1:48" ht="60" customHeight="1" x14ac:dyDescent="0.25">
      <c r="A108" s="29">
        <f t="shared" si="11"/>
        <v>107</v>
      </c>
      <c r="B108" s="29"/>
      <c r="C108" s="29"/>
      <c r="D108" s="29"/>
      <c r="E108" s="30"/>
      <c r="F108" s="31" t="str">
        <f>+IFERROR(VLOOKUP(E108,'Feriados y Comunas'!$C$1:$D$36,2,FALSE),"")</f>
        <v/>
      </c>
      <c r="G108" s="32"/>
      <c r="H108" s="33"/>
      <c r="I108" s="29"/>
      <c r="J108" s="29"/>
      <c r="K108" s="34"/>
      <c r="L108" s="35"/>
      <c r="M108" s="35"/>
      <c r="N108" s="35"/>
      <c r="O108" s="35"/>
      <c r="P108" s="36"/>
      <c r="Q108" s="36"/>
      <c r="R108" s="36"/>
      <c r="S108" s="29"/>
      <c r="T108" s="34"/>
      <c r="U108" s="34"/>
      <c r="V108" s="29"/>
      <c r="W108" s="32"/>
      <c r="X108" s="32"/>
      <c r="Y108" s="32"/>
      <c r="Z108" s="32"/>
      <c r="AA108" s="32"/>
      <c r="AB108" s="37"/>
      <c r="AC108" s="29"/>
      <c r="AD108" s="29"/>
      <c r="AE108" s="29"/>
      <c r="AF108" s="29"/>
      <c r="AG108" s="38"/>
      <c r="AH108" s="29"/>
      <c r="AI108" s="43"/>
      <c r="AJ108" s="32"/>
      <c r="AK108" s="29"/>
      <c r="AL108" s="29"/>
      <c r="AM108" s="32"/>
      <c r="AN108" s="29"/>
      <c r="AO108" s="32"/>
      <c r="AP108" s="41"/>
      <c r="AQ108" s="29"/>
      <c r="AR108" s="43"/>
      <c r="AS108" s="29"/>
      <c r="AT108" s="32"/>
      <c r="AU108" s="42"/>
      <c r="AV108" s="29"/>
    </row>
    <row r="109" spans="1:48" ht="60" customHeight="1" x14ac:dyDescent="0.25">
      <c r="A109" s="29">
        <f t="shared" si="11"/>
        <v>108</v>
      </c>
      <c r="B109" s="29"/>
      <c r="C109" s="29"/>
      <c r="D109" s="29"/>
      <c r="E109" s="30"/>
      <c r="F109" s="31" t="str">
        <f>+IFERROR(VLOOKUP(E109,'Feriados y Comunas'!$C$1:$D$36,2,FALSE),"")</f>
        <v/>
      </c>
      <c r="G109" s="32"/>
      <c r="H109" s="33"/>
      <c r="I109" s="29"/>
      <c r="J109" s="29"/>
      <c r="K109" s="34"/>
      <c r="L109" s="35"/>
      <c r="M109" s="35"/>
      <c r="N109" s="35"/>
      <c r="O109" s="35"/>
      <c r="P109" s="36"/>
      <c r="Q109" s="36"/>
      <c r="R109" s="36"/>
      <c r="S109" s="29"/>
      <c r="T109" s="34"/>
      <c r="U109" s="34"/>
      <c r="V109" s="29"/>
      <c r="W109" s="32"/>
      <c r="X109" s="32"/>
      <c r="Y109" s="32"/>
      <c r="Z109" s="32"/>
      <c r="AA109" s="32"/>
      <c r="AB109" s="37"/>
      <c r="AC109" s="29"/>
      <c r="AD109" s="29"/>
      <c r="AE109" s="29"/>
      <c r="AF109" s="29"/>
      <c r="AG109" s="38"/>
      <c r="AH109" s="29"/>
      <c r="AI109" s="43"/>
      <c r="AJ109" s="32"/>
      <c r="AK109" s="29"/>
      <c r="AL109" s="29"/>
      <c r="AM109" s="32"/>
      <c r="AN109" s="29"/>
      <c r="AO109" s="32"/>
      <c r="AP109" s="41"/>
      <c r="AQ109" s="29"/>
      <c r="AR109" s="43"/>
      <c r="AS109" s="29"/>
      <c r="AT109" s="32"/>
      <c r="AU109" s="42"/>
      <c r="AV109" s="29"/>
    </row>
    <row r="110" spans="1:48" ht="60" customHeight="1" x14ac:dyDescent="0.25">
      <c r="A110" s="29">
        <f t="shared" si="11"/>
        <v>109</v>
      </c>
      <c r="B110" s="29"/>
      <c r="C110" s="29"/>
      <c r="D110" s="29"/>
      <c r="E110" s="30"/>
      <c r="F110" s="31" t="str">
        <f>+IFERROR(VLOOKUP(E110,'Feriados y Comunas'!$C$1:$D$36,2,FALSE),"")</f>
        <v/>
      </c>
      <c r="G110" s="32"/>
      <c r="H110" s="33"/>
      <c r="I110" s="29"/>
      <c r="J110" s="29"/>
      <c r="K110" s="34"/>
      <c r="L110" s="35"/>
      <c r="M110" s="35"/>
      <c r="N110" s="35"/>
      <c r="O110" s="35"/>
      <c r="P110" s="36"/>
      <c r="Q110" s="36"/>
      <c r="R110" s="36"/>
      <c r="S110" s="29"/>
      <c r="T110" s="34"/>
      <c r="U110" s="34"/>
      <c r="V110" s="29"/>
      <c r="W110" s="32"/>
      <c r="X110" s="32"/>
      <c r="Y110" s="32"/>
      <c r="Z110" s="32"/>
      <c r="AA110" s="32"/>
      <c r="AB110" s="37"/>
      <c r="AC110" s="29"/>
      <c r="AD110" s="29"/>
      <c r="AE110" s="29"/>
      <c r="AF110" s="29"/>
      <c r="AG110" s="38"/>
      <c r="AH110" s="29"/>
      <c r="AI110" s="43"/>
      <c r="AJ110" s="32"/>
      <c r="AK110" s="29"/>
      <c r="AL110" s="29"/>
      <c r="AM110" s="32"/>
      <c r="AN110" s="29"/>
      <c r="AO110" s="32"/>
      <c r="AP110" s="41"/>
      <c r="AQ110" s="29"/>
      <c r="AR110" s="43"/>
      <c r="AS110" s="29"/>
      <c r="AT110" s="32"/>
      <c r="AU110" s="42"/>
      <c r="AV110" s="29"/>
    </row>
    <row r="111" spans="1:48" ht="60" customHeight="1" x14ac:dyDescent="0.25">
      <c r="A111" s="29">
        <f t="shared" si="11"/>
        <v>110</v>
      </c>
      <c r="B111" s="29"/>
      <c r="C111" s="29"/>
      <c r="D111" s="29"/>
      <c r="E111" s="30"/>
      <c r="F111" s="31" t="str">
        <f>+IFERROR(VLOOKUP(E111,'Feriados y Comunas'!$C$1:$D$36,2,FALSE),"")</f>
        <v/>
      </c>
      <c r="G111" s="32"/>
      <c r="H111" s="33"/>
      <c r="I111" s="29"/>
      <c r="J111" s="29"/>
      <c r="K111" s="34"/>
      <c r="L111" s="35"/>
      <c r="M111" s="35"/>
      <c r="N111" s="35"/>
      <c r="O111" s="35"/>
      <c r="P111" s="36"/>
      <c r="Q111" s="36"/>
      <c r="R111" s="36"/>
      <c r="S111" s="29"/>
      <c r="T111" s="34"/>
      <c r="U111" s="34"/>
      <c r="V111" s="29"/>
      <c r="W111" s="32"/>
      <c r="X111" s="32"/>
      <c r="Y111" s="32"/>
      <c r="Z111" s="32"/>
      <c r="AA111" s="32"/>
      <c r="AB111" s="37"/>
      <c r="AC111" s="29"/>
      <c r="AD111" s="29"/>
      <c r="AE111" s="29"/>
      <c r="AF111" s="29"/>
      <c r="AG111" s="38"/>
      <c r="AH111" s="29"/>
      <c r="AI111" s="43"/>
      <c r="AJ111" s="32"/>
      <c r="AK111" s="29"/>
      <c r="AL111" s="29"/>
      <c r="AM111" s="32"/>
      <c r="AN111" s="29"/>
      <c r="AO111" s="32"/>
      <c r="AP111" s="41"/>
      <c r="AQ111" s="29"/>
      <c r="AR111" s="43"/>
      <c r="AS111" s="29"/>
      <c r="AT111" s="32"/>
      <c r="AU111" s="42"/>
      <c r="AV111" s="29"/>
    </row>
    <row r="112" spans="1:48" ht="60" customHeight="1" x14ac:dyDescent="0.25">
      <c r="A112" s="29">
        <f t="shared" si="11"/>
        <v>111</v>
      </c>
      <c r="B112" s="29"/>
      <c r="C112" s="29"/>
      <c r="D112" s="29"/>
      <c r="E112" s="30"/>
      <c r="F112" s="31" t="str">
        <f>+IFERROR(VLOOKUP(E112,'Feriados y Comunas'!$C$1:$D$36,2,FALSE),"")</f>
        <v/>
      </c>
      <c r="G112" s="32"/>
      <c r="H112" s="33"/>
      <c r="I112" s="29"/>
      <c r="J112" s="29"/>
      <c r="K112" s="34"/>
      <c r="L112" s="35"/>
      <c r="M112" s="35"/>
      <c r="N112" s="35"/>
      <c r="O112" s="35"/>
      <c r="P112" s="36"/>
      <c r="Q112" s="36"/>
      <c r="R112" s="36"/>
      <c r="S112" s="29"/>
      <c r="T112" s="34"/>
      <c r="U112" s="34"/>
      <c r="V112" s="29"/>
      <c r="W112" s="32"/>
      <c r="X112" s="32"/>
      <c r="Y112" s="32"/>
      <c r="Z112" s="32"/>
      <c r="AA112" s="32"/>
      <c r="AB112" s="37"/>
      <c r="AC112" s="29"/>
      <c r="AD112" s="29"/>
      <c r="AE112" s="29"/>
      <c r="AF112" s="29"/>
      <c r="AG112" s="38"/>
      <c r="AH112" s="29"/>
      <c r="AI112" s="43"/>
      <c r="AJ112" s="32"/>
      <c r="AK112" s="29"/>
      <c r="AL112" s="29"/>
      <c r="AM112" s="32"/>
      <c r="AN112" s="29"/>
      <c r="AO112" s="32"/>
      <c r="AP112" s="41"/>
      <c r="AQ112" s="29"/>
      <c r="AR112" s="43"/>
      <c r="AS112" s="29"/>
      <c r="AT112" s="32"/>
      <c r="AU112" s="42"/>
      <c r="AV112" s="29"/>
    </row>
    <row r="113" spans="1:48" ht="60" customHeight="1" x14ac:dyDescent="0.25">
      <c r="A113" s="29">
        <f t="shared" si="11"/>
        <v>112</v>
      </c>
      <c r="B113" s="29"/>
      <c r="C113" s="29"/>
      <c r="D113" s="29"/>
      <c r="E113" s="30"/>
      <c r="F113" s="31" t="str">
        <f>+IFERROR(VLOOKUP(E113,'Feriados y Comunas'!$C$1:$D$36,2,FALSE),"")</f>
        <v/>
      </c>
      <c r="G113" s="32"/>
      <c r="H113" s="33"/>
      <c r="I113" s="29"/>
      <c r="J113" s="29"/>
      <c r="K113" s="34"/>
      <c r="L113" s="35"/>
      <c r="M113" s="35"/>
      <c r="N113" s="35"/>
      <c r="O113" s="35"/>
      <c r="P113" s="36"/>
      <c r="Q113" s="36"/>
      <c r="R113" s="36"/>
      <c r="S113" s="29"/>
      <c r="T113" s="34"/>
      <c r="U113" s="34"/>
      <c r="V113" s="29"/>
      <c r="W113" s="32"/>
      <c r="X113" s="32"/>
      <c r="Y113" s="32"/>
      <c r="Z113" s="32"/>
      <c r="AA113" s="32"/>
      <c r="AB113" s="37"/>
      <c r="AC113" s="29"/>
      <c r="AD113" s="29"/>
      <c r="AE113" s="29"/>
      <c r="AF113" s="29"/>
      <c r="AG113" s="38"/>
      <c r="AH113" s="29"/>
      <c r="AI113" s="43"/>
      <c r="AJ113" s="32"/>
      <c r="AK113" s="29"/>
      <c r="AL113" s="29"/>
      <c r="AM113" s="32"/>
      <c r="AN113" s="29"/>
      <c r="AO113" s="32"/>
      <c r="AP113" s="41"/>
      <c r="AQ113" s="29"/>
      <c r="AR113" s="43"/>
      <c r="AS113" s="29"/>
      <c r="AT113" s="32"/>
      <c r="AU113" s="42"/>
      <c r="AV113" s="29"/>
    </row>
    <row r="114" spans="1:48" ht="60" customHeight="1" x14ac:dyDescent="0.25">
      <c r="A114" s="29">
        <f t="shared" si="11"/>
        <v>113</v>
      </c>
      <c r="B114" s="29"/>
      <c r="C114" s="29"/>
      <c r="D114" s="29"/>
      <c r="E114" s="30"/>
      <c r="F114" s="31" t="str">
        <f>+IFERROR(VLOOKUP(E114,'Feriados y Comunas'!$C$1:$D$36,2,FALSE),"")</f>
        <v/>
      </c>
      <c r="G114" s="32"/>
      <c r="H114" s="33"/>
      <c r="I114" s="29"/>
      <c r="J114" s="29"/>
      <c r="K114" s="34"/>
      <c r="L114" s="35"/>
      <c r="M114" s="35"/>
      <c r="N114" s="35"/>
      <c r="O114" s="35"/>
      <c r="P114" s="36"/>
      <c r="Q114" s="36"/>
      <c r="R114" s="36"/>
      <c r="S114" s="29"/>
      <c r="T114" s="34"/>
      <c r="U114" s="34"/>
      <c r="V114" s="29"/>
      <c r="W114" s="32"/>
      <c r="X114" s="32"/>
      <c r="Y114" s="32"/>
      <c r="Z114" s="32"/>
      <c r="AA114" s="32"/>
      <c r="AB114" s="37"/>
      <c r="AC114" s="29"/>
      <c r="AD114" s="29"/>
      <c r="AE114" s="29"/>
      <c r="AF114" s="29"/>
      <c r="AG114" s="38"/>
      <c r="AH114" s="29"/>
      <c r="AI114" s="43"/>
      <c r="AJ114" s="32"/>
      <c r="AK114" s="29"/>
      <c r="AL114" s="29"/>
      <c r="AM114" s="32"/>
      <c r="AN114" s="29"/>
      <c r="AO114" s="32"/>
      <c r="AP114" s="41"/>
      <c r="AQ114" s="29"/>
      <c r="AR114" s="43"/>
      <c r="AS114" s="29"/>
      <c r="AT114" s="32"/>
      <c r="AU114" s="42"/>
      <c r="AV114" s="29"/>
    </row>
    <row r="115" spans="1:48" ht="60" customHeight="1" x14ac:dyDescent="0.25">
      <c r="A115" s="29">
        <f t="shared" si="11"/>
        <v>114</v>
      </c>
      <c r="B115" s="29"/>
      <c r="C115" s="29"/>
      <c r="D115" s="29"/>
      <c r="E115" s="30"/>
      <c r="F115" s="31" t="str">
        <f>+IFERROR(VLOOKUP(E115,'Feriados y Comunas'!$C$1:$D$36,2,FALSE),"")</f>
        <v/>
      </c>
      <c r="G115" s="32"/>
      <c r="H115" s="33"/>
      <c r="I115" s="29"/>
      <c r="J115" s="29"/>
      <c r="K115" s="34"/>
      <c r="L115" s="35"/>
      <c r="M115" s="35"/>
      <c r="N115" s="35"/>
      <c r="O115" s="35"/>
      <c r="P115" s="29"/>
      <c r="Q115" s="29"/>
      <c r="R115" s="29"/>
      <c r="S115" s="29"/>
      <c r="T115" s="34"/>
      <c r="U115" s="34"/>
      <c r="V115" s="29"/>
      <c r="W115" s="32"/>
      <c r="X115" s="32"/>
      <c r="Y115" s="32"/>
      <c r="Z115" s="32"/>
      <c r="AA115" s="32"/>
      <c r="AB115" s="37"/>
      <c r="AC115" s="29"/>
      <c r="AD115" s="29"/>
      <c r="AE115" s="29"/>
      <c r="AF115" s="29"/>
      <c r="AG115" s="38"/>
      <c r="AH115" s="29"/>
      <c r="AI115" s="43"/>
      <c r="AJ115" s="32"/>
      <c r="AK115" s="29"/>
      <c r="AL115" s="29"/>
      <c r="AM115" s="32"/>
      <c r="AN115" s="29"/>
      <c r="AO115" s="32"/>
      <c r="AP115" s="41"/>
      <c r="AQ115" s="29"/>
      <c r="AR115" s="43"/>
      <c r="AS115" s="29"/>
      <c r="AT115" s="32"/>
      <c r="AU115" s="42"/>
      <c r="AV115" s="29"/>
    </row>
    <row r="116" spans="1:48" ht="15.75" customHeight="1" x14ac:dyDescent="0.25">
      <c r="U116" s="48"/>
    </row>
    <row r="117" spans="1:48" ht="15.75" customHeight="1" x14ac:dyDescent="0.25">
      <c r="U117" s="48"/>
    </row>
    <row r="118" spans="1:48" ht="15.75" customHeight="1" x14ac:dyDescent="0.25">
      <c r="U118" s="48"/>
    </row>
    <row r="119" spans="1:48" ht="15.75" customHeight="1" x14ac:dyDescent="0.25">
      <c r="U119" s="48"/>
    </row>
    <row r="120" spans="1:48" ht="15.75" customHeight="1" x14ac:dyDescent="0.25">
      <c r="U120" s="48"/>
    </row>
    <row r="121" spans="1:48" ht="15.75" customHeight="1" x14ac:dyDescent="0.25">
      <c r="U121" s="48"/>
    </row>
    <row r="122" spans="1:48" ht="15.75" customHeight="1" x14ac:dyDescent="0.25">
      <c r="U122" s="48"/>
    </row>
    <row r="123" spans="1:48" ht="15.75" customHeight="1" x14ac:dyDescent="0.25">
      <c r="U123" s="48"/>
    </row>
    <row r="124" spans="1:48" ht="15.75" customHeight="1" x14ac:dyDescent="0.25">
      <c r="U124" s="48"/>
    </row>
    <row r="125" spans="1:48" ht="15.75" customHeight="1" x14ac:dyDescent="0.25">
      <c r="U125" s="48"/>
    </row>
    <row r="126" spans="1:48" ht="15.75" customHeight="1" x14ac:dyDescent="0.25">
      <c r="U126" s="48"/>
    </row>
    <row r="127" spans="1:48" ht="15.75" customHeight="1" x14ac:dyDescent="0.25">
      <c r="U127" s="48"/>
    </row>
    <row r="128" spans="1:48" ht="15.75" customHeight="1" x14ac:dyDescent="0.25">
      <c r="U128" s="48"/>
    </row>
    <row r="129" spans="21:21" ht="15.75" customHeight="1" x14ac:dyDescent="0.25">
      <c r="U129" s="48"/>
    </row>
    <row r="130" spans="21:21" ht="15.75" customHeight="1" x14ac:dyDescent="0.25">
      <c r="U130" s="48"/>
    </row>
    <row r="131" spans="21:21" ht="15.75" customHeight="1" x14ac:dyDescent="0.25">
      <c r="U131" s="48"/>
    </row>
    <row r="132" spans="21:21" ht="15.75" customHeight="1" x14ac:dyDescent="0.25">
      <c r="U132" s="48"/>
    </row>
    <row r="133" spans="21:21" ht="15.75" customHeight="1" x14ac:dyDescent="0.25">
      <c r="U133" s="48"/>
    </row>
    <row r="134" spans="21:21" ht="15.75" customHeight="1" x14ac:dyDescent="0.25">
      <c r="U134" s="48"/>
    </row>
    <row r="135" spans="21:21" ht="15.75" customHeight="1" x14ac:dyDescent="0.25">
      <c r="U135" s="48"/>
    </row>
    <row r="136" spans="21:21" ht="15.75" customHeight="1" x14ac:dyDescent="0.25">
      <c r="U136" s="48"/>
    </row>
    <row r="137" spans="21:21" ht="15.75" customHeight="1" x14ac:dyDescent="0.25">
      <c r="U137" s="48"/>
    </row>
    <row r="138" spans="21:21" ht="15.75" customHeight="1" x14ac:dyDescent="0.25">
      <c r="U138" s="48"/>
    </row>
    <row r="139" spans="21:21" ht="15.75" customHeight="1" x14ac:dyDescent="0.25">
      <c r="U139" s="48"/>
    </row>
    <row r="140" spans="21:21" ht="15.75" customHeight="1" x14ac:dyDescent="0.25">
      <c r="U140" s="48"/>
    </row>
    <row r="141" spans="21:21" ht="15.75" customHeight="1" x14ac:dyDescent="0.25">
      <c r="U141" s="48"/>
    </row>
    <row r="142" spans="21:21" ht="15.75" customHeight="1" x14ac:dyDescent="0.25">
      <c r="U142" s="48"/>
    </row>
    <row r="143" spans="21:21" ht="15.75" customHeight="1" x14ac:dyDescent="0.25">
      <c r="U143" s="48"/>
    </row>
    <row r="144" spans="21:21" ht="15.75" customHeight="1" x14ac:dyDescent="0.25">
      <c r="U144" s="48"/>
    </row>
    <row r="145" spans="21:21" ht="15.75" customHeight="1" x14ac:dyDescent="0.25">
      <c r="U145" s="48"/>
    </row>
    <row r="146" spans="21:21" ht="15.75" customHeight="1" x14ac:dyDescent="0.25">
      <c r="U146" s="48"/>
    </row>
    <row r="147" spans="21:21" ht="15.75" customHeight="1" x14ac:dyDescent="0.25">
      <c r="U147" s="48"/>
    </row>
    <row r="148" spans="21:21" ht="15.75" customHeight="1" x14ac:dyDescent="0.25">
      <c r="U148" s="48"/>
    </row>
    <row r="149" spans="21:21" ht="15.75" customHeight="1" x14ac:dyDescent="0.25">
      <c r="U149" s="48"/>
    </row>
    <row r="150" spans="21:21" ht="15.75" customHeight="1" x14ac:dyDescent="0.25">
      <c r="U150" s="48"/>
    </row>
    <row r="151" spans="21:21" ht="15.75" customHeight="1" x14ac:dyDescent="0.25">
      <c r="U151" s="48"/>
    </row>
    <row r="152" spans="21:21" ht="15.75" customHeight="1" x14ac:dyDescent="0.25">
      <c r="U152" s="48"/>
    </row>
    <row r="153" spans="21:21" ht="15.75" customHeight="1" x14ac:dyDescent="0.25">
      <c r="U153" s="48"/>
    </row>
    <row r="154" spans="21:21" ht="15.75" customHeight="1" x14ac:dyDescent="0.25">
      <c r="U154" s="48"/>
    </row>
    <row r="155" spans="21:21" ht="15.75" customHeight="1" x14ac:dyDescent="0.25">
      <c r="U155" s="48"/>
    </row>
    <row r="156" spans="21:21" ht="15.75" customHeight="1" x14ac:dyDescent="0.25">
      <c r="U156" s="48"/>
    </row>
    <row r="157" spans="21:21" ht="15.75" customHeight="1" x14ac:dyDescent="0.25">
      <c r="U157" s="48"/>
    </row>
    <row r="158" spans="21:21" ht="15.75" customHeight="1" x14ac:dyDescent="0.25">
      <c r="U158" s="48"/>
    </row>
    <row r="159" spans="21:21" ht="15.75" customHeight="1" x14ac:dyDescent="0.25">
      <c r="U159" s="48"/>
    </row>
    <row r="160" spans="21:21" ht="15.75" customHeight="1" x14ac:dyDescent="0.25">
      <c r="U160" s="48"/>
    </row>
    <row r="161" spans="13:21" ht="15.75" customHeight="1" x14ac:dyDescent="0.25">
      <c r="U161" s="48"/>
    </row>
    <row r="162" spans="13:21" ht="15.75" customHeight="1" x14ac:dyDescent="0.25">
      <c r="U162" s="48"/>
    </row>
    <row r="163" spans="13:21" ht="15.75" customHeight="1" x14ac:dyDescent="0.25">
      <c r="U163" s="48"/>
    </row>
    <row r="164" spans="13:21" ht="15.75" customHeight="1" x14ac:dyDescent="0.25">
      <c r="M164" s="1">
        <f>SUM(M5:M163)</f>
        <v>0</v>
      </c>
      <c r="U164" s="48"/>
    </row>
    <row r="165" spans="13:21" ht="15.75" customHeight="1" x14ac:dyDescent="0.25">
      <c r="U165" s="48"/>
    </row>
    <row r="166" spans="13:21" ht="15.75" customHeight="1" x14ac:dyDescent="0.25">
      <c r="U166" s="48"/>
    </row>
    <row r="167" spans="13:21" ht="15.75" customHeight="1" x14ac:dyDescent="0.25">
      <c r="U167" s="48"/>
    </row>
    <row r="168" spans="13:21" ht="15.75" customHeight="1" x14ac:dyDescent="0.25">
      <c r="U168" s="48"/>
    </row>
    <row r="169" spans="13:21" ht="15.75" customHeight="1" x14ac:dyDescent="0.25">
      <c r="U169" s="48"/>
    </row>
    <row r="170" spans="13:21" ht="15.75" customHeight="1" x14ac:dyDescent="0.25">
      <c r="U170" s="48"/>
    </row>
    <row r="171" spans="13:21" ht="15.75" customHeight="1" x14ac:dyDescent="0.25">
      <c r="U171" s="48"/>
    </row>
    <row r="172" spans="13:21" ht="15.75" customHeight="1" x14ac:dyDescent="0.25">
      <c r="U172" s="48"/>
    </row>
    <row r="173" spans="13:21" ht="15.75" customHeight="1" x14ac:dyDescent="0.25">
      <c r="U173" s="48"/>
    </row>
    <row r="174" spans="13:21" ht="15.75" customHeight="1" x14ac:dyDescent="0.25">
      <c r="U174" s="48"/>
    </row>
    <row r="175" spans="13:21" ht="15.75" customHeight="1" x14ac:dyDescent="0.25">
      <c r="U175" s="48"/>
    </row>
    <row r="176" spans="13:21" ht="15.75" customHeight="1" x14ac:dyDescent="0.25">
      <c r="U176" s="48"/>
    </row>
    <row r="177" spans="21:21" ht="15.75" customHeight="1" x14ac:dyDescent="0.25">
      <c r="U177" s="48"/>
    </row>
    <row r="178" spans="21:21" ht="15.75" customHeight="1" x14ac:dyDescent="0.25">
      <c r="U178" s="48"/>
    </row>
    <row r="179" spans="21:21" ht="15.75" customHeight="1" x14ac:dyDescent="0.25">
      <c r="U179" s="48"/>
    </row>
    <row r="180" spans="21:21" ht="15.75" customHeight="1" x14ac:dyDescent="0.25">
      <c r="U180" s="48"/>
    </row>
    <row r="181" spans="21:21" ht="15.75" customHeight="1" x14ac:dyDescent="0.25">
      <c r="U181" s="48"/>
    </row>
    <row r="182" spans="21:21" ht="15.75" customHeight="1" x14ac:dyDescent="0.25">
      <c r="U182" s="48"/>
    </row>
    <row r="183" spans="21:21" ht="15.75" customHeight="1" x14ac:dyDescent="0.25">
      <c r="U183" s="48"/>
    </row>
    <row r="184" spans="21:21" ht="15.75" customHeight="1" x14ac:dyDescent="0.25">
      <c r="U184" s="48"/>
    </row>
    <row r="185" spans="21:21" ht="15.75" customHeight="1" x14ac:dyDescent="0.25">
      <c r="U185" s="48"/>
    </row>
    <row r="186" spans="21:21" ht="15.75" customHeight="1" x14ac:dyDescent="0.25">
      <c r="U186" s="48"/>
    </row>
    <row r="187" spans="21:21" ht="15.75" customHeight="1" x14ac:dyDescent="0.25">
      <c r="U187" s="48"/>
    </row>
    <row r="188" spans="21:21" ht="15.75" customHeight="1" x14ac:dyDescent="0.25">
      <c r="U188" s="48"/>
    </row>
    <row r="189" spans="21:21" ht="15.75" customHeight="1" x14ac:dyDescent="0.25">
      <c r="U189" s="48"/>
    </row>
    <row r="190" spans="21:21" ht="15.75" customHeight="1" x14ac:dyDescent="0.25">
      <c r="U190" s="48"/>
    </row>
    <row r="191" spans="21:21" ht="15.75" customHeight="1" x14ac:dyDescent="0.25">
      <c r="U191" s="48"/>
    </row>
    <row r="192" spans="21:21" ht="15.75" customHeight="1" x14ac:dyDescent="0.25">
      <c r="U192" s="48"/>
    </row>
    <row r="193" spans="21:21" ht="15.75" customHeight="1" x14ac:dyDescent="0.25">
      <c r="U193" s="48"/>
    </row>
    <row r="194" spans="21:21" ht="15.75" customHeight="1" x14ac:dyDescent="0.25">
      <c r="U194" s="48"/>
    </row>
    <row r="195" spans="21:21" ht="15.75" customHeight="1" x14ac:dyDescent="0.25">
      <c r="U195" s="48"/>
    </row>
    <row r="196" spans="21:21" ht="15.75" customHeight="1" x14ac:dyDescent="0.25">
      <c r="U196" s="48"/>
    </row>
    <row r="197" spans="21:21" ht="15.75" customHeight="1" x14ac:dyDescent="0.25">
      <c r="U197" s="48"/>
    </row>
    <row r="198" spans="21:21" ht="15.75" customHeight="1" x14ac:dyDescent="0.25">
      <c r="U198" s="48"/>
    </row>
    <row r="199" spans="21:21" ht="15.75" customHeight="1" x14ac:dyDescent="0.25">
      <c r="U199" s="48"/>
    </row>
    <row r="200" spans="21:21" ht="15.75" customHeight="1" x14ac:dyDescent="0.25">
      <c r="U200" s="48"/>
    </row>
    <row r="201" spans="21:21" ht="15.75" customHeight="1" x14ac:dyDescent="0.25">
      <c r="U201" s="48"/>
    </row>
    <row r="202" spans="21:21" ht="15.75" customHeight="1" x14ac:dyDescent="0.25">
      <c r="U202" s="48"/>
    </row>
    <row r="203" spans="21:21" ht="15.75" customHeight="1" x14ac:dyDescent="0.25">
      <c r="U203" s="48"/>
    </row>
    <row r="204" spans="21:21" ht="15.75" customHeight="1" x14ac:dyDescent="0.25">
      <c r="U204" s="48"/>
    </row>
    <row r="205" spans="21:21" ht="15.75" customHeight="1" x14ac:dyDescent="0.25">
      <c r="U205" s="48"/>
    </row>
    <row r="206" spans="21:21" ht="15.75" customHeight="1" x14ac:dyDescent="0.25">
      <c r="U206" s="48"/>
    </row>
    <row r="207" spans="21:21" ht="15.75" customHeight="1" x14ac:dyDescent="0.25">
      <c r="U207" s="48"/>
    </row>
    <row r="208" spans="21:21" ht="15.75" customHeight="1" x14ac:dyDescent="0.25">
      <c r="U208" s="48"/>
    </row>
    <row r="209" spans="21:21" ht="15.75" customHeight="1" x14ac:dyDescent="0.25">
      <c r="U209" s="48"/>
    </row>
    <row r="210" spans="21:21" ht="15.75" customHeight="1" x14ac:dyDescent="0.25">
      <c r="U210" s="48"/>
    </row>
    <row r="211" spans="21:21" ht="15.75" customHeight="1" x14ac:dyDescent="0.25">
      <c r="U211" s="48"/>
    </row>
    <row r="212" spans="21:21" ht="15.75" customHeight="1" x14ac:dyDescent="0.25">
      <c r="U212" s="48"/>
    </row>
    <row r="213" spans="21:21" ht="15.75" customHeight="1" x14ac:dyDescent="0.25">
      <c r="U213" s="48"/>
    </row>
    <row r="214" spans="21:21" ht="15.75" customHeight="1" x14ac:dyDescent="0.25">
      <c r="U214" s="48"/>
    </row>
    <row r="215" spans="21:21" ht="15.75" customHeight="1" x14ac:dyDescent="0.25">
      <c r="U215" s="48"/>
    </row>
    <row r="216" spans="21:21" ht="15.75" customHeight="1" x14ac:dyDescent="0.25">
      <c r="U216" s="48"/>
    </row>
    <row r="217" spans="21:21" ht="15.75" customHeight="1" x14ac:dyDescent="0.25">
      <c r="U217" s="48"/>
    </row>
    <row r="218" spans="21:21" ht="15.75" customHeight="1" x14ac:dyDescent="0.25">
      <c r="U218" s="48"/>
    </row>
    <row r="219" spans="21:21" ht="15.75" customHeight="1" x14ac:dyDescent="0.25">
      <c r="U219" s="48"/>
    </row>
    <row r="220" spans="21:21" ht="15.75" customHeight="1" x14ac:dyDescent="0.25">
      <c r="U220" s="48"/>
    </row>
    <row r="221" spans="21:21" ht="15.75" customHeight="1" x14ac:dyDescent="0.25">
      <c r="U221" s="48"/>
    </row>
    <row r="222" spans="21:21" ht="15.75" customHeight="1" x14ac:dyDescent="0.25">
      <c r="U222" s="48"/>
    </row>
    <row r="223" spans="21:21" ht="15.75" customHeight="1" x14ac:dyDescent="0.25">
      <c r="U223" s="48"/>
    </row>
    <row r="224" spans="21:21" ht="15.75" customHeight="1" x14ac:dyDescent="0.25">
      <c r="U224" s="48"/>
    </row>
    <row r="225" spans="21:21" ht="15.75" customHeight="1" x14ac:dyDescent="0.25">
      <c r="U225" s="48"/>
    </row>
    <row r="226" spans="21:21" ht="15.75" customHeight="1" x14ac:dyDescent="0.25">
      <c r="U226" s="48"/>
    </row>
    <row r="227" spans="21:21" ht="15.75" customHeight="1" x14ac:dyDescent="0.25">
      <c r="U227" s="48"/>
    </row>
    <row r="228" spans="21:21" ht="15.75" customHeight="1" x14ac:dyDescent="0.25">
      <c r="U228" s="48"/>
    </row>
    <row r="229" spans="21:21" ht="15.75" customHeight="1" x14ac:dyDescent="0.25">
      <c r="U229" s="48"/>
    </row>
    <row r="230" spans="21:21" ht="15.75" customHeight="1" x14ac:dyDescent="0.25">
      <c r="U230" s="48"/>
    </row>
    <row r="231" spans="21:21" ht="15.75" customHeight="1" x14ac:dyDescent="0.25">
      <c r="U231" s="48"/>
    </row>
    <row r="232" spans="21:21" ht="15.75" customHeight="1" x14ac:dyDescent="0.25">
      <c r="U232" s="48"/>
    </row>
    <row r="233" spans="21:21" ht="15.75" customHeight="1" x14ac:dyDescent="0.25">
      <c r="U233" s="48"/>
    </row>
    <row r="234" spans="21:21" ht="15.75" customHeight="1" x14ac:dyDescent="0.25">
      <c r="U234" s="48"/>
    </row>
    <row r="235" spans="21:21" ht="15.75" customHeight="1" x14ac:dyDescent="0.25">
      <c r="U235" s="48"/>
    </row>
    <row r="236" spans="21:21" ht="15.75" customHeight="1" x14ac:dyDescent="0.25">
      <c r="U236" s="48"/>
    </row>
    <row r="237" spans="21:21" ht="15.75" customHeight="1" x14ac:dyDescent="0.25">
      <c r="U237" s="48"/>
    </row>
    <row r="238" spans="21:21" ht="15.75" customHeight="1" x14ac:dyDescent="0.25">
      <c r="U238" s="48"/>
    </row>
    <row r="239" spans="21:21" ht="15.75" customHeight="1" x14ac:dyDescent="0.25">
      <c r="U239" s="48"/>
    </row>
    <row r="240" spans="21:21" ht="15.75" customHeight="1" x14ac:dyDescent="0.25">
      <c r="U240" s="48"/>
    </row>
    <row r="241" spans="21:21" ht="15.75" customHeight="1" x14ac:dyDescent="0.25">
      <c r="U241" s="48"/>
    </row>
    <row r="242" spans="21:21" ht="15.75" customHeight="1" x14ac:dyDescent="0.25">
      <c r="U242" s="48"/>
    </row>
    <row r="243" spans="21:21" ht="15.75" customHeight="1" x14ac:dyDescent="0.25">
      <c r="U243" s="48"/>
    </row>
    <row r="244" spans="21:21" ht="15.75" customHeight="1" x14ac:dyDescent="0.25">
      <c r="U244" s="48"/>
    </row>
    <row r="245" spans="21:21" ht="15.75" customHeight="1" x14ac:dyDescent="0.25">
      <c r="U245" s="48"/>
    </row>
    <row r="246" spans="21:21" ht="15.75" customHeight="1" x14ac:dyDescent="0.25">
      <c r="U246" s="48"/>
    </row>
    <row r="247" spans="21:21" ht="15.75" customHeight="1" x14ac:dyDescent="0.25">
      <c r="U247" s="48"/>
    </row>
    <row r="248" spans="21:21" ht="15.75" customHeight="1" x14ac:dyDescent="0.25">
      <c r="U248" s="48"/>
    </row>
    <row r="249" spans="21:21" ht="15.75" customHeight="1" x14ac:dyDescent="0.25">
      <c r="U249" s="48"/>
    </row>
    <row r="250" spans="21:21" ht="15.75" customHeight="1" x14ac:dyDescent="0.25">
      <c r="U250" s="48"/>
    </row>
    <row r="251" spans="21:21" ht="15.75" customHeight="1" x14ac:dyDescent="0.25">
      <c r="U251" s="48"/>
    </row>
    <row r="252" spans="21:21" ht="15.75" customHeight="1" x14ac:dyDescent="0.25">
      <c r="U252" s="48"/>
    </row>
    <row r="253" spans="21:21" ht="15.75" customHeight="1" x14ac:dyDescent="0.25">
      <c r="U253" s="48"/>
    </row>
    <row r="254" spans="21:21" ht="15.75" customHeight="1" x14ac:dyDescent="0.25">
      <c r="U254" s="48"/>
    </row>
    <row r="255" spans="21:21" ht="15.75" customHeight="1" x14ac:dyDescent="0.25"/>
    <row r="256" spans="21:21"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sheetData>
  <autoFilter ref="A1:AW115"/>
  <pageMargins left="0.70866141732283472" right="0.70866141732283472" top="0.74803149606299213" bottom="0.74803149606299213" header="0" footer="0"/>
  <pageSetup paperSize="14" orientation="landscape"/>
  <extLst>
    <ext xmlns:x14="http://schemas.microsoft.com/office/spreadsheetml/2009/9/main" uri="{CCE6A557-97BC-4b89-ADB6-D9C93CAAB3DF}">
      <x14:dataValidations xmlns:xm="http://schemas.microsoft.com/office/excel/2006/main" count="1">
        <x14:dataValidation type="list" allowBlank="1" showErrorMessage="1">
          <x14:formula1>
            <xm:f>'Feriados y Comunas'!$C$2:$C$36</xm:f>
          </x14:formula1>
          <xm:sqref>E2:E13 E15:E18 E20:E115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x14ac:dyDescent="0.25"/>
  <cols>
    <col min="1" max="2" width="10.7109375" customWidth="1"/>
    <col min="3" max="3" width="18.7109375" customWidth="1"/>
    <col min="4" max="4" width="12.28515625" customWidth="1"/>
    <col min="5" max="5" width="15.140625" customWidth="1"/>
    <col min="6" max="6" width="10.7109375" customWidth="1"/>
  </cols>
  <sheetData>
    <row r="1" spans="1:4" x14ac:dyDescent="0.25">
      <c r="A1" s="1" t="s">
        <v>0</v>
      </c>
      <c r="C1" s="2" t="s">
        <v>1</v>
      </c>
      <c r="D1" s="2" t="s">
        <v>2</v>
      </c>
    </row>
    <row r="2" spans="1:4" x14ac:dyDescent="0.25">
      <c r="A2" s="4">
        <v>45292</v>
      </c>
      <c r="C2" s="1" t="s">
        <v>3</v>
      </c>
      <c r="D2" s="1" t="s">
        <v>5</v>
      </c>
    </row>
    <row r="3" spans="1:4" x14ac:dyDescent="0.25">
      <c r="A3" s="4">
        <v>45380</v>
      </c>
      <c r="C3" s="1" t="s">
        <v>6</v>
      </c>
      <c r="D3" s="1" t="s">
        <v>5</v>
      </c>
    </row>
    <row r="4" spans="1:4" x14ac:dyDescent="0.25">
      <c r="A4" s="4">
        <v>45413</v>
      </c>
      <c r="C4" s="1" t="s">
        <v>8</v>
      </c>
      <c r="D4" s="1" t="s">
        <v>5</v>
      </c>
    </row>
    <row r="5" spans="1:4" x14ac:dyDescent="0.25">
      <c r="A5" s="4">
        <v>45433</v>
      </c>
      <c r="C5" s="1" t="s">
        <v>9</v>
      </c>
      <c r="D5" s="1" t="s">
        <v>5</v>
      </c>
    </row>
    <row r="6" spans="1:4" x14ac:dyDescent="0.25">
      <c r="A6" s="4">
        <v>45463</v>
      </c>
      <c r="C6" s="1" t="s">
        <v>10</v>
      </c>
      <c r="D6" s="1" t="s">
        <v>5</v>
      </c>
    </row>
    <row r="7" spans="1:4" x14ac:dyDescent="0.25">
      <c r="A7" s="4">
        <v>45489</v>
      </c>
      <c r="C7" s="1" t="s">
        <v>12</v>
      </c>
      <c r="D7" s="1" t="s">
        <v>5</v>
      </c>
    </row>
    <row r="8" spans="1:4" x14ac:dyDescent="0.25">
      <c r="A8" s="4">
        <v>45519</v>
      </c>
      <c r="C8" s="1" t="s">
        <v>13</v>
      </c>
      <c r="D8" s="1" t="s">
        <v>5</v>
      </c>
    </row>
    <row r="9" spans="1:4" x14ac:dyDescent="0.25">
      <c r="A9" s="4">
        <v>45553</v>
      </c>
      <c r="C9" s="1" t="s">
        <v>16</v>
      </c>
      <c r="D9" s="1" t="s">
        <v>5</v>
      </c>
    </row>
    <row r="10" spans="1:4" x14ac:dyDescent="0.25">
      <c r="A10" s="4">
        <v>45554</v>
      </c>
      <c r="C10" s="1" t="s">
        <v>17</v>
      </c>
      <c r="D10" s="1" t="s">
        <v>5</v>
      </c>
    </row>
    <row r="11" spans="1:4" x14ac:dyDescent="0.25">
      <c r="A11" s="4">
        <v>45579</v>
      </c>
      <c r="C11" s="1" t="s">
        <v>19</v>
      </c>
      <c r="D11" s="1" t="s">
        <v>5</v>
      </c>
    </row>
    <row r="12" spans="1:4" x14ac:dyDescent="0.25">
      <c r="A12" s="4">
        <v>45596</v>
      </c>
      <c r="C12" s="1" t="s">
        <v>23</v>
      </c>
      <c r="D12" s="1" t="s">
        <v>24</v>
      </c>
    </row>
    <row r="13" spans="1:4" x14ac:dyDescent="0.25">
      <c r="A13" s="4">
        <v>45597</v>
      </c>
      <c r="C13" s="1" t="s">
        <v>27</v>
      </c>
      <c r="D13" s="1" t="s">
        <v>24</v>
      </c>
    </row>
    <row r="14" spans="1:4" x14ac:dyDescent="0.25">
      <c r="A14" s="4">
        <v>45651</v>
      </c>
      <c r="C14" s="1" t="s">
        <v>30</v>
      </c>
      <c r="D14" s="1" t="s">
        <v>24</v>
      </c>
    </row>
    <row r="15" spans="1:4" x14ac:dyDescent="0.25">
      <c r="A15" s="4">
        <v>45658</v>
      </c>
      <c r="C15" s="1" t="s">
        <v>31</v>
      </c>
      <c r="D15" s="1" t="s">
        <v>24</v>
      </c>
    </row>
    <row r="16" spans="1:4" x14ac:dyDescent="0.25">
      <c r="A16" s="4">
        <v>45765</v>
      </c>
      <c r="C16" s="1" t="s">
        <v>33</v>
      </c>
      <c r="D16" s="1" t="s">
        <v>24</v>
      </c>
    </row>
    <row r="17" spans="1:4" x14ac:dyDescent="0.25">
      <c r="A17" s="4">
        <v>45798</v>
      </c>
      <c r="C17" s="1" t="s">
        <v>34</v>
      </c>
      <c r="D17" s="1" t="s">
        <v>24</v>
      </c>
    </row>
    <row r="18" spans="1:4" x14ac:dyDescent="0.25">
      <c r="A18" s="4">
        <v>45828</v>
      </c>
      <c r="C18" s="1" t="s">
        <v>36</v>
      </c>
      <c r="D18" s="1" t="s">
        <v>24</v>
      </c>
    </row>
    <row r="19" spans="1:4" x14ac:dyDescent="0.25">
      <c r="A19" s="4">
        <v>45854</v>
      </c>
      <c r="C19" s="1" t="s">
        <v>37</v>
      </c>
      <c r="D19" s="1" t="s">
        <v>24</v>
      </c>
    </row>
    <row r="20" spans="1:4" x14ac:dyDescent="0.25">
      <c r="A20" s="4">
        <v>45884</v>
      </c>
      <c r="C20" s="1" t="s">
        <v>38</v>
      </c>
      <c r="D20" s="1" t="s">
        <v>24</v>
      </c>
    </row>
    <row r="21" spans="1:4" ht="15.75" customHeight="1" x14ac:dyDescent="0.25">
      <c r="A21" s="4">
        <v>45918</v>
      </c>
      <c r="C21" s="1" t="s">
        <v>39</v>
      </c>
      <c r="D21" s="1" t="s">
        <v>24</v>
      </c>
    </row>
    <row r="22" spans="1:4" ht="15.75" customHeight="1" x14ac:dyDescent="0.25">
      <c r="A22" s="4">
        <v>45919</v>
      </c>
      <c r="C22" s="1" t="s">
        <v>41</v>
      </c>
      <c r="D22" s="1" t="s">
        <v>24</v>
      </c>
    </row>
    <row r="23" spans="1:4" ht="15.75" customHeight="1" x14ac:dyDescent="0.25">
      <c r="A23" s="4">
        <v>45961</v>
      </c>
      <c r="C23" s="1" t="s">
        <v>42</v>
      </c>
      <c r="D23" s="1" t="s">
        <v>44</v>
      </c>
    </row>
    <row r="24" spans="1:4" ht="15.75" customHeight="1" x14ac:dyDescent="0.25">
      <c r="A24" s="4">
        <v>45999</v>
      </c>
      <c r="C24" s="1" t="s">
        <v>46</v>
      </c>
      <c r="D24" s="1" t="s">
        <v>44</v>
      </c>
    </row>
    <row r="25" spans="1:4" ht="15.75" customHeight="1" x14ac:dyDescent="0.25">
      <c r="A25" s="4">
        <v>46016</v>
      </c>
      <c r="C25" s="1" t="s">
        <v>48</v>
      </c>
      <c r="D25" s="1" t="s">
        <v>44</v>
      </c>
    </row>
    <row r="26" spans="1:4" ht="15.75" customHeight="1" x14ac:dyDescent="0.25">
      <c r="A26" s="4">
        <v>46023</v>
      </c>
      <c r="C26" s="1" t="s">
        <v>50</v>
      </c>
      <c r="D26" s="1" t="s">
        <v>44</v>
      </c>
    </row>
    <row r="27" spans="1:4" ht="15.75" customHeight="1" x14ac:dyDescent="0.25">
      <c r="A27" s="4">
        <v>46115</v>
      </c>
      <c r="C27" s="1" t="s">
        <v>51</v>
      </c>
      <c r="D27" s="1" t="s">
        <v>44</v>
      </c>
    </row>
    <row r="28" spans="1:4" ht="15.75" customHeight="1" x14ac:dyDescent="0.25">
      <c r="A28" s="4">
        <v>46143</v>
      </c>
      <c r="C28" s="1" t="s">
        <v>54</v>
      </c>
      <c r="D28" s="1" t="s">
        <v>44</v>
      </c>
    </row>
    <row r="29" spans="1:4" ht="15.75" customHeight="1" x14ac:dyDescent="0.25">
      <c r="A29" s="4">
        <v>46163</v>
      </c>
      <c r="C29" s="1" t="s">
        <v>56</v>
      </c>
      <c r="D29" s="1" t="s">
        <v>44</v>
      </c>
    </row>
    <row r="30" spans="1:4" ht="15.75" customHeight="1" x14ac:dyDescent="0.25">
      <c r="A30" s="4">
        <v>46202</v>
      </c>
      <c r="C30" s="1" t="s">
        <v>57</v>
      </c>
      <c r="D30" s="1" t="s">
        <v>44</v>
      </c>
    </row>
    <row r="31" spans="1:4" ht="15.75" customHeight="1" x14ac:dyDescent="0.25">
      <c r="A31" s="4">
        <v>46219</v>
      </c>
      <c r="C31" s="1" t="s">
        <v>58</v>
      </c>
      <c r="D31" s="1" t="s">
        <v>60</v>
      </c>
    </row>
    <row r="32" spans="1:4" ht="15.75" customHeight="1" x14ac:dyDescent="0.25">
      <c r="A32" s="4">
        <v>46283</v>
      </c>
      <c r="C32" s="1" t="s">
        <v>63</v>
      </c>
      <c r="D32" s="1" t="s">
        <v>60</v>
      </c>
    </row>
    <row r="33" spans="1:4" ht="15.75" customHeight="1" x14ac:dyDescent="0.25">
      <c r="A33" s="4">
        <v>46307</v>
      </c>
      <c r="C33" s="1" t="s">
        <v>65</v>
      </c>
      <c r="D33" s="1" t="s">
        <v>60</v>
      </c>
    </row>
    <row r="34" spans="1:4" ht="15.75" customHeight="1" x14ac:dyDescent="0.25">
      <c r="A34" s="4">
        <v>46364</v>
      </c>
      <c r="C34" s="1" t="s">
        <v>67</v>
      </c>
      <c r="D34" s="1" t="s">
        <v>60</v>
      </c>
    </row>
    <row r="35" spans="1:4" ht="15.75" customHeight="1" x14ac:dyDescent="0.25">
      <c r="A35" s="4">
        <v>46381</v>
      </c>
      <c r="C35" s="1" t="s">
        <v>69</v>
      </c>
      <c r="D35" s="1" t="s">
        <v>60</v>
      </c>
    </row>
    <row r="36" spans="1:4" ht="15.75" customHeight="1" x14ac:dyDescent="0.25">
      <c r="A36" s="4"/>
      <c r="C36" s="1" t="s">
        <v>70</v>
      </c>
      <c r="D36" s="1" t="s">
        <v>72</v>
      </c>
    </row>
    <row r="37" spans="1:4" ht="15.75" customHeight="1" x14ac:dyDescent="0.25">
      <c r="A37" s="4"/>
    </row>
    <row r="38" spans="1:4" ht="15.75" customHeight="1" x14ac:dyDescent="0.25">
      <c r="A38" s="4"/>
    </row>
    <row r="39" spans="1:4" ht="15.75" customHeight="1" x14ac:dyDescent="0.25">
      <c r="A39" s="4"/>
    </row>
    <row r="40" spans="1:4" ht="15.75" customHeight="1" x14ac:dyDescent="0.25">
      <c r="A40" s="4"/>
    </row>
    <row r="41" spans="1:4" ht="15.75" customHeight="1" x14ac:dyDescent="0.25">
      <c r="A41" s="4"/>
    </row>
    <row r="42" spans="1:4" ht="15.75" customHeight="1" x14ac:dyDescent="0.25">
      <c r="A42" s="4"/>
    </row>
    <row r="43" spans="1:4" ht="15.75" customHeight="1" x14ac:dyDescent="0.25">
      <c r="A43" s="4"/>
    </row>
    <row r="44" spans="1:4" ht="15.75" customHeight="1" x14ac:dyDescent="0.25">
      <c r="A44" s="4"/>
    </row>
    <row r="45" spans="1:4" ht="15.75" customHeight="1" x14ac:dyDescent="0.25">
      <c r="A45" s="4"/>
    </row>
    <row r="46" spans="1:4" ht="15.75" customHeight="1" x14ac:dyDescent="0.25">
      <c r="A46" s="4"/>
    </row>
    <row r="47" spans="1:4" ht="15.75" customHeight="1" x14ac:dyDescent="0.25">
      <c r="A47" s="4"/>
    </row>
    <row r="48" spans="1:4" ht="15.75" customHeight="1" x14ac:dyDescent="0.25">
      <c r="A48" s="4"/>
    </row>
    <row r="49" spans="1:1" ht="15.75" customHeight="1" x14ac:dyDescent="0.25">
      <c r="A49" s="4"/>
    </row>
    <row r="50" spans="1:1" ht="15.75" customHeight="1" x14ac:dyDescent="0.25">
      <c r="A50" s="4"/>
    </row>
    <row r="51" spans="1:1" ht="15.75" customHeight="1" x14ac:dyDescent="0.25">
      <c r="A51" s="4"/>
    </row>
    <row r="52" spans="1:1" ht="15.75" customHeight="1" x14ac:dyDescent="0.25">
      <c r="A52" s="4"/>
    </row>
    <row r="53" spans="1:1" ht="15.75" customHeight="1" x14ac:dyDescent="0.25"/>
    <row r="54" spans="1:1" ht="15.75" customHeight="1" x14ac:dyDescent="0.25"/>
    <row r="55" spans="1:1" ht="15.75" customHeight="1" x14ac:dyDescent="0.25"/>
    <row r="56" spans="1:1" ht="15.75" customHeight="1" x14ac:dyDescent="0.25"/>
    <row r="57" spans="1:1" ht="15.75" customHeight="1" x14ac:dyDescent="0.25"/>
    <row r="58" spans="1:1" ht="15.75" customHeight="1" x14ac:dyDescent="0.25"/>
    <row r="59" spans="1:1" ht="15.75" customHeight="1" x14ac:dyDescent="0.25"/>
    <row r="60" spans="1:1" ht="15.75" customHeight="1" x14ac:dyDescent="0.25"/>
    <row r="61" spans="1:1" ht="15.75" customHeight="1" x14ac:dyDescent="0.25"/>
    <row r="62" spans="1:1" ht="15.75" customHeight="1" x14ac:dyDescent="0.25"/>
    <row r="63" spans="1:1" ht="15.75" customHeight="1" x14ac:dyDescent="0.25"/>
    <row r="64" spans="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2026</vt:lpstr>
      <vt:lpstr>Feriados y Comunas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Haroldt Solervicens Pino</dc:creator>
  <cp:lastModifiedBy>Haroldt Solervicens</cp:lastModifiedBy>
  <dcterms:created xsi:type="dcterms:W3CDTF">2023-01-03T15:01:54Z</dcterms:created>
  <dcterms:modified xsi:type="dcterms:W3CDTF">2026-09-30T14:45:03Z</dcterms:modified>
</cp:coreProperties>
</file>