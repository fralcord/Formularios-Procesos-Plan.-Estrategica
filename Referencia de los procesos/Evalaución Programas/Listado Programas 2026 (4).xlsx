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Mis Archivos\Admisibilidad Programas\Programas 2026\"/>
    </mc:Choice>
  </mc:AlternateContent>
  <bookViews>
    <workbookView xWindow="0" yWindow="0" windowWidth="28800" windowHeight="11100"/>
  </bookViews>
  <sheets>
    <sheet name="Programas 2026" sheetId="1" r:id="rId1"/>
    <sheet name="Feriados y Comunas" sheetId="2" r:id="rId2"/>
  </sheets>
  <definedNames>
    <definedName name="_xlnm._FilterDatabase" localSheetId="0" hidden="1">'Programas 2026'!$A$1:$AX$60</definedName>
  </definedNames>
  <calcPr calcId="162913"/>
  <extLst>
    <ext uri="GoogleSheetsCustomDataVersion2">
      <go:sheetsCustomData xmlns:go="http://customooxmlschemas.google.com/" r:id="rId6" roundtripDataChecksum="B5gOpxVknOaAHDmLik3UqmhM3rTMwFeAQZDWRtCSXLo="/>
    </ext>
  </extLst>
</workbook>
</file>

<file path=xl/calcChain.xml><?xml version="1.0" encoding="utf-8"?>
<calcChain xmlns="http://schemas.openxmlformats.org/spreadsheetml/2006/main">
  <c r="AZ25" i="1" l="1"/>
  <c r="AB25" i="1"/>
  <c r="R25" i="1"/>
  <c r="AZ24" i="1"/>
  <c r="AB24" i="1"/>
  <c r="R24" i="1"/>
  <c r="AZ23" i="1"/>
  <c r="AB23" i="1"/>
  <c r="R23" i="1"/>
  <c r="AZ22" i="1"/>
  <c r="AB22" i="1"/>
  <c r="R22" i="1"/>
  <c r="AZ21" i="1"/>
  <c r="AB21" i="1"/>
  <c r="R21" i="1"/>
  <c r="AB18" i="1" l="1"/>
  <c r="AB19" i="1"/>
  <c r="AB20" i="1"/>
  <c r="AZ28" i="1"/>
  <c r="AZ27" i="1"/>
  <c r="AZ26" i="1"/>
  <c r="AZ20" i="1"/>
  <c r="R20" i="1"/>
  <c r="AZ19" i="1"/>
  <c r="R19" i="1"/>
  <c r="AZ18" i="1"/>
  <c r="R18" i="1"/>
  <c r="AZ17" i="1"/>
  <c r="AB17" i="1"/>
  <c r="R17" i="1"/>
  <c r="AZ16" i="1"/>
  <c r="AB16" i="1"/>
  <c r="AZ15" i="1"/>
  <c r="AB15" i="1"/>
  <c r="AZ14" i="1"/>
  <c r="AB14" i="1"/>
  <c r="AZ13" i="1"/>
  <c r="AB13" i="1"/>
  <c r="AZ12" i="1"/>
  <c r="AB12" i="1"/>
  <c r="R12" i="1"/>
  <c r="AZ11" i="1"/>
  <c r="AB11" i="1"/>
  <c r="R11" i="1"/>
  <c r="AZ10" i="1"/>
  <c r="AB10" i="1"/>
  <c r="R10" i="1"/>
  <c r="AZ9" i="1"/>
  <c r="AB9" i="1"/>
  <c r="AZ8" i="1"/>
  <c r="AB8" i="1"/>
  <c r="R8" i="1"/>
  <c r="AZ7" i="1"/>
  <c r="AB7" i="1"/>
  <c r="R7" i="1"/>
  <c r="AZ6" i="1"/>
  <c r="AB6" i="1"/>
  <c r="R6" i="1"/>
  <c r="AZ5" i="1"/>
  <c r="AB5" i="1"/>
  <c r="R5" i="1"/>
  <c r="AZ4" i="1"/>
  <c r="AB4" i="1"/>
  <c r="R4" i="1"/>
  <c r="AZ3" i="1"/>
  <c r="AB3" i="1"/>
  <c r="R3" i="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Z2" i="1"/>
  <c r="AB2" i="1"/>
  <c r="R2" i="1"/>
</calcChain>
</file>

<file path=xl/sharedStrings.xml><?xml version="1.0" encoding="utf-8"?>
<sst xmlns="http://schemas.openxmlformats.org/spreadsheetml/2006/main" count="444" uniqueCount="228">
  <si>
    <t>Feriados</t>
  </si>
  <si>
    <t>Comuna</t>
  </si>
  <si>
    <t>Código</t>
  </si>
  <si>
    <t>PROVINCIA</t>
  </si>
  <si>
    <t>Puerto Montt</t>
  </si>
  <si>
    <t>Nombre</t>
  </si>
  <si>
    <t>LLANQUIHUE</t>
  </si>
  <si>
    <t>Puerto Varas</t>
  </si>
  <si>
    <t>Provincia</t>
  </si>
  <si>
    <t>Cochamó</t>
  </si>
  <si>
    <t>Calbuco</t>
  </si>
  <si>
    <t>Ingreso Of. Partes</t>
  </si>
  <si>
    <t>Monto M$</t>
  </si>
  <si>
    <t>Maullín</t>
  </si>
  <si>
    <t>Los Muermos</t>
  </si>
  <si>
    <t>Etapa</t>
  </si>
  <si>
    <t>Proceso</t>
  </si>
  <si>
    <t>Fresia</t>
  </si>
  <si>
    <t>Sector</t>
  </si>
  <si>
    <t>Llanquihue</t>
  </si>
  <si>
    <t>Observaciones</t>
  </si>
  <si>
    <t>Frutillar</t>
  </si>
  <si>
    <t>Objetivo del Pladeco</t>
  </si>
  <si>
    <t>Lineamiento ERD</t>
  </si>
  <si>
    <t>Prov. Llanquihue</t>
  </si>
  <si>
    <t>Ancud</t>
  </si>
  <si>
    <t>CHILOÉ</t>
  </si>
  <si>
    <t>Plan del Gobernador</t>
  </si>
  <si>
    <t>Castro</t>
  </si>
  <si>
    <t>H</t>
  </si>
  <si>
    <t>Quellón</t>
  </si>
  <si>
    <t>M</t>
  </si>
  <si>
    <t>Chonchi</t>
  </si>
  <si>
    <t>TOT</t>
  </si>
  <si>
    <t>Quinchao</t>
  </si>
  <si>
    <t>Quemchi</t>
  </si>
  <si>
    <t>Dalcahue</t>
  </si>
  <si>
    <t>Unidad Tecnica</t>
  </si>
  <si>
    <t>Queilén</t>
  </si>
  <si>
    <t>Formulador Proyecto</t>
  </si>
  <si>
    <t>Puqueldón</t>
  </si>
  <si>
    <t>ORD. Ingreso N°</t>
  </si>
  <si>
    <t>Curaco de Vélez</t>
  </si>
  <si>
    <t>Fecha Ord.</t>
  </si>
  <si>
    <t>Prov. Chiloé</t>
  </si>
  <si>
    <t>N° Exped.</t>
  </si>
  <si>
    <t>Osorno</t>
  </si>
  <si>
    <t>OSORNO</t>
  </si>
  <si>
    <t>San Pablo</t>
  </si>
  <si>
    <t>Ingreso Of. Planificación</t>
  </si>
  <si>
    <t>Puyehue</t>
  </si>
  <si>
    <t>Fecha Derivado a Evaluador</t>
  </si>
  <si>
    <t>Puerto Octay</t>
  </si>
  <si>
    <t>Purranque</t>
  </si>
  <si>
    <t>Plazo evaluación</t>
  </si>
  <si>
    <t>Río Negro</t>
  </si>
  <si>
    <t>San Juan de la Costa</t>
  </si>
  <si>
    <t>Derivado Unidad Técnica Evaluadora</t>
  </si>
  <si>
    <t>Prov. Osorno</t>
  </si>
  <si>
    <t>Fecha Derivación</t>
  </si>
  <si>
    <t>Reingreso Depto. Planif.</t>
  </si>
  <si>
    <t>Palena</t>
  </si>
  <si>
    <t>PALENA</t>
  </si>
  <si>
    <t>Fecha Evaluación</t>
  </si>
  <si>
    <t>Chaitén</t>
  </si>
  <si>
    <t>Hualaihué</t>
  </si>
  <si>
    <t>observaciones Ord. Gore N°</t>
  </si>
  <si>
    <t>Futaleufú</t>
  </si>
  <si>
    <t xml:space="preserve">Fecha  Ord. </t>
  </si>
  <si>
    <t>Prov. Palena</t>
  </si>
  <si>
    <t>Fecha Ficha Evaluación</t>
  </si>
  <si>
    <t>Regional</t>
  </si>
  <si>
    <t>Informa</t>
  </si>
  <si>
    <t>REGIONAL</t>
  </si>
  <si>
    <t>Ord.Resp. Obs.</t>
  </si>
  <si>
    <t>N° EXP.</t>
  </si>
  <si>
    <t>Ingreso Oficina</t>
  </si>
  <si>
    <t>ORD. GORE                    Observaciones</t>
  </si>
  <si>
    <t xml:space="preserve">Fecha Ord. </t>
  </si>
  <si>
    <t>Ord. Informa Pertinencia</t>
  </si>
  <si>
    <t>Fecha ORD.</t>
  </si>
  <si>
    <t>Estado Proyecto SEGÚN Haroldt</t>
  </si>
  <si>
    <t>Dentro de 15 días</t>
  </si>
  <si>
    <t>Transferencia Uso Eficiente de la Calefacción Residencial, Macro Zona Norte</t>
  </si>
  <si>
    <t>Ejecución</t>
  </si>
  <si>
    <t>Recursos Naturales</t>
  </si>
  <si>
    <t>OK - Oficio 262 06-02-2026</t>
  </si>
  <si>
    <t xml:space="preserve">Se encuentra dentro de la ERD en:
Lineamiento: Bienestar Socio territorial
Ítem: Medio Ambiente y Eficiencia energética.
Obj.: Mejorar la calidad del aire por medio de la reducción de emisiones de los sistemas de calefacción, especialmente en las áreas urbanas.
Actividad: No hay.
</t>
  </si>
  <si>
    <t xml:space="preserve">Se enlaza con el programa del Gobernador Regional en el 
- Pilar 4. Protección del Medio Ambiente. 
- Letra ab) Energías Renovables: Fomentar el uso de energías limpias y renovables para reducir nuestra huella de carbono.
</t>
  </si>
  <si>
    <t>Medio Ambiente</t>
  </si>
  <si>
    <t>1302                                3044</t>
  </si>
  <si>
    <t>17-06-2025                          13-11-2025</t>
  </si>
  <si>
    <t>13-06-2025                       07-11-2025</t>
  </si>
  <si>
    <t>OBSERVADO</t>
  </si>
  <si>
    <t>5033                  143</t>
  </si>
  <si>
    <t>07-08-2025                     09-01-2026</t>
  </si>
  <si>
    <t>10-10-2025                   16-01-2026</t>
  </si>
  <si>
    <t>RECOMENDADO</t>
  </si>
  <si>
    <t>Prevencion y Detección Temprana del Cancer</t>
  </si>
  <si>
    <t>Salud</t>
  </si>
  <si>
    <t>OK - Oficio 540 18-03-2026 (Derivado a DIDESOH)</t>
  </si>
  <si>
    <t xml:space="preserve">Se encuentra dentro de los lineamientos de la ERD en:
Bienestar Socio territorial
Ítem: Salud.
Obj.: Ampliar la cobertura de atención primaria en salud en las comunas de la región. Aumentar oferta de especialistas en CESFAM.
Actividad: No hay.
</t>
  </si>
  <si>
    <t xml:space="preserve">Se enlaza con el programa del Gobernador Regional en el 
- Pilar: 3. Inclusión Social y Mejoramiento de la Calidad de Vida.
- Letra:  e) Acceso a Servicios de Salud: Ampliar y mejorar la red de servicios de salud, especialmente en zonas rurales, garantizando atención médica de calidad para todos. 
</t>
  </si>
  <si>
    <t>Municipalidad Puerto Montt</t>
  </si>
  <si>
    <t>1964                           3073</t>
  </si>
  <si>
    <t>12-08-2025                           14-11-2025</t>
  </si>
  <si>
    <t>08-08-2025                         14-11-2025</t>
  </si>
  <si>
    <t>2372                             128</t>
  </si>
  <si>
    <t>16-10-2025                  11-02-2026</t>
  </si>
  <si>
    <t>16-10-2025                      13-02-2026</t>
  </si>
  <si>
    <t>Transferencia Fortalecimiento de la Internacionalización  de PYMES Region de Los Lagos</t>
  </si>
  <si>
    <t>Multisectorial</t>
  </si>
  <si>
    <t>OK - Oficio 966 27-04-2026</t>
  </si>
  <si>
    <t xml:space="preserve">Se encuentra dentro de los lineamientos de la ERD en:
Competitividad Regional Sustentable.
Ítem: Diversificación de la Matriz Productiva con Enfoque Sustentable.
Obj.: Potenciar la tecnificación del sector ganadero y de lácteos para diversificar y consolidar sus productos con valor agregado en mercados externos.
Actividad: Programa de tecnificación dirigido a la sector ganadero y lácteos con enfoque de exportación.
Capital Humano Calificado.
Ítem: Acceso a capacitación en emprendimiento y áreas prioritarias.
Obj: Mejorar la oferta de capacitación para mejorar y fomentar el emprendimiento local.
Actividad: No Hay.
</t>
  </si>
  <si>
    <t>Se enlaza con el programa del Gobernador Regional en el 
- Pilar 2. Desarrollo Económico Sostenible: una Alianza Público-Privada. 
- Letra b) Potenciar los desarrollos locales: incentivar la creatividad de los pequeños y medianos emprendedores mediante programas para escalar sus iniciativas</t>
  </si>
  <si>
    <t>Prochile</t>
  </si>
  <si>
    <t>894
2323
3042</t>
  </si>
  <si>
    <t>13-05-2025
08-09-2025
13-11-2025</t>
  </si>
  <si>
    <t>09-05-2025
05-09-2025 
07-11-2025</t>
  </si>
  <si>
    <t>3
4
206</t>
  </si>
  <si>
    <t>14-08-2025
24-09-2025
27-03-2026</t>
  </si>
  <si>
    <t>14-08-2025
24-09-2025
31-03-2026</t>
  </si>
  <si>
    <t>OK</t>
  </si>
  <si>
    <t>Transferencia Apoyo Salud Integral e Inclusión Social de Personas del Espectro Autista</t>
  </si>
  <si>
    <t>OK - Oficio 1014 04-05-2026</t>
  </si>
  <si>
    <t xml:space="preserve">Se enlaza con el programa del Gobernador Regional en el Priorización de Inversiones Sectoriales y del FNDR para Nuevos Desafíos, Acción: Proyectos que aporten a la equidad territorial. 
</t>
  </si>
  <si>
    <t>Servicio Salud Osorno</t>
  </si>
  <si>
    <t xml:space="preserve">2287                        
2992                    
2985                   
259     </t>
  </si>
  <si>
    <t>25-09-2024               11-12-2024                 07-11-2025                  05-02-2026</t>
  </si>
  <si>
    <t>26-09-2024                     29-11-2024                     07-11-2025                    05-02-2026</t>
  </si>
  <si>
    <t>2945
4200
1304</t>
  </si>
  <si>
    <t>12-09-2025
28-11-2025
30-04-2026</t>
  </si>
  <si>
    <t>29-09-2025
22-01-2026
30-04-2026</t>
  </si>
  <si>
    <t>2287                        2992                    2985
259</t>
  </si>
  <si>
    <t>25-09-2024               11-12-2024                 07-11-2025
05-02-2026</t>
  </si>
  <si>
    <t>Prevencion del Delito en los barrios: Fortalecimiento del vinculo Comunidad y Carabinertos de Chile.</t>
  </si>
  <si>
    <t>Seguridad</t>
  </si>
  <si>
    <t>OK - Oficio 1474 16-06-2026</t>
  </si>
  <si>
    <t xml:space="preserve">Se encuentra dentro de los lineamientos de la ERD en:
Bienestar Socio territorial.
Ítem: Espacio Publico y Equipamiento.
Obj: Reducir el número de delitos de mayor connotación social en la Región.
Actividad: No Hay.
</t>
  </si>
  <si>
    <t xml:space="preserve">Se enlaza con el programa del Gobernador Regional en el 
- Pilar 1. Políticas Públicas en Materia de Seguridad Ciudadana.
- Letra b) Prevención del Delito: Implementar programas de prevención en colaboración con las comunidades locales, escuelas y organizaciones sociales.
</t>
  </si>
  <si>
    <t>Carabineros de Chile</t>
  </si>
  <si>
    <t xml:space="preserve">Municipalidad Puerto Montt </t>
  </si>
  <si>
    <t>Protección y Atención Integral al Desarrollo Infanto Adolecente TEA.</t>
  </si>
  <si>
    <t>OK - Oficio 1568 24-06-2026</t>
  </si>
  <si>
    <t xml:space="preserve">Se encuentra dentro de los lineamientos de la ERD:
Bienestar Socio territorial
Ítem: Salud.
Obj.: Ampliar la cobertura de atención primaria en salud en las comunas de la región. 
Aumentar oferta de especialistas en CESFAM.
Actividad: No hay.
</t>
  </si>
  <si>
    <t xml:space="preserve">Se enlaza con el programa del Gobernador Regional:
Pilar 3. Inclusión Social y Mejoramiento de la Calidad de Vidas.
Letra e) Acceso a Servicios de Salud: Ampliar y mejorar la red de servicios de salud, especialmente en zonas rurales, garantizando atención médica de calidad para todos. 
</t>
  </si>
  <si>
    <t>Servicio Salud Chiloe</t>
  </si>
  <si>
    <t>2982
294
808</t>
  </si>
  <si>
    <t>07-11-2025
09-02-2026
15-04-2026</t>
  </si>
  <si>
    <t>07-11-2025
06-02-2026
15-04-2026</t>
  </si>
  <si>
    <t>1974
125
661</t>
  </si>
  <si>
    <t>12-09-2025
16-01-2026
02-04-2026</t>
  </si>
  <si>
    <t>16-06-2025
16-01-2026
02-04-2026</t>
  </si>
  <si>
    <t>Pesca</t>
  </si>
  <si>
    <t xml:space="preserve">Se encuentra dentro de los lineamientos de la ERD en:
Competitividad Regional Sustentable.
Ítem: Apoyo al emprendimiento y al Empleo Local.
Obj.: Mayor apoyo financiero y asociatividad entre emprendedores de la región.
Actividad: Programa de acompañamiento a los emprendedores.
</t>
  </si>
  <si>
    <t>Capacitación Fomento Productivo, Asesoria Tecnica y Comercial al Turismo Natural y Cultural en Zonas de Rezago (ZDR)</t>
  </si>
  <si>
    <t>Turismo</t>
  </si>
  <si>
    <t>Obs. Comité 17-04-26. 1. De acuerdo al instructivo de pertinencia de programas establecidos en la Res. Ex. 2645 del 28-06-25, los programas deben presentar Oficio Conductor, Perfil, Presupuesto detallado y Términos Técnicos de Referencia, los cuales deben estar en el Banco Integrado de Proyectos. Con el objeto de realizar un análisis de pertinencia y técnico de la iniciativa. Por lo tanto, se solicita:
● Incorporar perfil.
● Adjuntar Términos Técnicos de Referencia.
● Anexar Presupuesto Desglosado.
● Oficio Conductor.
● Adjuntar la documentación al BIP.
2. Adjuntar la Documentación al BIP.</t>
  </si>
  <si>
    <t>Se encuentra dentro de los lineamientos de la ERD en:
Competitividad Regional Sustentable.
Ítem: Desarrollo Turístico Sustentable.
Obj.: Ampliar la cobertura de la oferta de servicios turísticos locales con base en los atributos naturales y culturales de la región.
Actividad: Programa de fortalecimiento de idiomas para el turismo.
Se enlaza con la política de Turismo e Imagen Región en:
Eje Desarrollo y mejora competitividad de los destinos turísticos y sustentabilidad.
Programa: Formalización y competitividad de la Oferta de servicios Turísticos sustentables.
Iniciativa: Intervención para el desarrollo del turismo rural como fuente prioritaria de ingresos en territorios rurales.
Plan de Zonas Rezagada de Territorio Insulares. - SI</t>
  </si>
  <si>
    <t xml:space="preserve">Se enlaza con el programa del Gobernador Regional en el 
- Pilar 2. Desarrollo Económico Sostenible: una Alianza Público-Privada. 
- Letra b) Potenciar los desarrollos locales: incentivar la creatividad de los pequeños y medianos emprendedores mediante programas para escalar sus iniciativas
</t>
  </si>
  <si>
    <t>Indap</t>
  </si>
  <si>
    <t>2855
896
841</t>
  </si>
  <si>
    <t>20-11-2024
13-05-2025
16-04-2026</t>
  </si>
  <si>
    <t>15-11-2024
09-05-2025
17-04-2026</t>
  </si>
  <si>
    <t>4190
418
1221</t>
  </si>
  <si>
    <t>23-10-2024
27-01-2025
10-04-2026</t>
  </si>
  <si>
    <t xml:space="preserve">112244/2024
113356/2025
</t>
  </si>
  <si>
    <t>24-10-2024
29-01-2025
10-04-2026</t>
  </si>
  <si>
    <t xml:space="preserve">Se encuentra dentro de la Política Regional de Adulto Mayor en
Lineamiento: Salud 
Obj.: Mejorar la calidad de vida de las personas mayores en situación de discapacidad en la región, mediante la promoción de la salud y la prevención de enfermedades.
Actividad: Sistema de acceso oportuno a atención de salud de calidad para personas mayores.
</t>
  </si>
  <si>
    <t xml:space="preserve">Se encuentra dentro de los lineamientos de la ERD en:
Bienestar Socio territorial. (Solo a nivel de definición)
Ítem: No hay.
Obj.: No hay.
Actividad: No hay.
</t>
  </si>
  <si>
    <t xml:space="preserve">Se enlaza con el programa del Gobernador Regional en el 
- Pilar 3. Inclusión Social y Mejoramiento de la Calidad de Vida. 
- Letra c) Programas de Apoyo Social: Desarrollar Iniciativas para apoyar a los sectores mas vulnerables de nuestra comunidad. 
</t>
  </si>
  <si>
    <t>Se enlaza con el programa del Gobernador Regional en el 
- Pilar 2. Desarrollo Económico Sostenible: una Alianza Público-Privada. 
- Letra b)Potenciar los desarrollos locales: incentivar la creatividad de los pequeños y medianos emprendedores mediante programas dirigidos específicamente para escalar sus iniciativas.</t>
  </si>
  <si>
    <t xml:space="preserve">Se encuentra dentro de los lineamientos de la ERD en:
Competitividad Regional Sustentable.
Ítem: Apoyo al emprendimiento y al Empleo Local.
Obj.: Mayor apoyo financiero y asociatividad entre emprendedores de la región.
Actividad: Programa de acompañamiento a los emprendedores.
Capital Humano Calificado.
Ítem: Acceso a capacitación en emprendimiento y áreas prioritarias.
Obj: Mejorar la oferta de capacitación para mejorar y fomentar el emprendimiento local.
Actividad: No Hay.
</t>
  </si>
  <si>
    <t xml:space="preserve">Se enlaza con el programa del Gobernador Regional en el 
- Pilar 2. Desarrollo Económico Sostenible: una Alianza Público-Privada. 
- Letra f) Fondo de Emprendimiento Regional: Establecer un fondo destinado a apoyar a emprendedores locales con un enfoque especial en mujeres y jóvenes. </t>
  </si>
  <si>
    <t>Saneamiento Regularización Asentamientos de Chonchi</t>
  </si>
  <si>
    <t>vivienda</t>
  </si>
  <si>
    <t xml:space="preserve">Obs. Comité 14-05-25. 1. El presente programa no se encuentra amparado en las glosas definidas para los Gobiernos Regionales ni especificados los programas a financiar. “La oferta programática de cada Gobierno Regional deberá respetar el principio de coherencia de las políticas públicas nacionales, coordinación, unidad de acción, eficiencia y eficacia, evitando la duplicidad o interferencia de funciones con otros órganos de la administración del estado”. Como en este caso es Bienes Nacionales. 2. Explorar financiamiento por medio de acciones concurrentes. </t>
  </si>
  <si>
    <t>Municipalidad Chonchi</t>
  </si>
  <si>
    <t>Protección Humedales Urbanos de la Región de Los Lagos</t>
  </si>
  <si>
    <t>Obs. Comité 06-02-26.1. Del Diagnóstico:
- Falta fuente de información al señalar limitaciones operativas del MMA.
2. Del Diagnóstico de la necesidad:
- No se indica el año de referencia para los 21 humedales reconocidos.
- No se informa cuántos humedales están judicializados.
- Falta componente educativo explícito para colegios y ciudadanía.
3. De la Población beneficiaria:
- Se debe aclarar si se trabajará sólo con colegios con certificación ambiental.
- Inconsistencia entre beneficiarios directos e indirectos en distintos apartados.
4. Estrategia de intervención – Componentes 1 y 2:
- Dudas sobre si talleres se limitan a los humedales piloto.
- Ambigüedad sobre si todos los componentes se aplican solo a humedales piloto.
5. Indicadores y vinculación:
- No se aclara si los 20 talleres son en total o por comuna.
- Confusión en el concepto de plan piloto y si estos conversarán en futuro con los Planes de Gestión Integral (PGI) que mandatada por la Ley de Humedales Urbanos.).
6. De la Asamblea Climática:
7. No se especifican los humedales a intervenir:
- El programa no identifica cuáles humedales serán abordados. Aunque se mencionan 35 en análisis, no hay una selección clara ni priorización definida.
8. Falta desagregación por humedal:
- No se detallan actividades específicas ni criterios de priorización por humedal. Esto limita la trazabilidad territorial.
9. Limitado alcance de intervención directa:
- Solo al menos 2 humedales serán parte de planes piloto, lo que limita el impacto directo del programa
10. Adjuntar la Documentación al BIP.</t>
  </si>
  <si>
    <t xml:space="preserve">Se encuentra dentro de los lineamientos de la ERD en:
Ordenamiento territorial sustentable y resiliente.
Ítem: Protección del patrimonio natural.
Obj.: Promover el reconocimiento de los humedales urbanos por parte de los municipios Ley Nº21.202 sobre Humedales Urbanos.                          Política de Sostenibilidad Hídrica de la Región de Los Lagos (2021)
- Seguridad hídrica para los ecosistemas.
- Estrategia de acceso al agua para la prevención de eventos extremos: “Evaluar el rol hidráulico de los humedales urbanos.
Actividad: Programa de tecnificación dirigido a la sector ganadero y lácteos con enfoque de exportación.
</t>
  </si>
  <si>
    <t xml:space="preserve">Se enlaza con el programa del Gobernador Regional en el 
- Pilar 4. Protección del Medio Ambiente. 
- Letra a) Conservación de Recursos Naturales: Promover prácticas sostenibles y la conservación de nuestros ecosistemas.
</t>
  </si>
  <si>
    <t>1301                      260</t>
  </si>
  <si>
    <t>17-06-2025                         05-02-2026</t>
  </si>
  <si>
    <t>13-06-2025                        05-02-2026</t>
  </si>
  <si>
    <t>Capacitación Plan Comunicacional y Socio educación Ambiental, Castro</t>
  </si>
  <si>
    <t>Obs. Comité 06-02-26.1. Diagnóstico y Definición del Problema.
- Redefinir el problema del programa de acuerdo a metodología no como la "falta de un plan comunicacional y capacidad para realizar jornadas".
2. Análisis de Población
- Ajustar la población potencial ya que el programa es comunal no provincial. Por tanto, limitarse a quienes presentan el problema en el área de influencia directa. (objetivo y beneficiarios directos).
3. Estrategia
- Justificar la viabilidad operativa de los 900 talleres en 24 meses (37 talleres mensuales).
4. De la MML
- Redefinir el propósito no puede ser realizar los 900 talleres.
- Revisar la coherencia entre propósito, componente y actividades, 
- El indicador del componente 1 debe ser de eficacia no de asistentes a los talleres, (Nro de talleres realizados v/s Planificados).
5. De los TTR.
- Inconsistencia de la duración entre la ficha IDI, Perfil y TTR (son 24 o 30 meses).
- Se reitera inconsistencia entre talleres e indicadores.
- Ajustar el indicador de impacto, meta del 2% para una línea base del 0,1% es optimista, incorporar metas intermedias.
- Especificar método de rendición de cuentas.
6. Adjuntar la Documentación al BIP.</t>
  </si>
  <si>
    <t>Municipalidad Castro</t>
  </si>
  <si>
    <t>2058                          261</t>
  </si>
  <si>
    <t>19-08-2025                       05-02-2026</t>
  </si>
  <si>
    <t>08-08-2025                     05-02-2026</t>
  </si>
  <si>
    <t>Transferencia Centro de Referencia Oncologica Integral Prov. Osorno</t>
  </si>
  <si>
    <t>Obs. Comité 06-02-26.● Se reiteran las observaciones anteriores, ya que no se encuentra documentación cargada en el Bip, imposibilitando realizar un análisis técnico de la iniciativa..
● De acuerdo al instructivo de pertinencia de programas establecidos en la Res. Ex. 2645 del 28-06-25, los programas deben presentar Oficio Conductor, Perfil, Presupuesto detallado y Términos Técnicos de Referencia, los cuales deben estar en el Banco Integrado de Proyectos. Con el objeto de realizar un análisis de pertinencia y técnico de la iniciativa. Por lo tanto, se solicita:
●          Incorporar perfil.
● Adjuntar Términos Técnicos de Referencia.
● Anexar Presupuesto Desglosado.
● Oficio Conductor.
● Adjuntar la documentación al BIP.</t>
  </si>
  <si>
    <t>2987                         257</t>
  </si>
  <si>
    <t>07-11-2025                      05-02-2026</t>
  </si>
  <si>
    <t>07-11-2025                             05-02-2026</t>
  </si>
  <si>
    <t>Transferencia Fortalecimiento del Turismo Rural de San La Costa.</t>
  </si>
  <si>
    <t>Obs. Comité 19-12-25. 1. Falta Profesional Experto
Se requerirá un profesional, dada las limitaciones de Infraestructura para tener las resoluciones
sanitarias, parece necesario incorporar un asesor experto en la materia que gestione, facilite
y asesore a la Unidad Ejecutoras y a los beneficiarios, que acompañe en la gestión de la
Resolución Sanitaria, hasta obtenerla y hasta el término del programa.
2. Justificar el destino de experiencia técnica a la Isla de Pascua:
El perfil del programa contempla en el componente “Acceso a Mercados y Visibilidad
Turística Comercial”; la realización de dos giras técnicas bajo el ítem “Acciones de visitas y
aprendizaje en terreno”.
La Gira a la Isla de Pascua tiene un costo de 35 millones para 15 personas, consume casi un
7.4% del presupuesto total del programa, lo cual si miramos el diagnóstico que se presenta, lo
más críticos es la infraestructura habilitante, considerando necesario (baños, cocinas).
Se considera un costo unitario de 2.3 millones por persona lo que es un costo elevado, además
no se justifica como llegaron a priorizar esas 15 personas de los 110 beneficiarios, porque
algunos pueden participar y otros no, cual es el criterio de selección.
Se recomienda tres alternativas, si tuviera que reemplazar la Gira a Isla de Pascua:
a) Valle del Elqui (Región de Coquimbo)
Esta alternativa tiene relación con la compra de un domo planetario móvil y capacitación
en astronomía, a diferencia de Isla de Pascua que no es el referente nacional en astroturismo
comercial, en cambio el Valle del Elqui si lo es.
b) Curarrehue y Pucón (Región de la Araucanía)
Esta alternativa refuerza el componente de la pertinencia cultural. Curarrehue es un referente
turismo Indígena de alta gama y gastronomía con identidad (red de turismo mapuche).
c) Archipiélago de Chiloé (Región de Los Lagos) Esta alternativa comparte condiciones
geográficas (borde costero, clima) y culturales (fuerte sincretismo y presencia Williche) con
San Juan de la Costa.</t>
  </si>
  <si>
    <t>Municipalidad San Juan de La Costa</t>
  </si>
  <si>
    <t>Programa de Transferencia Sector Bentónico Artesanal de Los
Lagos.</t>
  </si>
  <si>
    <t>Obs. Comité 19-12-25.  1.	De acuerdo al instructivo de pertinencia de programas establecidos en la Res. Ex. 2645 del 28-06-25, los programas deben presentar Oficio Conductor, Perfil, Presupuesto detallado y Términos Técnicos de Referencia, los cuales deben estar en el Banco Integrado de Proyectos. Con el objeto de realizar un análisis de pertinencia y técnico de la iniciativa. Por lo tanto, se solicita:
2.	Incorporar perfil.
3.	Adjuntar Términos Técnicos de Referencia.
4.	Anexar Presupuesto Desglosado.
5.	Oficio Conductor.
6.	Adjuntar la Documentación al BIP.</t>
  </si>
  <si>
    <t>INDESPA</t>
  </si>
  <si>
    <t>Programa de Asistencia Técnica para la Pesca Artesanal de la
Región de Los Lagos”.</t>
  </si>
  <si>
    <t xml:space="preserve"> Obs. Comité 19-12-25. 1.	De acuerdo al instructivo de pertinencia de programas establecidos en la Res. Ex. 2645 del 28-06-25, los programas deben presentar Oficio Conductor, Perfil, Presupuesto detallado y Términos Técnicos de Referencia, los cuales deben estar en el Banco Integrado de Proyectos. Con el objeto de realizar un análisis de pertinencia y técnico de la iniciativa. Por lo tanto, se solicita:
2.	Incorporar perfil.
3.	Adjuntar Términos Técnicos de Referencia.
4.	Anexar Presupuesto Desglosado.
5.	Oficio Conductor.
6.	Adjuntar la Documentación al BIP.</t>
  </si>
  <si>
    <t xml:space="preserve">Transferencia Mecanización Agrícola, Provincia de Osorno. </t>
  </si>
  <si>
    <t>Obs. Comité 19-12-25.  1.	De acuerdo al instructivo de pertinencia de programas establecidos en la Res. Ex. 2645 del 28-06-25, los programas deben presentar Oficio Conductor, Perfil, Presupuesto detallado y Términos Técnicos de Referencia, los cuales deben estar en el Banco Integrado de Proyectos. Con el objeto de realizar un análisis de pertinencia y técnico de la iniciativa. Por lo tanto, se solicita:
2.	Incorporar perfil.
3.	Adjuntar Términos Técnicos de Referencia.
4.	Anexar Presupuesto Desglosado.
5.	Oficio Conductor.
6.	Adjuntar la Documentación al BIP.
Aun cuanto la información proporcionada por la entidad formuladora es de carácter informal podemos sugerir.
- La separación de subtítulos es un requisito técnico indispensable para la admisibilidad financiera del programa, garantizando que los gastos operacionales cuenten con la cobertura legal de las Transferencias Corrientes (Glosa 06) y que la inversión en activos fijos se mantenga íntegra en Transferencias de Capital (Glosa 11 y generales de inversión), evitando observaciones de legalidad por parte de la Dirección de Presupuestos o Contraloría General de la República.
- Al igual se sugiere incorporar convenio de colaboración con INDAP como Unidad Técnica.
- Respecto al diagnóstico, problema y estrategia: El documento menciona que la falta de mecanización limita la "soberanía alimentaria". Si bien es un argumento válido a nivel de Fin, se debe tener cuidado de no sobre-prometer este impacto a nivel de Propósito si no se acompaña de estrategias de comercialización o acceso a agua (aunque se menciona articulación con riego, esta es externa al programa).
- De la Población Potencial y Objetivo: Al igualar la PO a la Población Beneficiaria (57 comunidades), se está ocultando la brecha real que el Estado deja sin atender.
- De los indicadores: Revisar y precisar indicador de propósito ya que es intermedio. No mide el impacto final de la intervención.</t>
  </si>
  <si>
    <t>CONADI</t>
  </si>
  <si>
    <t>Programa Continuidad de Funcionamiento Servicio de Referencia Oncologica</t>
  </si>
  <si>
    <t xml:space="preserve">Obs. Comité 23-06-26. 1. En primer lugar, es importante señalar que el programa anterior (N° 40057611-0) ya presenta un compromiso de continuidad, tal como se encuentra estipulado en la página 8 de los Términos de Referencia (TTR).
En cuanto a su alcance y proyección, este programa abarca a toda la Provincia de Chiloé a través de instalaciones físicas ubicadas en la comuna de Ancud. Estas instalaciones dependen del Hospital de Ancud, debido a que en dicho recinto se encuentran activas las prestaciones de quimioterapia oral a cargo de la Hematóloga del centro. Además, se proyecta a mediano plazo que sea en el nuevo Hospital de Ancud donde se le dé continuidad definitiva a este programa tras sus actuales 24 meses de ejecución.
</t>
  </si>
  <si>
    <t>SSChiloe</t>
  </si>
  <si>
    <t>SSChailoe</t>
  </si>
  <si>
    <t>Transferencia Mef Seadfood: Consolidacion de Unidades Productivas Formales Fotalecimiento de Beneficiarias</t>
  </si>
  <si>
    <t>Se encuentra dentro del lineamiento "Competitividad Regional Sustentable"
Item: Diversificación de la matriz productiva con enfoque sustentable
Objetivo: Constribuir al desarrollo económico sostenible, la autonomía económica y la equidad de género en el borde costero de la Región.</t>
  </si>
  <si>
    <t>Se enlaza con Desarrollo Económico Sostenible
b)Potenciar los desarrollos locales: incentivar la creatividad de los pequeños y medianos emprendedores mediante programas dirigidos específicamente para escalar sus iniciativas</t>
  </si>
  <si>
    <t>Sercotec</t>
  </si>
  <si>
    <t>Transferencia Emporios Rurales en la Región de Los Lagos</t>
  </si>
  <si>
    <t>Transferencia desarrollo de tu barrio Comercial Región de Los Lagos</t>
  </si>
  <si>
    <t xml:space="preserve">Obs. Comité 04-09-26. 1. De conformidad con el Instructivo de Pertinencia de Programas, aprobado mediante la Res. Ex. N° 2645 del 28/06/2025, la iniciativa debe disponer en la plataforma del Banco Integrado de Proyectos (BIP) de los antecedentes mínimos obligatorios para efectuar su correcta evaluación técnica y de pertinencia. Por lo anterior, se solicita incorporar a la plataforma la siguiente documentación:
2. Perfil: Información técnica de la propuesta cargada y completada en el sistema.
3. Términos Técnicos de Referencia (TTR): Documento formal con el alcance de la ejecución.
4. Presupuesto desglosado: Detalle e ítemizado del cálculo de los costos proyectados.
5. Oficio conductor: Remisión debidamente firmado por la autoridad competente.
De igual forma se sugiere aclarar:
6. Ficha IDI debe presentar a la etapa de ejecución.
7. Identificar claramente, si las 25 unidades productivas corresponden a 25 mujeres, ¿cómo lo indica la ficha IDI? Ya que además se indica que hay una población objetivo de 28 salas. De igual forma se indica que habrá una población potencial de 12.000 mujeres, por lo que no deja claro si podrían ser más mujeres o no. Se contradice en temas de cuantificación ya que indica 100 personas, 25 familias, un promedio de 4 personas, pero a la vez en la ficha IDI indica 25 mujeres beneficiadas. No se entiende en definitiva cuantos serán los beneficiarios.
8. Población: Debe identificar y detallar los beneficiaros directos, la cantidad de beneficiarios por provincia o comuna
9. Identificar como el programa seguirá ejecutando, después de los 24 meses
10. Presentar carta de compromiso, que indique el compromiso con el programa.
11. Incorporar cronograma.
12. Adjuntar Presupuesto en archivo aparte.
13. Anexar perfil de cargos a honorarios, si los hubiera en el presupuesto, si no presenta el detalle y cotizaciones, no se puede identificar si corresponde o no los gastos.
14. Adjuntar la Documentación al BIP.
</t>
  </si>
  <si>
    <t xml:space="preserve">Obs. Comité 04-09-26.1. De conformidad con el Instructivo de Pertinencia de Programas, aprobado mediante la Res. Ex. N° 2645 del 28/06/2025, la iniciativa debe disponer en la plataforma del Banco Integrado de Proyectos (BIP) de los antecedentes mínimos obligatorios para efectuar su correcta evaluación técnica y de pertinencia. Por lo anterior, se solicita incorporar a la plataforma la siguiente documentación:
2. Perfil: Información técnica de la propuesta cargada y completada en el sistema.
3. Términos Técnicos de Referencia (TTR): Documento formal con el alcance de la ejecución.
4. Presupuesto desglosado: Detalle e ítemizado del cálculo de los costos proyectados.
5. Oficio conductor: Remisión debidamente firmado por la autoridad competente.
De igual forma se sugiere aclarar:
6. Inconsistencia en Ficha IDI y perfil respecto al presupuesto
7. Beneficiarios: En ficha IDI presenta 80 beneficiarios, pero en el perfil identifica 40 almaceneros, se solicita aclarar y presentar información por provincia.
8. Matriz Marco Lógico: Error en el Fin y Propósito, presenta el mismo texto.
9. Adjuntar cronograma de actividades
10. Anexar presupuesto en archivo aparte.
11. Incorporar carta compromiso de la institución 
12. Indicar de que forma el programa se podrá mantener, después de terminado el financiamiento de parte del Gore. Si el mismo servicio hará un plan de continuidad o tendrá alguna alianza con los municipios.
13. Adjuntar cotizaciones.
14. Incorporar perfil de cargos a honorarios, si los hubiera en el presupuesto, si no presenta el detalle y cotizaciones, no se puede identificar si se contemplan en el presupuesto.
15. Adjuntar la Documentación al BIP.
</t>
  </si>
  <si>
    <t xml:space="preserve">Obs. Comité 04-09-26.1. De conformidad con el Instructivo de Pertinencia de Programas, aprobado mediante la Res. Ex. N° 2645 del 28/06/2025, la iniciativa debe disponer en la plataforma del Banco Integrado de Proyectos (BIP) de los antecedentes mínimos obligatorios para efectuar su correcta evaluación técnica y de pertinencia. Por lo anterior, se solicita incorporar a la plataforma la siguiente documentación:
2. Perfil: Información técnica de la propuesta cargada y completada en el sistema.
3. Términos Técnicos de Referencia (TTR): Documento formal con el alcance de la ejecución.
4. Presupuesto desglosado: Detalle e ítemizado del cálculo de los costos proyectados.
5. Oficio conductor: Remisión debidamente firmado por la autoridad competente.
De igual forma se sugiere aclarar:
6. Diagnóstico: Se presenta a nivel nacional, no regional. La información presentada posee una antigüedad entre 5 a 7 años, se debe actualizar. El diagnóstico no logra dimensionar la población potencial y los objetivos de los barrios comerciales en la región.
7. El objetivo no es claro habla de 3 barrios, pero no se indica si son de la región, de la provincia de la comuna o abarca toda la región, se solicita focalizar.
8. Población: No se identifica cual será la población y quienes serán los beneficiarios.
9. Estrategia de intervención: No se identifica claramente la intervención, ya que no queda claro los 80 millones como serán distribuidos, que estrategia ocuparán para llegar a la población que requiere.
10. Cargos honorarios: Como no presentan cotizaciones, no se sabe si va existir gastos de honorarios, por lo que es importante presentar los antecedentes necesarios para respaldar el programa.
11. Adjuntar cronograma de actividades, presupuesto en archivo aparte, carta compromiso de la institución.
12. Indicar después de terminado el programa como se va a sustentar a largo plazo.
13. Adjuntar la Documentación al BIP.
</t>
  </si>
  <si>
    <t>Protección Fauna Silvestre Chiloé</t>
  </si>
  <si>
    <t>Servicio Biodiversidad y Areas Protegidas</t>
  </si>
  <si>
    <t>Prevencion Cuidados Continuos Renales</t>
  </si>
  <si>
    <t>4200
2994</t>
  </si>
  <si>
    <t>28-11-2025
10-09-2026</t>
  </si>
  <si>
    <t>22-01-2025
10-09-2026</t>
  </si>
  <si>
    <t xml:space="preserve">Obs. Comite 04-09-26. 1. Del diagnóstico: mezcla causas estructurales directas con falencias de gestión municipal, sin cuantificar adecuadamente la línea de base del cambio conductual esperado.
2. Análisis de las poblaciones: Presenta inconsistencia entre el perfil y los TTR en cuanto a la población referencial y potencial.
3. Inconsistencia con la población objetivo entre perfil y TTR. Además, debe especificar los criterios de focalización, como los componentes atenderán directamente a un grupo acotado (1.345 beneficiarios directos: 20 profesionales municipales, 30 familias en fondo concursable, 400 en talleres), asumir 75.400 personas como población objetivo vicia el cálculo de cobertura real y el costo unitario por beneficiario.
4. De los componentes: componente1 especifica contratación de 2 profesionales para prestar servicios en municipios (TDR páginas 11 y 21). Según el Capítulo 2 de la Res. 2348 (página 39), los gastos destinados a suplir personal o gestión interna de otras instituciones no deben ser formulados como el bien/servicio principal de un programa de inversión regional. Asimismo, el Componente 2 considera inversión física (M$20.000) en terrenos del CEREFAS pertenecientes a la ONG Chiloé Silvestre (TDR página 12), lo cual requiere regularizar las condiciones de dominio, uso público o cláusulas de reversión según la Glosa 03 y Glosa 08 de la Ley de Presupuestos.
5. Reformular estructura presupuestaria de acuerdo a instructivo y por componentes.
6. De la MML. Propósito revisar redacción como un estado final/resultado alcanzado en la población u objeto de intervención.
7. Revisar componente 3 e indicadores de la matriz.
De igual forma se sugiere aclarar:
8. Ficha IDI: Presenta Nombre del programa, distinto a los presentados en perfil y TTR, se solicita corregir.
9. Identificación de la Población: En la ficha IDI presenta un total de beneficiarios directos de 1.345, distribuidos en 550 hombres y 795 mujeres. Esa cifra no figura ni en el perfil ni en los TTR del programa, por lo que se necesita que se incorporé o corrija donde corresponda si hubiera un error.
10. Cotizaciones: No presenta cotizaciones
11. Perfil de cargos: No presenta perfil de cargo de las personas a honorarios que se contratará, además hay inconsistencia, en el perfil indica que son 2 profesionales para cuatro municipios por 6 meses, en los TTR indica que esos dos profesionales son para 12 meses, por lo que se contradice. Adicionalmente habla de que después el municipio los contratará, no indica cual, de los cuatro municipios, ni tampoco existe una carta de compromiso del o los municipios que van hacer la contratación.
12. Presupuesto: Presenta gastos de compra de container equipado y mejoramiento CEREFAS, como no presenta cotizaciones, no se puede identificar el detalle de este presupuesto por $60.000.000. Se solicita además presentar el presupuesto ordenado, ya que al sumar los presupuestos no queda claro la suma porque no hay un orden. Ya que por ejemplo el ítem de publicidad no suma $6.000.000, suma $6.610.000, de acuerdo al último cuadro de los TTR.
13. Presupuesto Referencial: El presupuesto que se presenta en el perfil si se suma el aporte propio, da un total de $439.403.018, no 438.603.018 como se indica, se solicita corregir.
14. Gastos operacionales: 
15. Archivo Ppto y Carta Gantt: Se solicita que ambos documentos vengan en archivo a parte desglosados y detallados.
16. Mantención Centros de Rescate: Se solicita carta de compromiso de la Municipalidad de Quellón y Castro, las cuales serán las encargadas de la mantención y tratamiento inicial de los pacientes.
17. Propósito y Fin: El propósito que se presenta en la ficha IDI no es el mismo que se presenta en el perfil y TTR. De igual forma pasa con el “Fin”, no es el mismo que se presenta en ficha IDI.
18. Aportes de Terceros: Se solicita acreditar los aportes propios con un certificado de la Directora Regional del Servicio. Además, hay contradicciones en los TTR dice que el aporte será de $36.000.000 y el Perfil de $54.000.000. Existe una diferencia de $18.000.000
19. Carta compromiso ejecución programa: Se solicita carta compromiso que el Servicio se hará responsable de seguir el programa después de terminado el financiamiento.
20. Adjuntar la Documentación al BIP.
</t>
  </si>
  <si>
    <t xml:space="preserve">Obs. Comité 04-09-261. De conformidad con el Instructivo de Pertinencia de Programas, aprobado mediante la Res. Ex. N° 2645 del 28/06/2025, la iniciativa debe disponer en la plataforma del Banco Integrado de Proyectos (BIP) de los antecedentes mínimos obligatorios para efectuar su correcta evaluación técnica y de pertinencia (Perfil TTR, PPto., Cotizaciones, entre otros).
2. Las glosas de los Gobiernos Regionales en su glosa 06 expresa claramente que solo podrán financiar “programas planes de resolución de lista de espera en coordinación con el ministerio de Salud”. ¿Cómo se justifica su programa?.
1. Ajustar perfil a formato establecido El nombre que indica en el perfil, no es el mismo presentado en la Ficha IDI Y oficio de presentación del programa, firmar responsable de formulación, se solicita corregir.
2. Reformular definición del problema, expresarse como una situación negativa de la realidad que afecta directamente el bienestar de la población. por ejemplo: "Alta tasa de progresión acelerada de la Enfermedad Renal Crónica en etapas 1 a 3 en usuarios de la Red de Atención Primaria de Salud de la comuna de Puerto Montt".
3. La cuantificación numérica de los beneficiarios directos del Año1 corresponde a Información no declarada en el documento de perfil principal. Adicionalmente incorporar los criterios de selección de la población objetivo.
4. Los Componentes 1 y 5 corresponden a actividades de difusión operativa, reuniones o capacitaciones intermedias/de gestión, no a la provisión directa de bienes o servicios finales entregados al paciente con ERC.
5. Ajustar la MML ya que presenta Indicadores de procesos y ejecución financiera asignados erróneamente en el nivel de componentes y actividades. 
6. Reformular indicadores, mide avance de proceso/actividades, violando la definición de componente y para las actividades mide gestión financiera, no el avance físico en la realización de tareas.
7. Corregir Ficha IDI, Falta clasificación descriptor, Los gastos están cargados al ítem de consultora, de acuerdo a las Ris, debe imputarse el gasto como “Contratación de Programa” y no como consultoría. Falta identificar beneficiarios directos, se indican datos que no reflejan los presentados en la ficha.
8. Estrategia de intervención: El municipio no es claro en su estrategia de intervención, habla de 3 alternativas y presenta 6, deben definir su estrategia.
9. Presentar cotizaciones
10. Ejecución: Solo se permite duración del programa hasta 24 meses, se solicita reformular.
11. Ajustar cronograma a 24 meses de ejecución.
12. TTR: No presenta documento de Términos Técnicos de Referencia
13.  Presupuesto: No se puede evaluar el presupuesto si no existe los respaldos necesarios de los gastos, para evaluar de forma correcta el programa.
14. Aportes de Terceros o Propios: Incorporar carta de compromiso Municipio que indique el aporte de la institución.
15. Carta compromiso de continuidad programa: Falta carta con el compromiso de que el Municipio realizará continuidad al programa, después de que se termine el financiamiento del programa.
16. Adjuntar la Documentación al BIP.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</si>
</sst>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quot;$&quot;\ #,##0"/>
    <numFmt numFmtId="165" formatCode="_-&quot;$&quot;\ * #,##0_-;\-&quot;$&quot;\ * #,##0_-;_-&quot;$&quot;\ * &quot;-&quot;??_-;_-@"/>
    <numFmt numFmtId="166" formatCode="_-* #,##0_-;\-* #,##0_-;_-* &quot;-&quot;??_-;_-@"/>
    <numFmt numFmtId="167" formatCode="d/m/yyyy"/>
    <numFmt numFmtId="168" formatCode="dd\-mm\-yyyy"/>
  </numFmts>
  <fonts count="9" x14ac:knownFonts="1">
    <font>
      <sz val="11"/>
      <color theme="1"/>
      <name val="Calibri"/>
      <scheme val="minor"/>
    </font>
    <font>
      <sz val="11"/>
      <color theme="1"/>
      <name val="Calibri"/>
    </font>
    <font>
      <b/>
      <i/>
      <sz val="9"/>
      <color theme="1"/>
      <name val="Calibri"/>
    </font>
    <font>
      <b/>
      <sz val="11"/>
      <color theme="1"/>
      <name val="Calibri"/>
    </font>
    <font>
      <i/>
      <sz val="9"/>
      <color theme="1"/>
      <name val="Calibri"/>
    </font>
    <font>
      <b/>
      <i/>
      <sz val="9"/>
      <color theme="0"/>
      <name val="Calibri"/>
    </font>
    <font>
      <b/>
      <i/>
      <sz val="9"/>
      <color rgb="FF44546A"/>
      <name val="Calibri"/>
    </font>
    <font>
      <i/>
      <sz val="9"/>
      <color theme="0"/>
      <name val="Calibri"/>
    </font>
    <font>
      <sz val="11"/>
      <color theme="1"/>
      <name val="Calibri"/>
      <scheme val="minor"/>
    </font>
  </fonts>
  <fills count="14">
    <fill>
      <patternFill patternType="none"/>
    </fill>
    <fill>
      <patternFill patternType="gray125"/>
    </fill>
    <fill>
      <patternFill patternType="solid">
        <fgColor rgb="FFD8D8D8"/>
        <bgColor rgb="FFD8D8D8"/>
      </patternFill>
    </fill>
    <fill>
      <patternFill patternType="solid">
        <fgColor rgb="FFADB9CA"/>
        <bgColor rgb="FFADB9CA"/>
      </patternFill>
    </fill>
    <fill>
      <patternFill patternType="solid">
        <fgColor rgb="FFFF66FF"/>
        <bgColor rgb="FFFF66FF"/>
      </patternFill>
    </fill>
    <fill>
      <patternFill patternType="solid">
        <fgColor rgb="FF548135"/>
        <bgColor rgb="FF548135"/>
      </patternFill>
    </fill>
    <fill>
      <patternFill patternType="solid">
        <fgColor rgb="FFA5A5A5"/>
        <bgColor rgb="FFA5A5A5"/>
      </patternFill>
    </fill>
    <fill>
      <patternFill patternType="solid">
        <fgColor theme="1"/>
        <bgColor theme="1"/>
      </patternFill>
    </fill>
    <fill>
      <patternFill patternType="solid">
        <fgColor rgb="FFFFC000"/>
        <bgColor rgb="FFFFC000"/>
      </patternFill>
    </fill>
    <fill>
      <patternFill patternType="solid">
        <fgColor rgb="FFC00000"/>
        <bgColor rgb="FFC00000"/>
      </patternFill>
    </fill>
    <fill>
      <patternFill patternType="solid">
        <fgColor rgb="FFFFFF00"/>
        <bgColor rgb="FFFFFF00"/>
      </patternFill>
    </fill>
    <fill>
      <patternFill patternType="solid">
        <fgColor rgb="FF595959"/>
        <bgColor rgb="FF595959"/>
      </patternFill>
    </fill>
    <fill>
      <patternFill patternType="solid">
        <fgColor rgb="FF92D050"/>
        <bgColor rgb="FF92D050"/>
      </patternFill>
    </fill>
    <fill>
      <patternFill patternType="solid">
        <fgColor rgb="FFFF0000"/>
        <bgColor rgb="FFFF0000"/>
      </patternFill>
    </fill>
  </fills>
  <borders count="3">
    <border>
      <left/>
      <right/>
      <top/>
      <bottom/>
      <diagonal/>
    </border>
    <border>
      <left style="hair">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s>
  <cellStyleXfs count="1">
    <xf numFmtId="0" fontId="0" fillId="0" borderId="0"/>
  </cellStyleXfs>
  <cellXfs count="74">
    <xf numFmtId="0" fontId="0" fillId="0" borderId="0" xfId="0" applyFont="1" applyAlignment="1"/>
    <xf numFmtId="0" fontId="1" fillId="0" borderId="0" xfId="0" applyFont="1"/>
    <xf numFmtId="0" fontId="2" fillId="2" borderId="1" xfId="0" applyFont="1" applyFill="1" applyBorder="1" applyAlignment="1">
      <alignment horizontal="center" vertical="center" wrapText="1"/>
    </xf>
    <xf numFmtId="0" fontId="3" fillId="0" borderId="0" xfId="0" applyFont="1"/>
    <xf numFmtId="14" fontId="1" fillId="0" borderId="0" xfId="0" applyNumberFormat="1" applyFont="1"/>
    <xf numFmtId="0" fontId="4" fillId="2" borderId="1" xfId="0" applyFont="1" applyFill="1" applyBorder="1" applyAlignment="1">
      <alignment horizontal="left" vertical="center" wrapText="1"/>
    </xf>
    <xf numFmtId="164" fontId="2" fillId="2" borderId="1" xfId="0" applyNumberFormat="1" applyFont="1" applyFill="1" applyBorder="1" applyAlignment="1">
      <alignment horizontal="center" vertical="center" wrapText="1"/>
    </xf>
    <xf numFmtId="165" fontId="2"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left" vertical="center" wrapText="1"/>
    </xf>
    <xf numFmtId="0" fontId="2" fillId="2" borderId="1" xfId="0" applyFont="1" applyFill="1" applyBorder="1" applyAlignment="1">
      <alignment vertical="center" wrapText="1"/>
    </xf>
    <xf numFmtId="166" fontId="2" fillId="3" borderId="1" xfId="0" applyNumberFormat="1" applyFont="1" applyFill="1" applyBorder="1" applyAlignment="1">
      <alignment horizontal="center" vertical="center" wrapText="1"/>
    </xf>
    <xf numFmtId="166" fontId="2" fillId="4" borderId="1" xfId="0" applyNumberFormat="1" applyFont="1" applyFill="1" applyBorder="1" applyAlignment="1">
      <alignment horizontal="center" vertical="center" wrapText="1"/>
    </xf>
    <xf numFmtId="166" fontId="2" fillId="5" borderId="1" xfId="0" applyNumberFormat="1" applyFont="1" applyFill="1" applyBorder="1" applyAlignment="1">
      <alignment horizontal="center" vertical="center" wrapText="1"/>
    </xf>
    <xf numFmtId="164" fontId="2" fillId="6" borderId="1" xfId="0" applyNumberFormat="1" applyFont="1" applyFill="1" applyBorder="1" applyAlignment="1">
      <alignment horizontal="center" vertical="center" wrapText="1"/>
    </xf>
    <xf numFmtId="164" fontId="5" fillId="7" borderId="1" xfId="0" applyNumberFormat="1" applyFont="1" applyFill="1" applyBorder="1" applyAlignment="1">
      <alignment horizontal="center" vertical="center" wrapText="1"/>
    </xf>
    <xf numFmtId="14" fontId="5" fillId="7"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14" fontId="5" fillId="9"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14" fontId="2" fillId="10" borderId="1" xfId="0" applyNumberFormat="1" applyFont="1" applyFill="1" applyBorder="1" applyAlignment="1">
      <alignment horizontal="center" vertical="center" wrapText="1"/>
    </xf>
    <xf numFmtId="164" fontId="2" fillId="11" borderId="1" xfId="0" applyNumberFormat="1" applyFont="1" applyFill="1" applyBorder="1" applyAlignment="1">
      <alignment horizontal="center" vertical="center" wrapText="1"/>
    </xf>
    <xf numFmtId="0" fontId="4" fillId="12" borderId="1" xfId="0" applyFont="1" applyFill="1" applyBorder="1" applyAlignment="1">
      <alignment horizontal="center" vertical="center" wrapText="1"/>
    </xf>
    <xf numFmtId="14" fontId="4" fillId="12" borderId="1" xfId="0" applyNumberFormat="1" applyFont="1" applyFill="1" applyBorder="1" applyAlignment="1">
      <alignment horizontal="center" vertical="center" wrapText="1"/>
    </xf>
    <xf numFmtId="0" fontId="5" fillId="13" borderId="1" xfId="0" applyFont="1" applyFill="1" applyBorder="1" applyAlignment="1">
      <alignment horizontal="center" vertical="center" wrapText="1"/>
    </xf>
    <xf numFmtId="14" fontId="5" fillId="13"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left" wrapText="1"/>
    </xf>
    <xf numFmtId="167" fontId="4" fillId="0" borderId="1" xfId="0" applyNumberFormat="1" applyFont="1" applyBorder="1"/>
    <xf numFmtId="165" fontId="4" fillId="0" borderId="1" xfId="0" applyNumberFormat="1" applyFont="1" applyBorder="1"/>
    <xf numFmtId="0" fontId="4" fillId="0" borderId="1" xfId="0" applyFont="1" applyBorder="1" applyAlignment="1">
      <alignment wrapText="1"/>
    </xf>
    <xf numFmtId="0" fontId="4" fillId="0" borderId="1" xfId="0" applyFont="1" applyBorder="1" applyAlignment="1">
      <alignment vertical="top" wrapText="1"/>
    </xf>
    <xf numFmtId="14" fontId="4" fillId="0" borderId="1" xfId="0" applyNumberFormat="1" applyFont="1" applyBorder="1"/>
    <xf numFmtId="14" fontId="4" fillId="8" borderId="1" xfId="0" applyNumberFormat="1" applyFont="1" applyFill="1" applyBorder="1"/>
    <xf numFmtId="0" fontId="4" fillId="6" borderId="1" xfId="0" applyFont="1" applyFill="1" applyBorder="1"/>
    <xf numFmtId="0" fontId="4" fillId="0" borderId="1" xfId="0" applyFont="1" applyBorder="1" applyAlignment="1">
      <alignment horizontal="right" wrapText="1"/>
    </xf>
    <xf numFmtId="14" fontId="4" fillId="0" borderId="1" xfId="0" applyNumberFormat="1" applyFont="1" applyBorder="1" applyAlignment="1">
      <alignment horizontal="right" wrapText="1"/>
    </xf>
    <xf numFmtId="0" fontId="4" fillId="11" borderId="1" xfId="0" applyFont="1" applyFill="1" applyBorder="1"/>
    <xf numFmtId="0" fontId="4" fillId="8" borderId="1" xfId="0" applyFont="1" applyFill="1" applyBorder="1"/>
    <xf numFmtId="0" fontId="4" fillId="0" borderId="1" xfId="0" applyFont="1" applyBorder="1" applyAlignment="1">
      <alignment horizontal="center"/>
    </xf>
    <xf numFmtId="0" fontId="4" fillId="0" borderId="1" xfId="0" applyFont="1" applyBorder="1" applyAlignment="1">
      <alignment horizontal="center" vertical="center" wrapText="1"/>
    </xf>
    <xf numFmtId="165" fontId="4" fillId="0" borderId="2" xfId="0" applyNumberFormat="1" applyFont="1" applyBorder="1" applyAlignment="1">
      <alignment horizontal="left" wrapText="1"/>
    </xf>
    <xf numFmtId="164" fontId="4" fillId="0" borderId="1" xfId="0" applyNumberFormat="1" applyFont="1" applyBorder="1" applyAlignment="1">
      <alignment horizontal="left" wrapText="1"/>
    </xf>
    <xf numFmtId="164" fontId="4" fillId="0" borderId="1" xfId="0" applyNumberFormat="1" applyFont="1" applyBorder="1" applyAlignment="1">
      <alignment horizontal="left" vertical="top" wrapText="1"/>
    </xf>
    <xf numFmtId="166" fontId="4" fillId="0" borderId="1" xfId="0" applyNumberFormat="1" applyFont="1" applyBorder="1" applyAlignment="1">
      <alignment horizontal="left" wrapText="1"/>
    </xf>
    <xf numFmtId="14" fontId="4" fillId="0" borderId="1" xfId="0" applyNumberFormat="1" applyFont="1" applyBorder="1" applyAlignment="1">
      <alignment horizontal="left" wrapText="1"/>
    </xf>
    <xf numFmtId="0" fontId="7" fillId="0" borderId="1" xfId="0" applyFont="1" applyBorder="1" applyAlignment="1">
      <alignment horizontal="left" wrapText="1"/>
    </xf>
    <xf numFmtId="14" fontId="7" fillId="0" borderId="1" xfId="0" applyNumberFormat="1" applyFont="1" applyBorder="1" applyAlignment="1">
      <alignment horizontal="left" wrapText="1"/>
    </xf>
    <xf numFmtId="0" fontId="4" fillId="8" borderId="1" xfId="0" applyFont="1" applyFill="1" applyBorder="1" applyAlignment="1">
      <alignment horizontal="left" wrapText="1"/>
    </xf>
    <xf numFmtId="0" fontId="4" fillId="0" borderId="1" xfId="0" applyFont="1" applyBorder="1" applyAlignment="1">
      <alignment horizontal="center" wrapText="1"/>
    </xf>
    <xf numFmtId="0" fontId="1" fillId="0" borderId="0" xfId="0" applyFont="1" applyAlignment="1">
      <alignment horizontal="left"/>
    </xf>
    <xf numFmtId="0" fontId="4" fillId="0" borderId="1" xfId="0" applyFont="1" applyBorder="1" applyAlignment="1">
      <alignment horizontal="right"/>
    </xf>
    <xf numFmtId="14" fontId="4" fillId="0" borderId="1" xfId="0" applyNumberFormat="1" applyFont="1" applyBorder="1" applyAlignment="1">
      <alignment wrapText="1"/>
    </xf>
    <xf numFmtId="168" fontId="4" fillId="0" borderId="1" xfId="0" applyNumberFormat="1" applyFont="1" applyBorder="1"/>
    <xf numFmtId="0" fontId="4" fillId="0" borderId="1" xfId="0" applyFont="1" applyBorder="1" applyAlignment="1">
      <alignment horizontal="left" vertical="top" wrapText="1"/>
    </xf>
    <xf numFmtId="167" fontId="4" fillId="0" borderId="1" xfId="0" applyNumberFormat="1" applyFont="1" applyBorder="1" applyAlignment="1">
      <alignment horizontal="left"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left" wrapText="1"/>
    </xf>
    <xf numFmtId="167" fontId="4" fillId="0" borderId="1" xfId="0" applyNumberFormat="1" applyFont="1" applyBorder="1" applyAlignment="1"/>
    <xf numFmtId="165" fontId="4" fillId="0" borderId="1" xfId="0" applyNumberFormat="1" applyFont="1" applyBorder="1" applyAlignment="1"/>
    <xf numFmtId="164" fontId="4" fillId="0" borderId="1" xfId="0" applyNumberFormat="1" applyFont="1" applyBorder="1" applyAlignment="1">
      <alignment horizontal="left" wrapText="1"/>
    </xf>
    <xf numFmtId="0" fontId="4" fillId="0" borderId="1" xfId="0" applyFont="1" applyBorder="1" applyAlignment="1"/>
    <xf numFmtId="0" fontId="4" fillId="0" borderId="1" xfId="0" applyFont="1" applyBorder="1" applyAlignment="1">
      <alignment wrapText="1"/>
    </xf>
    <xf numFmtId="0" fontId="4" fillId="0" borderId="1" xfId="0" applyFont="1" applyBorder="1" applyAlignment="1">
      <alignment vertical="top" wrapText="1"/>
    </xf>
    <xf numFmtId="0" fontId="4" fillId="0" borderId="1" xfId="0" applyFont="1" applyBorder="1" applyAlignment="1">
      <alignment vertical="center"/>
    </xf>
    <xf numFmtId="0" fontId="8" fillId="0" borderId="0" xfId="0" applyFont="1" applyAlignment="1">
      <alignment horizontal="center" vertical="center"/>
    </xf>
    <xf numFmtId="167" fontId="8" fillId="0" borderId="0" xfId="0" applyNumberFormat="1" applyFont="1"/>
    <xf numFmtId="0" fontId="1" fillId="0" borderId="0" xfId="0" applyFont="1" applyAlignment="1">
      <alignment wrapText="1"/>
    </xf>
    <xf numFmtId="0" fontId="1" fillId="0" borderId="0" xfId="0" applyFont="1" applyAlignment="1">
      <alignment horizontal="center"/>
    </xf>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Z991"/>
  <sheetViews>
    <sheetView tabSelected="1" workbookViewId="0">
      <pane xSplit="2" ySplit="1" topLeftCell="C16" activePane="bottomRight" state="frozen"/>
      <selection pane="topRight" activeCell="C1" sqref="C1"/>
      <selection pane="bottomLeft" activeCell="A2" sqref="A2"/>
      <selection pane="bottomRight" activeCell="B21" sqref="B21"/>
    </sheetView>
  </sheetViews>
  <sheetFormatPr baseColWidth="10" defaultColWidth="14.42578125" defaultRowHeight="15" customHeight="1" x14ac:dyDescent="0.25"/>
  <cols>
    <col min="1" max="1" width="5.28515625" customWidth="1"/>
    <col min="2" max="2" width="10.28515625" customWidth="1"/>
    <col min="3" max="3" width="3.5703125" customWidth="1"/>
    <col min="4" max="4" width="66.28515625" customWidth="1"/>
    <col min="5" max="5" width="16.42578125" customWidth="1"/>
    <col min="6" max="6" width="13.85546875" customWidth="1"/>
    <col min="7" max="7" width="14.5703125" customWidth="1"/>
    <col min="8" max="8" width="15" customWidth="1"/>
    <col min="9" max="9" width="12.7109375" customWidth="1"/>
    <col min="10" max="10" width="7" customWidth="1"/>
    <col min="11" max="11" width="12.28515625" customWidth="1"/>
    <col min="12" max="12" width="30.7109375" customWidth="1"/>
    <col min="13" max="13" width="10.140625" customWidth="1"/>
    <col min="14" max="15" width="30.7109375" customWidth="1"/>
    <col min="16" max="16" width="8.28515625" customWidth="1"/>
    <col min="17" max="17" width="8.7109375" customWidth="1"/>
    <col min="18" max="18" width="9.85546875" customWidth="1"/>
    <col min="19" max="19" width="4.140625" customWidth="1"/>
    <col min="20" max="20" width="13" customWidth="1"/>
    <col min="21" max="21" width="12.140625" customWidth="1"/>
    <col min="22" max="22" width="10.85546875" customWidth="1"/>
    <col min="23" max="23" width="10.28515625" customWidth="1"/>
    <col min="24" max="24" width="11.28515625" customWidth="1"/>
    <col min="25" max="25" width="10.28515625" customWidth="1"/>
    <col min="26" max="26" width="11.42578125" customWidth="1"/>
    <col min="27" max="27" width="10.28515625" customWidth="1"/>
    <col min="28" max="28" width="9.85546875" customWidth="1"/>
    <col min="29" max="29" width="3.7109375" customWidth="1"/>
    <col min="30" max="31" width="12.140625" customWidth="1"/>
    <col min="32" max="32" width="11.140625" customWidth="1"/>
    <col min="33" max="33" width="9.140625" customWidth="1"/>
    <col min="34" max="34" width="4" customWidth="1"/>
    <col min="35" max="35" width="11.5703125" customWidth="1"/>
    <col min="36" max="37" width="10.28515625" customWidth="1"/>
    <col min="38" max="38" width="10.42578125" customWidth="1"/>
    <col min="39" max="39" width="9.5703125" customWidth="1"/>
    <col min="40" max="40" width="10.28515625" customWidth="1"/>
    <col min="41" max="41" width="10.42578125" customWidth="1"/>
    <col min="42" max="42" width="10.28515625" customWidth="1"/>
    <col min="43" max="43" width="3.85546875" customWidth="1"/>
    <col min="44" max="44" width="11.7109375" customWidth="1"/>
    <col min="45" max="47" width="10.28515625" customWidth="1"/>
    <col min="48" max="48" width="13" customWidth="1"/>
    <col min="49" max="49" width="10.5703125" customWidth="1"/>
    <col min="50" max="50" width="3.5703125" customWidth="1"/>
  </cols>
  <sheetData>
    <row r="1" spans="1:52" ht="36" x14ac:dyDescent="0.25">
      <c r="A1" s="2"/>
      <c r="B1" s="2" t="s">
        <v>2</v>
      </c>
      <c r="C1" s="2"/>
      <c r="D1" s="5" t="s">
        <v>5</v>
      </c>
      <c r="E1" s="2" t="s">
        <v>1</v>
      </c>
      <c r="F1" s="6" t="s">
        <v>8</v>
      </c>
      <c r="G1" s="2" t="s">
        <v>11</v>
      </c>
      <c r="H1" s="7" t="s">
        <v>12</v>
      </c>
      <c r="I1" s="8" t="s">
        <v>15</v>
      </c>
      <c r="J1" s="6" t="s">
        <v>16</v>
      </c>
      <c r="K1" s="6" t="s">
        <v>18</v>
      </c>
      <c r="L1" s="9" t="s">
        <v>20</v>
      </c>
      <c r="M1" s="6" t="s">
        <v>22</v>
      </c>
      <c r="N1" s="6" t="s">
        <v>23</v>
      </c>
      <c r="O1" s="6" t="s">
        <v>27</v>
      </c>
      <c r="P1" s="10" t="s">
        <v>29</v>
      </c>
      <c r="Q1" s="11" t="s">
        <v>31</v>
      </c>
      <c r="R1" s="12" t="s">
        <v>33</v>
      </c>
      <c r="S1" s="13"/>
      <c r="T1" s="14" t="s">
        <v>37</v>
      </c>
      <c r="U1" s="14" t="s">
        <v>39</v>
      </c>
      <c r="V1" s="14" t="s">
        <v>41</v>
      </c>
      <c r="W1" s="15" t="s">
        <v>43</v>
      </c>
      <c r="X1" s="15" t="s">
        <v>45</v>
      </c>
      <c r="Y1" s="16" t="s">
        <v>11</v>
      </c>
      <c r="Z1" s="2" t="s">
        <v>49</v>
      </c>
      <c r="AA1" s="2" t="s">
        <v>51</v>
      </c>
      <c r="AB1" s="17" t="s">
        <v>54</v>
      </c>
      <c r="AC1" s="13"/>
      <c r="AD1" s="16" t="s">
        <v>57</v>
      </c>
      <c r="AE1" s="15" t="s">
        <v>59</v>
      </c>
      <c r="AF1" s="15" t="s">
        <v>60</v>
      </c>
      <c r="AG1" s="15" t="s">
        <v>63</v>
      </c>
      <c r="AH1" s="13"/>
      <c r="AI1" s="18" t="s">
        <v>66</v>
      </c>
      <c r="AJ1" s="19" t="s">
        <v>68</v>
      </c>
      <c r="AK1" s="19" t="s">
        <v>70</v>
      </c>
      <c r="AL1" s="19" t="s">
        <v>72</v>
      </c>
      <c r="AM1" s="20" t="s">
        <v>74</v>
      </c>
      <c r="AN1" s="21" t="s">
        <v>43</v>
      </c>
      <c r="AO1" s="21" t="s">
        <v>75</v>
      </c>
      <c r="AP1" s="21" t="s">
        <v>76</v>
      </c>
      <c r="AQ1" s="22"/>
      <c r="AR1" s="23" t="s">
        <v>77</v>
      </c>
      <c r="AS1" s="24" t="s">
        <v>78</v>
      </c>
      <c r="AT1" s="25" t="s">
        <v>79</v>
      </c>
      <c r="AU1" s="26" t="s">
        <v>80</v>
      </c>
      <c r="AV1" s="27" t="s">
        <v>81</v>
      </c>
      <c r="AW1" s="28" t="s">
        <v>82</v>
      </c>
    </row>
    <row r="2" spans="1:52" ht="60" customHeight="1" x14ac:dyDescent="0.25">
      <c r="A2" s="29">
        <v>1</v>
      </c>
      <c r="B2" s="29">
        <v>40073088</v>
      </c>
      <c r="C2" s="29">
        <v>0</v>
      </c>
      <c r="D2" s="30" t="s">
        <v>83</v>
      </c>
      <c r="E2" s="31" t="s">
        <v>71</v>
      </c>
      <c r="F2" s="31" t="s">
        <v>71</v>
      </c>
      <c r="G2" s="32">
        <v>45796</v>
      </c>
      <c r="H2" s="33">
        <v>2502275</v>
      </c>
      <c r="I2" s="30" t="s">
        <v>84</v>
      </c>
      <c r="J2" s="30">
        <v>2026</v>
      </c>
      <c r="K2" s="34" t="s">
        <v>85</v>
      </c>
      <c r="L2" s="34" t="s">
        <v>86</v>
      </c>
      <c r="M2" s="35"/>
      <c r="N2" s="35" t="s">
        <v>87</v>
      </c>
      <c r="O2" s="35" t="s">
        <v>88</v>
      </c>
      <c r="P2" s="30">
        <v>281119</v>
      </c>
      <c r="Q2" s="30">
        <v>291424</v>
      </c>
      <c r="R2" s="30">
        <f t="shared" ref="R2:R8" si="0">SUM(P2:Q2)</f>
        <v>572543</v>
      </c>
      <c r="S2" s="30"/>
      <c r="T2" s="34" t="s">
        <v>89</v>
      </c>
      <c r="U2" s="34" t="s">
        <v>89</v>
      </c>
      <c r="V2" s="30">
        <v>3179</v>
      </c>
      <c r="W2" s="36">
        <v>45793</v>
      </c>
      <c r="X2" s="36"/>
      <c r="Y2" s="36"/>
      <c r="Z2" s="36"/>
      <c r="AA2" s="36">
        <v>45796</v>
      </c>
      <c r="AB2" s="37">
        <f>WORKDAY(AA2,15,'Feriados y Comunas'!A$2:A$39)</f>
        <v>45818</v>
      </c>
      <c r="AC2" s="38"/>
      <c r="AD2" s="30"/>
      <c r="AE2" s="30"/>
      <c r="AF2" s="30"/>
      <c r="AG2" s="30"/>
      <c r="AH2" s="38"/>
      <c r="AI2" s="39" t="s">
        <v>90</v>
      </c>
      <c r="AJ2" s="40" t="s">
        <v>91</v>
      </c>
      <c r="AK2" s="40" t="s">
        <v>92</v>
      </c>
      <c r="AL2" s="30" t="s">
        <v>93</v>
      </c>
      <c r="AM2" s="39" t="s">
        <v>94</v>
      </c>
      <c r="AN2" s="40" t="s">
        <v>95</v>
      </c>
      <c r="AO2" s="39"/>
      <c r="AP2" s="40" t="s">
        <v>96</v>
      </c>
      <c r="AQ2" s="41"/>
      <c r="AR2" s="39" t="s">
        <v>90</v>
      </c>
      <c r="AS2" s="40" t="s">
        <v>91</v>
      </c>
      <c r="AT2" s="30">
        <v>262</v>
      </c>
      <c r="AU2" s="36">
        <v>46059</v>
      </c>
      <c r="AV2" s="42" t="s">
        <v>97</v>
      </c>
      <c r="AW2" s="43">
        <v>19</v>
      </c>
      <c r="AY2" s="1">
        <v>2</v>
      </c>
      <c r="AZ2" s="1">
        <f t="shared" ref="AZ2:AZ28" si="1">NETWORKDAYS(G2,AU2)</f>
        <v>190</v>
      </c>
    </row>
    <row r="3" spans="1:52" ht="60" customHeight="1" x14ac:dyDescent="0.25">
      <c r="A3" s="29">
        <f t="shared" ref="A3:A25" si="2">1+A2</f>
        <v>2</v>
      </c>
      <c r="B3" s="29">
        <v>40073648</v>
      </c>
      <c r="C3" s="29">
        <v>0</v>
      </c>
      <c r="D3" s="30" t="s">
        <v>98</v>
      </c>
      <c r="E3" s="31" t="s">
        <v>4</v>
      </c>
      <c r="F3" s="31" t="s">
        <v>24</v>
      </c>
      <c r="G3" s="32">
        <v>45848</v>
      </c>
      <c r="H3" s="33">
        <v>400000</v>
      </c>
      <c r="I3" s="30" t="s">
        <v>84</v>
      </c>
      <c r="J3" s="30">
        <v>2025</v>
      </c>
      <c r="K3" s="34" t="s">
        <v>99</v>
      </c>
      <c r="L3" s="34" t="s">
        <v>100</v>
      </c>
      <c r="M3" s="35"/>
      <c r="N3" s="35" t="s">
        <v>101</v>
      </c>
      <c r="O3" s="35" t="s">
        <v>102</v>
      </c>
      <c r="P3" s="30">
        <v>17600</v>
      </c>
      <c r="Q3" s="30">
        <v>6800</v>
      </c>
      <c r="R3" s="30">
        <f t="shared" si="0"/>
        <v>24400</v>
      </c>
      <c r="S3" s="30"/>
      <c r="T3" s="34" t="s">
        <v>103</v>
      </c>
      <c r="U3" s="34" t="s">
        <v>103</v>
      </c>
      <c r="V3" s="30">
        <v>1546</v>
      </c>
      <c r="W3" s="36">
        <v>45848</v>
      </c>
      <c r="X3" s="36"/>
      <c r="Y3" s="36"/>
      <c r="Z3" s="36"/>
      <c r="AA3" s="36">
        <v>45848</v>
      </c>
      <c r="AB3" s="37">
        <f>WORKDAY(AA3,15,'Feriados y Comunas'!A$2:A$39)</f>
        <v>45870</v>
      </c>
      <c r="AC3" s="38"/>
      <c r="AD3" s="30"/>
      <c r="AE3" s="30"/>
      <c r="AF3" s="30"/>
      <c r="AG3" s="30"/>
      <c r="AH3" s="38"/>
      <c r="AI3" s="39" t="s">
        <v>104</v>
      </c>
      <c r="AJ3" s="40" t="s">
        <v>105</v>
      </c>
      <c r="AK3" s="40" t="s">
        <v>106</v>
      </c>
      <c r="AL3" s="30" t="s">
        <v>93</v>
      </c>
      <c r="AM3" s="39" t="s">
        <v>107</v>
      </c>
      <c r="AN3" s="40" t="s">
        <v>108</v>
      </c>
      <c r="AO3" s="39"/>
      <c r="AP3" s="40" t="s">
        <v>109</v>
      </c>
      <c r="AQ3" s="41"/>
      <c r="AR3" s="30"/>
      <c r="AS3" s="36"/>
      <c r="AT3" s="30">
        <v>540</v>
      </c>
      <c r="AU3" s="36">
        <v>46099</v>
      </c>
      <c r="AV3" s="42" t="s">
        <v>93</v>
      </c>
      <c r="AW3" s="43">
        <v>21</v>
      </c>
      <c r="AY3" s="1">
        <v>2</v>
      </c>
      <c r="AZ3" s="1">
        <f t="shared" si="1"/>
        <v>180</v>
      </c>
    </row>
    <row r="4" spans="1:52" ht="60" customHeight="1" x14ac:dyDescent="0.25">
      <c r="A4" s="60">
        <f t="shared" si="2"/>
        <v>3</v>
      </c>
      <c r="B4" s="29">
        <v>40071275</v>
      </c>
      <c r="C4" s="29">
        <v>0</v>
      </c>
      <c r="D4" s="30" t="s">
        <v>110</v>
      </c>
      <c r="E4" s="31" t="s">
        <v>71</v>
      </c>
      <c r="F4" s="31" t="s">
        <v>71</v>
      </c>
      <c r="G4" s="32">
        <v>45764</v>
      </c>
      <c r="H4" s="33">
        <v>248500</v>
      </c>
      <c r="I4" s="30" t="s">
        <v>84</v>
      </c>
      <c r="J4" s="30">
        <v>2026</v>
      </c>
      <c r="K4" s="34" t="s">
        <v>111</v>
      </c>
      <c r="L4" s="34" t="s">
        <v>112</v>
      </c>
      <c r="M4" s="35"/>
      <c r="N4" s="35" t="s">
        <v>113</v>
      </c>
      <c r="O4" s="35" t="s">
        <v>114</v>
      </c>
      <c r="P4" s="30">
        <v>40</v>
      </c>
      <c r="Q4" s="30">
        <v>30</v>
      </c>
      <c r="R4" s="30">
        <f t="shared" si="0"/>
        <v>70</v>
      </c>
      <c r="S4" s="30"/>
      <c r="T4" s="34" t="s">
        <v>115</v>
      </c>
      <c r="U4" s="34" t="s">
        <v>115</v>
      </c>
      <c r="V4" s="30">
        <v>0</v>
      </c>
      <c r="W4" s="36">
        <v>45764</v>
      </c>
      <c r="X4" s="36"/>
      <c r="Y4" s="36"/>
      <c r="Z4" s="36"/>
      <c r="AA4" s="36">
        <v>45765</v>
      </c>
      <c r="AB4" s="37">
        <f>WORKDAY(AA4,15,'Feriados y Comunas'!A$2:A$39)</f>
        <v>45789</v>
      </c>
      <c r="AC4" s="38"/>
      <c r="AD4" s="30"/>
      <c r="AE4" s="30"/>
      <c r="AF4" s="30"/>
      <c r="AG4" s="30"/>
      <c r="AH4" s="38"/>
      <c r="AI4" s="39" t="s">
        <v>116</v>
      </c>
      <c r="AJ4" s="40" t="s">
        <v>117</v>
      </c>
      <c r="AK4" s="40" t="s">
        <v>118</v>
      </c>
      <c r="AL4" s="30" t="s">
        <v>93</v>
      </c>
      <c r="AM4" s="39" t="s">
        <v>119</v>
      </c>
      <c r="AN4" s="40" t="s">
        <v>120</v>
      </c>
      <c r="AO4" s="39"/>
      <c r="AP4" s="40" t="s">
        <v>121</v>
      </c>
      <c r="AQ4" s="41"/>
      <c r="AR4" s="39" t="s">
        <v>116</v>
      </c>
      <c r="AS4" s="40" t="s">
        <v>117</v>
      </c>
      <c r="AT4" s="30">
        <v>966</v>
      </c>
      <c r="AU4" s="36">
        <v>46139</v>
      </c>
      <c r="AV4" s="42" t="s">
        <v>97</v>
      </c>
      <c r="AW4" s="43">
        <v>15</v>
      </c>
      <c r="AX4" s="1" t="s">
        <v>122</v>
      </c>
      <c r="AY4" s="1">
        <v>3</v>
      </c>
      <c r="AZ4" s="1">
        <f t="shared" si="1"/>
        <v>268</v>
      </c>
    </row>
    <row r="5" spans="1:52" ht="66" customHeight="1" x14ac:dyDescent="0.25">
      <c r="A5" s="60">
        <f t="shared" si="2"/>
        <v>4</v>
      </c>
      <c r="B5" s="44">
        <v>40065461</v>
      </c>
      <c r="C5" s="44">
        <v>0</v>
      </c>
      <c r="D5" s="31" t="s">
        <v>123</v>
      </c>
      <c r="E5" s="31" t="s">
        <v>58</v>
      </c>
      <c r="F5" s="31" t="s">
        <v>58</v>
      </c>
      <c r="G5" s="32">
        <v>45929</v>
      </c>
      <c r="H5" s="45">
        <v>1231664</v>
      </c>
      <c r="I5" s="46" t="s">
        <v>84</v>
      </c>
      <c r="J5" s="30">
        <v>2026</v>
      </c>
      <c r="K5" s="46" t="s">
        <v>99</v>
      </c>
      <c r="L5" s="34" t="s">
        <v>124</v>
      </c>
      <c r="M5" s="46"/>
      <c r="N5" s="47" t="s">
        <v>101</v>
      </c>
      <c r="O5" s="47" t="s">
        <v>125</v>
      </c>
      <c r="P5" s="48">
        <v>286</v>
      </c>
      <c r="Q5" s="48">
        <v>286</v>
      </c>
      <c r="R5" s="48">
        <f t="shared" si="0"/>
        <v>572</v>
      </c>
      <c r="S5" s="46"/>
      <c r="T5" s="46" t="s">
        <v>126</v>
      </c>
      <c r="U5" s="46" t="s">
        <v>126</v>
      </c>
      <c r="V5" s="39">
        <v>2945</v>
      </c>
      <c r="W5" s="49">
        <v>45912</v>
      </c>
      <c r="X5" s="49"/>
      <c r="Y5" s="49">
        <v>45929</v>
      </c>
      <c r="Z5" s="49">
        <v>45929</v>
      </c>
      <c r="AA5" s="49">
        <v>45929</v>
      </c>
      <c r="AB5" s="37">
        <f>WORKDAY(AA5,15,'Feriados y Comunas'!A$2:A$39)</f>
        <v>45950</v>
      </c>
      <c r="AC5" s="38"/>
      <c r="AD5" s="50"/>
      <c r="AE5" s="51"/>
      <c r="AF5" s="51"/>
      <c r="AG5" s="51"/>
      <c r="AH5" s="38"/>
      <c r="AI5" s="39" t="s">
        <v>127</v>
      </c>
      <c r="AJ5" s="40" t="s">
        <v>128</v>
      </c>
      <c r="AK5" s="40" t="s">
        <v>129</v>
      </c>
      <c r="AL5" s="40" t="s">
        <v>93</v>
      </c>
      <c r="AM5" s="39" t="s">
        <v>130</v>
      </c>
      <c r="AN5" s="40" t="s">
        <v>131</v>
      </c>
      <c r="AO5" s="40"/>
      <c r="AP5" s="40" t="s">
        <v>132</v>
      </c>
      <c r="AQ5" s="41"/>
      <c r="AR5" s="39" t="s">
        <v>133</v>
      </c>
      <c r="AS5" s="39" t="s">
        <v>134</v>
      </c>
      <c r="AT5" s="39">
        <v>1014</v>
      </c>
      <c r="AU5" s="40">
        <v>46146</v>
      </c>
      <c r="AV5" s="52" t="s">
        <v>97</v>
      </c>
      <c r="AW5" s="53">
        <v>29</v>
      </c>
      <c r="AX5" s="54"/>
      <c r="AY5" s="1">
        <v>3</v>
      </c>
      <c r="AZ5" s="1">
        <f t="shared" si="1"/>
        <v>156</v>
      </c>
    </row>
    <row r="6" spans="1:52" ht="66" customHeight="1" x14ac:dyDescent="0.25">
      <c r="A6" s="60">
        <f t="shared" si="2"/>
        <v>5</v>
      </c>
      <c r="B6" s="44">
        <v>40079011</v>
      </c>
      <c r="C6" s="44">
        <v>0</v>
      </c>
      <c r="D6" s="31" t="s">
        <v>135</v>
      </c>
      <c r="E6" s="31" t="s">
        <v>71</v>
      </c>
      <c r="F6" s="31" t="s">
        <v>71</v>
      </c>
      <c r="G6" s="32">
        <v>46156</v>
      </c>
      <c r="H6" s="45">
        <v>196410</v>
      </c>
      <c r="I6" s="46" t="s">
        <v>84</v>
      </c>
      <c r="J6" s="30">
        <v>2026</v>
      </c>
      <c r="K6" s="46" t="s">
        <v>136</v>
      </c>
      <c r="L6" s="34" t="s">
        <v>137</v>
      </c>
      <c r="M6" s="46"/>
      <c r="N6" s="47" t="s">
        <v>138</v>
      </c>
      <c r="O6" s="47" t="s">
        <v>139</v>
      </c>
      <c r="P6" s="48">
        <v>378</v>
      </c>
      <c r="Q6" s="48">
        <v>392</v>
      </c>
      <c r="R6" s="48">
        <f t="shared" si="0"/>
        <v>770</v>
      </c>
      <c r="S6" s="46"/>
      <c r="T6" s="46" t="s">
        <v>140</v>
      </c>
      <c r="U6" s="46" t="s">
        <v>141</v>
      </c>
      <c r="V6" s="39">
        <v>422</v>
      </c>
      <c r="W6" s="49">
        <v>46156</v>
      </c>
      <c r="X6" s="49"/>
      <c r="Y6" s="49"/>
      <c r="Z6" s="49"/>
      <c r="AA6" s="49">
        <v>46156</v>
      </c>
      <c r="AB6" s="37">
        <f>WORKDAY(AA6,15,'Feriados y Comunas'!A$2:A$39)</f>
        <v>46178</v>
      </c>
      <c r="AC6" s="38"/>
      <c r="AD6" s="50"/>
      <c r="AE6" s="51"/>
      <c r="AF6" s="51"/>
      <c r="AG6" s="51"/>
      <c r="AH6" s="38"/>
      <c r="AI6" s="39">
        <v>1254</v>
      </c>
      <c r="AJ6" s="40">
        <v>46168</v>
      </c>
      <c r="AK6" s="40">
        <v>46159</v>
      </c>
      <c r="AL6" s="40" t="s">
        <v>93</v>
      </c>
      <c r="AM6" s="39">
        <v>467</v>
      </c>
      <c r="AN6" s="40">
        <v>46170</v>
      </c>
      <c r="AO6" s="40"/>
      <c r="AP6" s="40">
        <v>46170</v>
      </c>
      <c r="AQ6" s="41"/>
      <c r="AR6" s="39"/>
      <c r="AS6" s="39"/>
      <c r="AT6" s="39">
        <v>1474</v>
      </c>
      <c r="AU6" s="40">
        <v>46189</v>
      </c>
      <c r="AV6" s="52" t="s">
        <v>97</v>
      </c>
      <c r="AW6" s="53">
        <v>3</v>
      </c>
      <c r="AX6" s="54" t="s">
        <v>122</v>
      </c>
      <c r="AY6" s="1">
        <v>2</v>
      </c>
      <c r="AZ6" s="1">
        <f t="shared" si="1"/>
        <v>24</v>
      </c>
    </row>
    <row r="7" spans="1:52" ht="60" customHeight="1" x14ac:dyDescent="0.25">
      <c r="A7" s="60">
        <f t="shared" si="2"/>
        <v>6</v>
      </c>
      <c r="B7" s="29">
        <v>40075722</v>
      </c>
      <c r="C7" s="29">
        <v>0</v>
      </c>
      <c r="D7" s="30" t="s">
        <v>142</v>
      </c>
      <c r="E7" s="31" t="s">
        <v>44</v>
      </c>
      <c r="F7" s="31" t="s">
        <v>44</v>
      </c>
      <c r="G7" s="32">
        <v>46114</v>
      </c>
      <c r="H7" s="33">
        <v>2048796</v>
      </c>
      <c r="I7" s="30" t="s">
        <v>84</v>
      </c>
      <c r="J7" s="30">
        <v>2026</v>
      </c>
      <c r="K7" s="34" t="s">
        <v>99</v>
      </c>
      <c r="L7" s="34" t="s">
        <v>143</v>
      </c>
      <c r="M7" s="35"/>
      <c r="N7" s="35" t="s">
        <v>144</v>
      </c>
      <c r="O7" s="35" t="s">
        <v>145</v>
      </c>
      <c r="P7" s="30">
        <v>750</v>
      </c>
      <c r="Q7" s="30">
        <v>750</v>
      </c>
      <c r="R7" s="30">
        <f t="shared" si="0"/>
        <v>1500</v>
      </c>
      <c r="S7" s="30"/>
      <c r="T7" s="34" t="s">
        <v>146</v>
      </c>
      <c r="U7" s="34" t="s">
        <v>146</v>
      </c>
      <c r="V7" s="30">
        <v>661</v>
      </c>
      <c r="W7" s="36">
        <v>46114</v>
      </c>
      <c r="X7" s="36"/>
      <c r="Y7" s="36"/>
      <c r="Z7" s="36"/>
      <c r="AA7" s="36">
        <v>46114</v>
      </c>
      <c r="AB7" s="37">
        <f>WORKDAY(AA7,15,'Feriados y Comunas'!A$2:A$39)</f>
        <v>46136</v>
      </c>
      <c r="AC7" s="38"/>
      <c r="AD7" s="30"/>
      <c r="AE7" s="30"/>
      <c r="AF7" s="30"/>
      <c r="AG7" s="30"/>
      <c r="AH7" s="38"/>
      <c r="AI7" s="39" t="s">
        <v>147</v>
      </c>
      <c r="AJ7" s="40" t="s">
        <v>148</v>
      </c>
      <c r="AK7" s="40" t="s">
        <v>149</v>
      </c>
      <c r="AL7" s="30" t="s">
        <v>93</v>
      </c>
      <c r="AM7" s="39" t="s">
        <v>150</v>
      </c>
      <c r="AN7" s="40" t="s">
        <v>151</v>
      </c>
      <c r="AO7" s="55"/>
      <c r="AP7" s="40" t="s">
        <v>152</v>
      </c>
      <c r="AQ7" s="41"/>
      <c r="AR7" s="39" t="s">
        <v>147</v>
      </c>
      <c r="AS7" s="40" t="s">
        <v>148</v>
      </c>
      <c r="AT7" s="30">
        <v>1568</v>
      </c>
      <c r="AU7" s="36">
        <v>46197</v>
      </c>
      <c r="AV7" s="42" t="s">
        <v>97</v>
      </c>
      <c r="AW7" s="43">
        <v>10</v>
      </c>
      <c r="AY7" s="1">
        <v>1</v>
      </c>
      <c r="AZ7" s="1">
        <f t="shared" si="1"/>
        <v>60</v>
      </c>
    </row>
    <row r="8" spans="1:52" ht="60" customHeight="1" x14ac:dyDescent="0.25">
      <c r="A8" s="60">
        <f t="shared" si="2"/>
        <v>7</v>
      </c>
      <c r="B8" s="29">
        <v>40032300</v>
      </c>
      <c r="C8" s="29">
        <v>0</v>
      </c>
      <c r="D8" s="34" t="s">
        <v>155</v>
      </c>
      <c r="E8" s="31" t="s">
        <v>71</v>
      </c>
      <c r="F8" s="31" t="s">
        <v>71</v>
      </c>
      <c r="G8" s="32">
        <v>46122</v>
      </c>
      <c r="H8" s="33">
        <v>556200</v>
      </c>
      <c r="I8" s="30" t="s">
        <v>84</v>
      </c>
      <c r="J8" s="30">
        <v>2026</v>
      </c>
      <c r="K8" s="34" t="s">
        <v>156</v>
      </c>
      <c r="L8" s="35" t="s">
        <v>157</v>
      </c>
      <c r="M8" s="35"/>
      <c r="N8" s="35" t="s">
        <v>158</v>
      </c>
      <c r="O8" s="35" t="s">
        <v>159</v>
      </c>
      <c r="P8" s="30">
        <v>150</v>
      </c>
      <c r="Q8" s="30">
        <v>150</v>
      </c>
      <c r="R8" s="30">
        <f t="shared" si="0"/>
        <v>300</v>
      </c>
      <c r="S8" s="30"/>
      <c r="T8" s="34" t="s">
        <v>160</v>
      </c>
      <c r="U8" s="34" t="s">
        <v>160</v>
      </c>
      <c r="V8" s="30">
        <v>1221</v>
      </c>
      <c r="W8" s="36">
        <v>46122</v>
      </c>
      <c r="X8" s="36"/>
      <c r="Y8" s="36">
        <v>46122</v>
      </c>
      <c r="Z8" s="36">
        <v>46122</v>
      </c>
      <c r="AA8" s="36">
        <v>46122</v>
      </c>
      <c r="AB8" s="37">
        <f>WORKDAY(AA8,15,'Feriados y Comunas'!A$2:A$39)</f>
        <v>46146</v>
      </c>
      <c r="AC8" s="38"/>
      <c r="AD8" s="30"/>
      <c r="AE8" s="30"/>
      <c r="AF8" s="30"/>
      <c r="AG8" s="30"/>
      <c r="AH8" s="38"/>
      <c r="AI8" s="39" t="s">
        <v>161</v>
      </c>
      <c r="AJ8" s="40" t="s">
        <v>162</v>
      </c>
      <c r="AK8" s="56" t="s">
        <v>163</v>
      </c>
      <c r="AL8" s="30" t="s">
        <v>93</v>
      </c>
      <c r="AM8" s="39" t="s">
        <v>164</v>
      </c>
      <c r="AN8" s="40" t="s">
        <v>165</v>
      </c>
      <c r="AO8" s="39" t="s">
        <v>166</v>
      </c>
      <c r="AP8" s="40" t="s">
        <v>167</v>
      </c>
      <c r="AQ8" s="41"/>
      <c r="AR8" s="39" t="s">
        <v>161</v>
      </c>
      <c r="AS8" s="40" t="s">
        <v>162</v>
      </c>
      <c r="AT8" s="30"/>
      <c r="AU8" s="36"/>
      <c r="AV8" s="42" t="s">
        <v>93</v>
      </c>
      <c r="AW8" s="43">
        <v>7</v>
      </c>
      <c r="AX8" s="54" t="s">
        <v>122</v>
      </c>
      <c r="AY8" s="1">
        <v>2</v>
      </c>
      <c r="AZ8" s="1">
        <f t="shared" si="1"/>
        <v>-32945</v>
      </c>
    </row>
    <row r="9" spans="1:52" ht="60" customHeight="1" x14ac:dyDescent="0.25">
      <c r="A9" s="60">
        <f t="shared" si="2"/>
        <v>8</v>
      </c>
      <c r="B9" s="29">
        <v>40071114</v>
      </c>
      <c r="C9" s="29">
        <v>0</v>
      </c>
      <c r="D9" s="30" t="s">
        <v>174</v>
      </c>
      <c r="E9" s="31" t="s">
        <v>32</v>
      </c>
      <c r="F9" s="31" t="s">
        <v>44</v>
      </c>
      <c r="G9" s="32">
        <v>46188</v>
      </c>
      <c r="H9" s="33">
        <v>198976</v>
      </c>
      <c r="I9" s="30" t="s">
        <v>84</v>
      </c>
      <c r="J9" s="30">
        <v>2027</v>
      </c>
      <c r="K9" s="34" t="s">
        <v>175</v>
      </c>
      <c r="L9" s="35" t="s">
        <v>176</v>
      </c>
      <c r="M9" s="35"/>
      <c r="N9" s="35" t="s">
        <v>169</v>
      </c>
      <c r="O9" s="35" t="s">
        <v>170</v>
      </c>
      <c r="P9" s="30">
        <v>434</v>
      </c>
      <c r="Q9" s="30">
        <v>416</v>
      </c>
      <c r="R9" s="30">
        <v>850</v>
      </c>
      <c r="S9" s="30"/>
      <c r="T9" s="34" t="s">
        <v>177</v>
      </c>
      <c r="U9" s="34" t="s">
        <v>177</v>
      </c>
      <c r="V9" s="30">
        <v>478</v>
      </c>
      <c r="W9" s="36">
        <v>46185</v>
      </c>
      <c r="X9" s="36"/>
      <c r="Y9" s="36"/>
      <c r="Z9" s="36"/>
      <c r="AA9" s="36">
        <v>46188</v>
      </c>
      <c r="AB9" s="37">
        <f>WORKDAY(AA9,15,'Feriados y Comunas'!A$2:A$39)</f>
        <v>46210</v>
      </c>
      <c r="AC9" s="38"/>
      <c r="AD9" s="30"/>
      <c r="AE9" s="30"/>
      <c r="AF9" s="30"/>
      <c r="AG9" s="30"/>
      <c r="AH9" s="38"/>
      <c r="AI9" s="30">
        <v>1019</v>
      </c>
      <c r="AJ9" s="36">
        <v>45800</v>
      </c>
      <c r="AK9" s="36">
        <v>45791</v>
      </c>
      <c r="AL9" s="30" t="s">
        <v>93</v>
      </c>
      <c r="AM9" s="30"/>
      <c r="AN9" s="36"/>
      <c r="AO9" s="30"/>
      <c r="AP9" s="36"/>
      <c r="AQ9" s="41"/>
      <c r="AR9" s="30">
        <v>1019</v>
      </c>
      <c r="AS9" s="36">
        <v>45800</v>
      </c>
      <c r="AT9" s="30"/>
      <c r="AU9" s="36"/>
      <c r="AV9" s="42" t="s">
        <v>93</v>
      </c>
      <c r="AW9" s="43"/>
      <c r="AY9" s="1">
        <v>1</v>
      </c>
      <c r="AZ9" s="1">
        <f t="shared" si="1"/>
        <v>-32991</v>
      </c>
    </row>
    <row r="10" spans="1:52" ht="60" customHeight="1" x14ac:dyDescent="0.25">
      <c r="A10" s="60">
        <f t="shared" si="2"/>
        <v>9</v>
      </c>
      <c r="B10" s="29">
        <v>40073176</v>
      </c>
      <c r="C10" s="29">
        <v>0</v>
      </c>
      <c r="D10" s="30" t="s">
        <v>178</v>
      </c>
      <c r="E10" s="31" t="s">
        <v>71</v>
      </c>
      <c r="F10" s="31" t="s">
        <v>71</v>
      </c>
      <c r="G10" s="32">
        <v>45796</v>
      </c>
      <c r="H10" s="33">
        <v>310600</v>
      </c>
      <c r="I10" s="30" t="s">
        <v>84</v>
      </c>
      <c r="J10" s="30">
        <v>2026</v>
      </c>
      <c r="K10" s="34" t="s">
        <v>85</v>
      </c>
      <c r="L10" s="35" t="s">
        <v>179</v>
      </c>
      <c r="M10" s="35"/>
      <c r="N10" s="35" t="s">
        <v>180</v>
      </c>
      <c r="O10" s="35" t="s">
        <v>181</v>
      </c>
      <c r="P10" s="30">
        <v>2628</v>
      </c>
      <c r="Q10" s="30">
        <v>2724</v>
      </c>
      <c r="R10" s="30">
        <f t="shared" ref="R10:R12" si="3">SUM(P10:Q10)</f>
        <v>5352</v>
      </c>
      <c r="S10" s="30"/>
      <c r="T10" s="34" t="s">
        <v>89</v>
      </c>
      <c r="U10" s="34" t="s">
        <v>89</v>
      </c>
      <c r="V10" s="30">
        <v>3178</v>
      </c>
      <c r="W10" s="36">
        <v>45793</v>
      </c>
      <c r="X10" s="36"/>
      <c r="Y10" s="36"/>
      <c r="Z10" s="36"/>
      <c r="AA10" s="36">
        <v>45796</v>
      </c>
      <c r="AB10" s="37">
        <f>WORKDAY(AA10,15,'Feriados y Comunas'!A$2:A$39)</f>
        <v>45818</v>
      </c>
      <c r="AC10" s="38"/>
      <c r="AD10" s="30"/>
      <c r="AE10" s="30"/>
      <c r="AF10" s="30"/>
      <c r="AG10" s="30"/>
      <c r="AH10" s="38"/>
      <c r="AI10" s="39" t="s">
        <v>182</v>
      </c>
      <c r="AJ10" s="40" t="s">
        <v>183</v>
      </c>
      <c r="AK10" s="40" t="s">
        <v>184</v>
      </c>
      <c r="AL10" s="30" t="s">
        <v>93</v>
      </c>
      <c r="AM10" s="30"/>
      <c r="AN10" s="36"/>
      <c r="AO10" s="30"/>
      <c r="AP10" s="36">
        <v>46030</v>
      </c>
      <c r="AQ10" s="41"/>
      <c r="AR10" s="39" t="s">
        <v>182</v>
      </c>
      <c r="AS10" s="40" t="s">
        <v>183</v>
      </c>
      <c r="AT10" s="30"/>
      <c r="AU10" s="36"/>
      <c r="AV10" s="42" t="s">
        <v>93</v>
      </c>
      <c r="AW10" s="43">
        <v>19</v>
      </c>
      <c r="AY10" s="1">
        <v>1</v>
      </c>
      <c r="AZ10" s="1">
        <f t="shared" si="1"/>
        <v>-32711</v>
      </c>
    </row>
    <row r="11" spans="1:52" ht="60" customHeight="1" x14ac:dyDescent="0.25">
      <c r="A11" s="60">
        <f t="shared" si="2"/>
        <v>10</v>
      </c>
      <c r="B11" s="29">
        <v>40074075</v>
      </c>
      <c r="C11" s="29">
        <v>0</v>
      </c>
      <c r="D11" s="30" t="s">
        <v>185</v>
      </c>
      <c r="E11" s="31" t="s">
        <v>28</v>
      </c>
      <c r="F11" s="31" t="s">
        <v>44</v>
      </c>
      <c r="G11" s="32">
        <v>45862</v>
      </c>
      <c r="H11" s="33">
        <v>129990</v>
      </c>
      <c r="I11" s="30" t="s">
        <v>84</v>
      </c>
      <c r="J11" s="30">
        <v>2026</v>
      </c>
      <c r="K11" s="34" t="s">
        <v>85</v>
      </c>
      <c r="L11" s="35" t="s">
        <v>186</v>
      </c>
      <c r="M11" s="35"/>
      <c r="N11" s="35" t="s">
        <v>180</v>
      </c>
      <c r="O11" s="35" t="s">
        <v>181</v>
      </c>
      <c r="P11" s="30">
        <v>22832</v>
      </c>
      <c r="Q11" s="30">
        <v>24165</v>
      </c>
      <c r="R11" s="30">
        <f t="shared" si="3"/>
        <v>46997</v>
      </c>
      <c r="S11" s="30"/>
      <c r="T11" s="34" t="s">
        <v>187</v>
      </c>
      <c r="U11" s="34" t="s">
        <v>187</v>
      </c>
      <c r="V11" s="30">
        <v>677</v>
      </c>
      <c r="W11" s="36">
        <v>45839</v>
      </c>
      <c r="X11" s="36"/>
      <c r="Y11" s="36"/>
      <c r="Z11" s="36"/>
      <c r="AA11" s="36">
        <v>45862</v>
      </c>
      <c r="AB11" s="37">
        <f>WORKDAY(AA11,15,'Feriados y Comunas'!A$2:A$39)</f>
        <v>45883</v>
      </c>
      <c r="AC11" s="38"/>
      <c r="AD11" s="30"/>
      <c r="AE11" s="30"/>
      <c r="AF11" s="30"/>
      <c r="AG11" s="30"/>
      <c r="AH11" s="38"/>
      <c r="AI11" s="39" t="s">
        <v>188</v>
      </c>
      <c r="AJ11" s="40" t="s">
        <v>189</v>
      </c>
      <c r="AK11" s="40" t="s">
        <v>190</v>
      </c>
      <c r="AL11" s="30" t="s">
        <v>93</v>
      </c>
      <c r="AM11" s="30">
        <v>1154</v>
      </c>
      <c r="AN11" s="36">
        <v>45960</v>
      </c>
      <c r="AO11" s="30"/>
      <c r="AP11" s="36">
        <v>46031</v>
      </c>
      <c r="AQ11" s="41"/>
      <c r="AR11" s="39" t="s">
        <v>188</v>
      </c>
      <c r="AS11" s="40" t="s">
        <v>189</v>
      </c>
      <c r="AT11" s="30"/>
      <c r="AU11" s="36"/>
      <c r="AV11" s="42" t="s">
        <v>93</v>
      </c>
      <c r="AW11" s="43">
        <v>11</v>
      </c>
      <c r="AX11" s="1" t="s">
        <v>122</v>
      </c>
      <c r="AY11" s="1">
        <v>1</v>
      </c>
      <c r="AZ11" s="1">
        <f t="shared" si="1"/>
        <v>-32759</v>
      </c>
    </row>
    <row r="12" spans="1:52" ht="60" customHeight="1" x14ac:dyDescent="0.25">
      <c r="A12" s="60">
        <f t="shared" si="2"/>
        <v>11</v>
      </c>
      <c r="B12" s="29">
        <v>40076275</v>
      </c>
      <c r="C12" s="29">
        <v>0</v>
      </c>
      <c r="D12" s="30" t="s">
        <v>191</v>
      </c>
      <c r="E12" s="31" t="s">
        <v>46</v>
      </c>
      <c r="F12" s="31" t="s">
        <v>58</v>
      </c>
      <c r="G12" s="32">
        <v>45929</v>
      </c>
      <c r="H12" s="33">
        <v>4396017</v>
      </c>
      <c r="I12" s="30" t="s">
        <v>84</v>
      </c>
      <c r="J12" s="30">
        <v>2026</v>
      </c>
      <c r="K12" s="34" t="s">
        <v>99</v>
      </c>
      <c r="L12" s="35" t="s">
        <v>192</v>
      </c>
      <c r="M12" s="35"/>
      <c r="N12" s="35" t="s">
        <v>101</v>
      </c>
      <c r="O12" s="35" t="s">
        <v>102</v>
      </c>
      <c r="P12" s="30">
        <v>1</v>
      </c>
      <c r="Q12" s="30">
        <v>1</v>
      </c>
      <c r="R12" s="30">
        <f t="shared" si="3"/>
        <v>2</v>
      </c>
      <c r="S12" s="30"/>
      <c r="T12" s="34" t="s">
        <v>126</v>
      </c>
      <c r="U12" s="34" t="s">
        <v>126</v>
      </c>
      <c r="V12" s="30">
        <v>2945</v>
      </c>
      <c r="W12" s="36">
        <v>45912</v>
      </c>
      <c r="X12" s="36"/>
      <c r="Y12" s="36"/>
      <c r="Z12" s="36"/>
      <c r="AA12" s="36">
        <v>45929</v>
      </c>
      <c r="AB12" s="37">
        <f>WORKDAY(AA12,15,'Feriados y Comunas'!A$2:A$39)</f>
        <v>45950</v>
      </c>
      <c r="AC12" s="38"/>
      <c r="AD12" s="30"/>
      <c r="AE12" s="30"/>
      <c r="AF12" s="30"/>
      <c r="AG12" s="30"/>
      <c r="AH12" s="38"/>
      <c r="AI12" s="39" t="s">
        <v>193</v>
      </c>
      <c r="AJ12" s="40" t="s">
        <v>194</v>
      </c>
      <c r="AK12" s="40" t="s">
        <v>195</v>
      </c>
      <c r="AL12" s="30" t="s">
        <v>93</v>
      </c>
      <c r="AM12" s="39" t="s">
        <v>223</v>
      </c>
      <c r="AN12" s="40" t="s">
        <v>224</v>
      </c>
      <c r="AO12" s="55"/>
      <c r="AP12" s="40" t="s">
        <v>225</v>
      </c>
      <c r="AQ12" s="41"/>
      <c r="AR12" s="39" t="s">
        <v>193</v>
      </c>
      <c r="AS12" s="40" t="s">
        <v>194</v>
      </c>
      <c r="AT12" s="57"/>
      <c r="AU12" s="36"/>
      <c r="AV12" s="42" t="s">
        <v>93</v>
      </c>
      <c r="AW12" s="43">
        <v>29</v>
      </c>
      <c r="AY12" s="1">
        <v>1</v>
      </c>
      <c r="AZ12" s="1">
        <f t="shared" si="1"/>
        <v>-32806</v>
      </c>
    </row>
    <row r="13" spans="1:52" ht="60" customHeight="1" x14ac:dyDescent="0.25">
      <c r="A13" s="60">
        <f t="shared" si="2"/>
        <v>12</v>
      </c>
      <c r="B13" s="44">
        <v>40072522</v>
      </c>
      <c r="C13" s="44">
        <v>0</v>
      </c>
      <c r="D13" s="31" t="s">
        <v>196</v>
      </c>
      <c r="E13" s="31" t="s">
        <v>56</v>
      </c>
      <c r="F13" s="31" t="s">
        <v>58</v>
      </c>
      <c r="G13" s="32">
        <v>45945</v>
      </c>
      <c r="H13" s="45">
        <v>501270</v>
      </c>
      <c r="I13" s="46" t="s">
        <v>84</v>
      </c>
      <c r="J13" s="30">
        <v>2026</v>
      </c>
      <c r="K13" s="46" t="s">
        <v>156</v>
      </c>
      <c r="L13" s="58" t="s">
        <v>197</v>
      </c>
      <c r="M13" s="46"/>
      <c r="N13" s="35" t="s">
        <v>154</v>
      </c>
      <c r="O13" s="35" t="s">
        <v>171</v>
      </c>
      <c r="P13" s="48"/>
      <c r="Q13" s="48"/>
      <c r="R13" s="48"/>
      <c r="S13" s="46"/>
      <c r="T13" s="46" t="s">
        <v>198</v>
      </c>
      <c r="U13" s="46" t="s">
        <v>198</v>
      </c>
      <c r="V13" s="39">
        <v>940</v>
      </c>
      <c r="W13" s="49">
        <v>45945</v>
      </c>
      <c r="X13" s="49"/>
      <c r="Y13" s="49"/>
      <c r="Z13" s="49"/>
      <c r="AA13" s="49">
        <v>45945</v>
      </c>
      <c r="AB13" s="37">
        <f>WORKDAY(AA13,15,'Feriados y Comunas'!A$2:A$39)</f>
        <v>45967</v>
      </c>
      <c r="AC13" s="38"/>
      <c r="AD13" s="50"/>
      <c r="AE13" s="51"/>
      <c r="AF13" s="51"/>
      <c r="AG13" s="51"/>
      <c r="AH13" s="38"/>
      <c r="AI13" s="39">
        <v>3369</v>
      </c>
      <c r="AJ13" s="40">
        <v>46010</v>
      </c>
      <c r="AK13" s="40">
        <v>46010</v>
      </c>
      <c r="AL13" s="40" t="s">
        <v>93</v>
      </c>
      <c r="AM13" s="39"/>
      <c r="AN13" s="49"/>
      <c r="AO13" s="49"/>
      <c r="AP13" s="49"/>
      <c r="AQ13" s="41"/>
      <c r="AR13" s="39"/>
      <c r="AS13" s="40"/>
      <c r="AT13" s="39"/>
      <c r="AU13" s="40"/>
      <c r="AV13" s="52" t="s">
        <v>93</v>
      </c>
      <c r="AW13" s="53">
        <v>45</v>
      </c>
      <c r="AX13" s="54"/>
      <c r="AY13" s="1">
        <v>1</v>
      </c>
      <c r="AZ13" s="1">
        <f t="shared" si="1"/>
        <v>-32818</v>
      </c>
    </row>
    <row r="14" spans="1:52" ht="60" customHeight="1" x14ac:dyDescent="0.25">
      <c r="A14" s="60">
        <f t="shared" si="2"/>
        <v>13</v>
      </c>
      <c r="B14" s="44">
        <v>0</v>
      </c>
      <c r="C14" s="44">
        <v>0</v>
      </c>
      <c r="D14" s="31" t="s">
        <v>199</v>
      </c>
      <c r="E14" s="31" t="s">
        <v>71</v>
      </c>
      <c r="F14" s="31" t="s">
        <v>71</v>
      </c>
      <c r="G14" s="32">
        <v>45964</v>
      </c>
      <c r="H14" s="45">
        <v>326600</v>
      </c>
      <c r="I14" s="46" t="s">
        <v>84</v>
      </c>
      <c r="J14" s="30">
        <v>2026</v>
      </c>
      <c r="K14" s="46" t="s">
        <v>153</v>
      </c>
      <c r="L14" s="58" t="s">
        <v>200</v>
      </c>
      <c r="M14" s="46"/>
      <c r="N14" s="35" t="s">
        <v>172</v>
      </c>
      <c r="O14" s="35" t="s">
        <v>173</v>
      </c>
      <c r="P14" s="48"/>
      <c r="Q14" s="48"/>
      <c r="R14" s="48"/>
      <c r="S14" s="46"/>
      <c r="T14" s="46" t="s">
        <v>201</v>
      </c>
      <c r="U14" s="46" t="s">
        <v>201</v>
      </c>
      <c r="V14" s="39">
        <v>544</v>
      </c>
      <c r="W14" s="49">
        <v>45964</v>
      </c>
      <c r="X14" s="49"/>
      <c r="Y14" s="49"/>
      <c r="Z14" s="49"/>
      <c r="AA14" s="49">
        <v>45964</v>
      </c>
      <c r="AB14" s="37">
        <f>WORKDAY(AA14,15,'Feriados y Comunas'!A$2:A$39)</f>
        <v>45985</v>
      </c>
      <c r="AC14" s="38"/>
      <c r="AD14" s="50"/>
      <c r="AE14" s="51"/>
      <c r="AF14" s="51"/>
      <c r="AG14" s="51"/>
      <c r="AH14" s="38"/>
      <c r="AI14" s="39">
        <v>3352</v>
      </c>
      <c r="AJ14" s="40">
        <v>46009</v>
      </c>
      <c r="AK14" s="40">
        <v>46009</v>
      </c>
      <c r="AL14" s="40" t="s">
        <v>93</v>
      </c>
      <c r="AM14" s="39"/>
      <c r="AN14" s="49"/>
      <c r="AO14" s="49"/>
      <c r="AP14" s="49"/>
      <c r="AQ14" s="41"/>
      <c r="AR14" s="39"/>
      <c r="AS14" s="40"/>
      <c r="AT14" s="39"/>
      <c r="AU14" s="40"/>
      <c r="AV14" s="52" t="s">
        <v>93</v>
      </c>
      <c r="AW14" s="53">
        <v>31</v>
      </c>
      <c r="AX14" s="54"/>
      <c r="AY14" s="1">
        <v>1</v>
      </c>
      <c r="AZ14" s="1">
        <f t="shared" si="1"/>
        <v>-32831</v>
      </c>
    </row>
    <row r="15" spans="1:52" ht="60" customHeight="1" x14ac:dyDescent="0.25">
      <c r="A15" s="60">
        <f t="shared" si="2"/>
        <v>14</v>
      </c>
      <c r="B15" s="44">
        <v>0</v>
      </c>
      <c r="C15" s="44">
        <v>0</v>
      </c>
      <c r="D15" s="31" t="s">
        <v>202</v>
      </c>
      <c r="E15" s="31" t="s">
        <v>71</v>
      </c>
      <c r="F15" s="31" t="s">
        <v>71</v>
      </c>
      <c r="G15" s="32">
        <v>45964</v>
      </c>
      <c r="H15" s="45">
        <v>326600</v>
      </c>
      <c r="I15" s="46" t="s">
        <v>84</v>
      </c>
      <c r="J15" s="30">
        <v>2026</v>
      </c>
      <c r="K15" s="46" t="s">
        <v>153</v>
      </c>
      <c r="L15" s="58" t="s">
        <v>203</v>
      </c>
      <c r="M15" s="46"/>
      <c r="N15" s="35" t="s">
        <v>172</v>
      </c>
      <c r="O15" s="35" t="s">
        <v>173</v>
      </c>
      <c r="P15" s="48"/>
      <c r="Q15" s="48"/>
      <c r="R15" s="48"/>
      <c r="S15" s="46"/>
      <c r="T15" s="46" t="s">
        <v>201</v>
      </c>
      <c r="U15" s="46" t="s">
        <v>201</v>
      </c>
      <c r="V15" s="39">
        <v>547</v>
      </c>
      <c r="W15" s="49">
        <v>45964</v>
      </c>
      <c r="X15" s="49"/>
      <c r="Y15" s="49"/>
      <c r="Z15" s="49"/>
      <c r="AA15" s="59">
        <v>45964</v>
      </c>
      <c r="AB15" s="37">
        <f>WORKDAY(AA15,15,'Feriados y Comunas'!A$2:A$39)</f>
        <v>45985</v>
      </c>
      <c r="AC15" s="38"/>
      <c r="AD15" s="50"/>
      <c r="AE15" s="51"/>
      <c r="AF15" s="51"/>
      <c r="AG15" s="51"/>
      <c r="AH15" s="38"/>
      <c r="AI15" s="39">
        <v>3353</v>
      </c>
      <c r="AJ15" s="40">
        <v>46009</v>
      </c>
      <c r="AK15" s="40">
        <v>46009</v>
      </c>
      <c r="AL15" s="40" t="s">
        <v>93</v>
      </c>
      <c r="AM15" s="39"/>
      <c r="AN15" s="49"/>
      <c r="AO15" s="49"/>
      <c r="AP15" s="49"/>
      <c r="AQ15" s="41"/>
      <c r="AR15" s="39"/>
      <c r="AS15" s="40"/>
      <c r="AT15" s="39"/>
      <c r="AU15" s="40"/>
      <c r="AV15" s="52" t="s">
        <v>93</v>
      </c>
      <c r="AW15" s="53">
        <v>31</v>
      </c>
      <c r="AX15" s="54"/>
      <c r="AY15" s="1">
        <v>1</v>
      </c>
      <c r="AZ15" s="1">
        <f t="shared" si="1"/>
        <v>-32831</v>
      </c>
    </row>
    <row r="16" spans="1:52" ht="60" customHeight="1" x14ac:dyDescent="0.25">
      <c r="A16" s="60">
        <f t="shared" si="2"/>
        <v>15</v>
      </c>
      <c r="B16" s="44">
        <v>40077572</v>
      </c>
      <c r="C16" s="44">
        <v>0</v>
      </c>
      <c r="D16" s="31" t="s">
        <v>204</v>
      </c>
      <c r="E16" s="31" t="s">
        <v>58</v>
      </c>
      <c r="F16" s="31" t="s">
        <v>58</v>
      </c>
      <c r="G16" s="32">
        <v>46009</v>
      </c>
      <c r="H16" s="45">
        <v>1789000</v>
      </c>
      <c r="I16" s="46" t="s">
        <v>84</v>
      </c>
      <c r="J16" s="30">
        <v>2026</v>
      </c>
      <c r="K16" s="46" t="s">
        <v>85</v>
      </c>
      <c r="L16" s="58" t="s">
        <v>205</v>
      </c>
      <c r="M16" s="46"/>
      <c r="N16" s="35" t="s">
        <v>172</v>
      </c>
      <c r="O16" s="35" t="s">
        <v>173</v>
      </c>
      <c r="P16" s="48"/>
      <c r="Q16" s="48"/>
      <c r="R16" s="48"/>
      <c r="S16" s="46"/>
      <c r="T16" s="46" t="s">
        <v>206</v>
      </c>
      <c r="U16" s="46" t="s">
        <v>206</v>
      </c>
      <c r="V16" s="39">
        <v>659</v>
      </c>
      <c r="W16" s="49">
        <v>46009</v>
      </c>
      <c r="X16" s="49"/>
      <c r="Y16" s="49"/>
      <c r="Z16" s="49"/>
      <c r="AA16" s="59">
        <v>46009</v>
      </c>
      <c r="AB16" s="37">
        <f>WORKDAY(AA16,15,'Feriados y Comunas'!A$2:A$39)</f>
        <v>46034</v>
      </c>
      <c r="AC16" s="38"/>
      <c r="AD16" s="50"/>
      <c r="AE16" s="51"/>
      <c r="AF16" s="51"/>
      <c r="AG16" s="51"/>
      <c r="AH16" s="38"/>
      <c r="AI16" s="39">
        <v>3418</v>
      </c>
      <c r="AJ16" s="40">
        <v>46020</v>
      </c>
      <c r="AK16" s="40">
        <v>46020</v>
      </c>
      <c r="AL16" s="40" t="s">
        <v>93</v>
      </c>
      <c r="AM16" s="39"/>
      <c r="AN16" s="49"/>
      <c r="AO16" s="49"/>
      <c r="AP16" s="49"/>
      <c r="AQ16" s="41"/>
      <c r="AR16" s="39"/>
      <c r="AS16" s="40"/>
      <c r="AT16" s="39"/>
      <c r="AU16" s="40"/>
      <c r="AV16" s="52" t="s">
        <v>93</v>
      </c>
      <c r="AW16" s="53">
        <v>7</v>
      </c>
      <c r="AX16" s="54" t="s">
        <v>122</v>
      </c>
      <c r="AY16" s="1">
        <v>1</v>
      </c>
      <c r="AZ16" s="1">
        <f t="shared" si="1"/>
        <v>-32864</v>
      </c>
    </row>
    <row r="17" spans="1:52" ht="60" customHeight="1" x14ac:dyDescent="0.25">
      <c r="A17" s="60">
        <f t="shared" si="2"/>
        <v>16</v>
      </c>
      <c r="B17" s="29">
        <v>40079402</v>
      </c>
      <c r="C17" s="29">
        <v>0</v>
      </c>
      <c r="D17" s="30" t="s">
        <v>207</v>
      </c>
      <c r="E17" s="31" t="s">
        <v>44</v>
      </c>
      <c r="F17" s="31" t="s">
        <v>44</v>
      </c>
      <c r="G17" s="32">
        <v>46160</v>
      </c>
      <c r="H17" s="33">
        <v>1504562</v>
      </c>
      <c r="I17" s="46" t="s">
        <v>84</v>
      </c>
      <c r="J17" s="30">
        <v>2026</v>
      </c>
      <c r="K17" s="34" t="s">
        <v>99</v>
      </c>
      <c r="L17" s="35" t="s">
        <v>208</v>
      </c>
      <c r="M17" s="35"/>
      <c r="N17" s="35" t="s">
        <v>101</v>
      </c>
      <c r="O17" s="35" t="s">
        <v>168</v>
      </c>
      <c r="P17" s="30">
        <v>598</v>
      </c>
      <c r="Q17" s="30">
        <v>602</v>
      </c>
      <c r="R17" s="48">
        <f t="shared" ref="R17:R20" si="4">SUM(P17:Q17)</f>
        <v>1200</v>
      </c>
      <c r="S17" s="30"/>
      <c r="T17" s="34" t="s">
        <v>209</v>
      </c>
      <c r="U17" s="34" t="s">
        <v>210</v>
      </c>
      <c r="V17" s="30">
        <v>1017</v>
      </c>
      <c r="W17" s="36">
        <v>46157</v>
      </c>
      <c r="X17" s="36"/>
      <c r="Y17" s="36"/>
      <c r="Z17" s="36"/>
      <c r="AA17" s="32">
        <v>46160</v>
      </c>
      <c r="AB17" s="37">
        <f>WORKDAY(AA17,15,'Feriados y Comunas'!A$2:A$39)</f>
        <v>46182</v>
      </c>
      <c r="AC17" s="38"/>
      <c r="AD17" s="30"/>
      <c r="AE17" s="30"/>
      <c r="AF17" s="30"/>
      <c r="AG17" s="30"/>
      <c r="AH17" s="38"/>
      <c r="AI17" s="30">
        <v>1981</v>
      </c>
      <c r="AJ17" s="36">
        <v>46230</v>
      </c>
      <c r="AK17" s="36">
        <v>46196</v>
      </c>
      <c r="AL17" s="40" t="s">
        <v>93</v>
      </c>
      <c r="AM17" s="30"/>
      <c r="AN17" s="36"/>
      <c r="AO17" s="30"/>
      <c r="AP17" s="36"/>
      <c r="AQ17" s="41"/>
      <c r="AR17" s="30"/>
      <c r="AS17" s="36"/>
      <c r="AT17" s="30"/>
      <c r="AU17" s="36"/>
      <c r="AV17" s="52" t="s">
        <v>93</v>
      </c>
      <c r="AW17" s="43">
        <v>25</v>
      </c>
      <c r="AZ17" s="1">
        <f t="shared" si="1"/>
        <v>-32971</v>
      </c>
    </row>
    <row r="18" spans="1:52" ht="60" customHeight="1" x14ac:dyDescent="0.25">
      <c r="A18" s="60">
        <f t="shared" si="2"/>
        <v>17</v>
      </c>
      <c r="B18" s="60">
        <v>40080526</v>
      </c>
      <c r="C18" s="60">
        <v>0</v>
      </c>
      <c r="D18" s="61" t="s">
        <v>211</v>
      </c>
      <c r="E18" s="62" t="s">
        <v>71</v>
      </c>
      <c r="F18" s="62" t="s">
        <v>71</v>
      </c>
      <c r="G18" s="63">
        <v>46254</v>
      </c>
      <c r="H18" s="64">
        <v>270000000</v>
      </c>
      <c r="I18" s="65" t="s">
        <v>84</v>
      </c>
      <c r="J18" s="66">
        <v>2026</v>
      </c>
      <c r="K18" s="67" t="s">
        <v>153</v>
      </c>
      <c r="L18" s="35" t="s">
        <v>217</v>
      </c>
      <c r="M18" s="35"/>
      <c r="N18" s="68" t="s">
        <v>212</v>
      </c>
      <c r="O18" s="68" t="s">
        <v>213</v>
      </c>
      <c r="P18" s="30"/>
      <c r="Q18" s="66">
        <v>25</v>
      </c>
      <c r="R18" s="48">
        <f t="shared" si="4"/>
        <v>25</v>
      </c>
      <c r="S18" s="30"/>
      <c r="T18" s="67" t="s">
        <v>214</v>
      </c>
      <c r="U18" s="67" t="s">
        <v>214</v>
      </c>
      <c r="V18" s="30">
        <v>15</v>
      </c>
      <c r="W18" s="36">
        <v>46254</v>
      </c>
      <c r="X18" s="36"/>
      <c r="Y18" s="36"/>
      <c r="Z18" s="36"/>
      <c r="AA18" s="63">
        <v>46254</v>
      </c>
      <c r="AB18" s="37">
        <f>WORKDAY(AA18,15,'Feriados y Comunas'!A$2:A$39)</f>
        <v>46275</v>
      </c>
      <c r="AC18" s="38"/>
      <c r="AD18" s="30"/>
      <c r="AE18" s="30"/>
      <c r="AF18" s="30"/>
      <c r="AG18" s="30"/>
      <c r="AH18" s="38"/>
      <c r="AI18" s="30">
        <v>2657</v>
      </c>
      <c r="AJ18" s="36">
        <v>46272</v>
      </c>
      <c r="AK18" s="36">
        <v>46269</v>
      </c>
      <c r="AL18" s="30" t="s">
        <v>93</v>
      </c>
      <c r="AM18" s="30"/>
      <c r="AN18" s="36"/>
      <c r="AO18" s="30"/>
      <c r="AP18" s="36"/>
      <c r="AQ18" s="41"/>
      <c r="AR18" s="30"/>
      <c r="AS18" s="36"/>
      <c r="AT18" s="30"/>
      <c r="AU18" s="36"/>
      <c r="AV18" s="52" t="s">
        <v>93</v>
      </c>
      <c r="AW18" s="43">
        <v>11</v>
      </c>
      <c r="AX18" t="s">
        <v>122</v>
      </c>
      <c r="AZ18" s="1">
        <f t="shared" si="1"/>
        <v>-33039</v>
      </c>
    </row>
    <row r="19" spans="1:52" ht="60" customHeight="1" x14ac:dyDescent="0.25">
      <c r="A19" s="60">
        <f t="shared" si="2"/>
        <v>18</v>
      </c>
      <c r="B19" s="60">
        <v>4005730110</v>
      </c>
      <c r="C19" s="60">
        <v>0</v>
      </c>
      <c r="D19" s="69" t="s">
        <v>215</v>
      </c>
      <c r="E19" s="62" t="s">
        <v>71</v>
      </c>
      <c r="F19" s="62" t="s">
        <v>71</v>
      </c>
      <c r="G19" s="63">
        <v>46254</v>
      </c>
      <c r="H19" s="64">
        <v>194000000</v>
      </c>
      <c r="I19" s="65" t="s">
        <v>84</v>
      </c>
      <c r="J19" s="66">
        <v>2026</v>
      </c>
      <c r="K19" s="67" t="s">
        <v>156</v>
      </c>
      <c r="L19" s="68" t="s">
        <v>218</v>
      </c>
      <c r="M19" s="35"/>
      <c r="N19" s="35"/>
      <c r="O19" s="35"/>
      <c r="P19" s="30"/>
      <c r="Q19" s="30"/>
      <c r="R19" s="48">
        <f t="shared" si="4"/>
        <v>0</v>
      </c>
      <c r="S19" s="30"/>
      <c r="T19" s="67" t="s">
        <v>214</v>
      </c>
      <c r="U19" s="67" t="s">
        <v>214</v>
      </c>
      <c r="V19" s="30">
        <v>16</v>
      </c>
      <c r="W19" s="36">
        <v>46254</v>
      </c>
      <c r="X19" s="36"/>
      <c r="Y19" s="36"/>
      <c r="Z19" s="36"/>
      <c r="AA19" s="63">
        <v>46254</v>
      </c>
      <c r="AB19" s="37">
        <f>WORKDAY(AA19,15,'Feriados y Comunas'!A$2:A$39)</f>
        <v>46275</v>
      </c>
      <c r="AC19" s="38"/>
      <c r="AD19" s="30"/>
      <c r="AE19" s="30"/>
      <c r="AF19" s="30"/>
      <c r="AG19" s="30"/>
      <c r="AH19" s="38"/>
      <c r="AI19" s="30">
        <v>2658</v>
      </c>
      <c r="AJ19" s="36">
        <v>46272</v>
      </c>
      <c r="AK19" s="36">
        <v>46269</v>
      </c>
      <c r="AL19" s="30" t="s">
        <v>93</v>
      </c>
      <c r="AM19" s="30"/>
      <c r="AN19" s="36"/>
      <c r="AO19" s="30"/>
      <c r="AP19" s="36"/>
      <c r="AQ19" s="41"/>
      <c r="AR19" s="30"/>
      <c r="AS19" s="36"/>
      <c r="AT19" s="30"/>
      <c r="AU19" s="36"/>
      <c r="AV19" s="52" t="s">
        <v>93</v>
      </c>
      <c r="AW19" s="43">
        <v>11</v>
      </c>
      <c r="AX19" s="3" t="s">
        <v>122</v>
      </c>
      <c r="AY19" s="3"/>
      <c r="AZ19" s="1">
        <f t="shared" si="1"/>
        <v>-33039</v>
      </c>
    </row>
    <row r="20" spans="1:52" ht="60" customHeight="1" x14ac:dyDescent="0.25">
      <c r="A20" s="60">
        <f t="shared" si="2"/>
        <v>19</v>
      </c>
      <c r="B20" s="60">
        <v>40057322</v>
      </c>
      <c r="C20" s="60">
        <v>0</v>
      </c>
      <c r="D20" s="69" t="s">
        <v>216</v>
      </c>
      <c r="E20" s="62" t="s">
        <v>71</v>
      </c>
      <c r="F20" s="62" t="s">
        <v>71</v>
      </c>
      <c r="G20" s="63">
        <v>46254</v>
      </c>
      <c r="H20" s="64">
        <v>323394000</v>
      </c>
      <c r="I20" s="65" t="s">
        <v>84</v>
      </c>
      <c r="J20" s="66">
        <v>2026</v>
      </c>
      <c r="K20" s="67" t="s">
        <v>156</v>
      </c>
      <c r="L20" s="68" t="s">
        <v>219</v>
      </c>
      <c r="M20" s="35"/>
      <c r="N20" s="35"/>
      <c r="O20" s="35"/>
      <c r="P20" s="30"/>
      <c r="Q20" s="30"/>
      <c r="R20" s="48">
        <f t="shared" si="4"/>
        <v>0</v>
      </c>
      <c r="S20" s="30"/>
      <c r="T20" s="67" t="s">
        <v>214</v>
      </c>
      <c r="U20" s="67" t="s">
        <v>214</v>
      </c>
      <c r="V20" s="30">
        <v>17</v>
      </c>
      <c r="W20" s="36">
        <v>46254</v>
      </c>
      <c r="X20" s="36"/>
      <c r="Y20" s="36"/>
      <c r="Z20" s="36"/>
      <c r="AA20" s="63">
        <v>46254</v>
      </c>
      <c r="AB20" s="37">
        <f>WORKDAY(AA20,15,'Feriados y Comunas'!A$2:A$39)</f>
        <v>46275</v>
      </c>
      <c r="AC20" s="38"/>
      <c r="AD20" s="30"/>
      <c r="AE20" s="30"/>
      <c r="AF20" s="30"/>
      <c r="AG20" s="30"/>
      <c r="AH20" s="38"/>
      <c r="AI20" s="30">
        <v>2659</v>
      </c>
      <c r="AJ20" s="36">
        <v>46272</v>
      </c>
      <c r="AK20" s="36">
        <v>46269</v>
      </c>
      <c r="AL20" s="30" t="s">
        <v>93</v>
      </c>
      <c r="AM20" s="30"/>
      <c r="AN20" s="36"/>
      <c r="AO20" s="30"/>
      <c r="AP20" s="36"/>
      <c r="AQ20" s="41"/>
      <c r="AR20" s="30"/>
      <c r="AS20" s="36"/>
      <c r="AT20" s="30"/>
      <c r="AU20" s="36"/>
      <c r="AV20" s="52" t="s">
        <v>93</v>
      </c>
      <c r="AW20" s="43">
        <v>11</v>
      </c>
      <c r="AX20" t="s">
        <v>122</v>
      </c>
      <c r="AZ20" s="1">
        <f t="shared" si="1"/>
        <v>-33039</v>
      </c>
    </row>
    <row r="21" spans="1:52" ht="60" customHeight="1" x14ac:dyDescent="0.25">
      <c r="A21" s="60">
        <f t="shared" si="2"/>
        <v>20</v>
      </c>
      <c r="B21" s="60">
        <v>40082979</v>
      </c>
      <c r="C21" s="60">
        <v>0</v>
      </c>
      <c r="D21" s="69" t="s">
        <v>220</v>
      </c>
      <c r="E21" s="62" t="s">
        <v>44</v>
      </c>
      <c r="F21" s="62" t="s">
        <v>44</v>
      </c>
      <c r="G21" s="63">
        <v>46255</v>
      </c>
      <c r="H21" s="64">
        <v>398800</v>
      </c>
      <c r="I21" s="65" t="s">
        <v>84</v>
      </c>
      <c r="J21" s="66">
        <v>2026</v>
      </c>
      <c r="K21" s="67" t="s">
        <v>85</v>
      </c>
      <c r="L21" s="68" t="s">
        <v>226</v>
      </c>
      <c r="M21" s="68"/>
      <c r="N21" s="68"/>
      <c r="O21" s="68"/>
      <c r="P21" s="30">
        <v>550</v>
      </c>
      <c r="Q21" s="30">
        <v>795</v>
      </c>
      <c r="R21" s="48">
        <f t="shared" ref="R21:R25" si="5">SUM(P21:Q21)</f>
        <v>1345</v>
      </c>
      <c r="S21" s="30"/>
      <c r="T21" s="67" t="s">
        <v>221</v>
      </c>
      <c r="U21" s="67" t="s">
        <v>221</v>
      </c>
      <c r="V21" s="30">
        <v>1481</v>
      </c>
      <c r="W21" s="36">
        <v>46265</v>
      </c>
      <c r="X21" s="36"/>
      <c r="Y21" s="36"/>
      <c r="Z21" s="36"/>
      <c r="AA21" s="63">
        <v>46266</v>
      </c>
      <c r="AB21" s="37">
        <f>WORKDAY(AA21,15,'Feriados y Comunas'!A$2:A$39)</f>
        <v>46288</v>
      </c>
      <c r="AC21" s="38"/>
      <c r="AD21" s="30"/>
      <c r="AE21" s="30"/>
      <c r="AF21" s="30"/>
      <c r="AG21" s="30"/>
      <c r="AH21" s="38"/>
      <c r="AI21" s="30">
        <v>2701</v>
      </c>
      <c r="AJ21" s="36">
        <v>46275</v>
      </c>
      <c r="AK21" s="36">
        <v>46269</v>
      </c>
      <c r="AL21" s="30" t="s">
        <v>93</v>
      </c>
      <c r="AM21" s="30"/>
      <c r="AN21" s="36"/>
      <c r="AO21" s="30"/>
      <c r="AP21" s="36"/>
      <c r="AQ21" s="41"/>
      <c r="AR21" s="30"/>
      <c r="AS21" s="36"/>
      <c r="AT21" s="30"/>
      <c r="AU21" s="36"/>
      <c r="AV21" s="52" t="s">
        <v>93</v>
      </c>
      <c r="AW21" s="43">
        <v>3</v>
      </c>
      <c r="AX21" t="s">
        <v>122</v>
      </c>
      <c r="AZ21" s="1">
        <f t="shared" ref="AZ21:AZ25" si="6">NETWORKDAYS(G21,AU21)</f>
        <v>-33040</v>
      </c>
    </row>
    <row r="22" spans="1:52" ht="60" customHeight="1" x14ac:dyDescent="0.25">
      <c r="A22" s="60">
        <f t="shared" si="2"/>
        <v>21</v>
      </c>
      <c r="B22" s="60">
        <v>40080639</v>
      </c>
      <c r="C22" s="60">
        <v>0</v>
      </c>
      <c r="D22" s="69" t="s">
        <v>222</v>
      </c>
      <c r="E22" s="62" t="s">
        <v>4</v>
      </c>
      <c r="F22" s="62" t="s">
        <v>19</v>
      </c>
      <c r="G22" s="63">
        <v>46256</v>
      </c>
      <c r="H22" s="64">
        <v>500000</v>
      </c>
      <c r="I22" s="65" t="s">
        <v>84</v>
      </c>
      <c r="J22" s="66">
        <v>2026</v>
      </c>
      <c r="K22" s="67" t="s">
        <v>99</v>
      </c>
      <c r="L22" s="68" t="s">
        <v>227</v>
      </c>
      <c r="M22" s="68"/>
      <c r="N22" s="68"/>
      <c r="O22" s="68"/>
      <c r="P22" s="30">
        <v>113000</v>
      </c>
      <c r="Q22" s="30">
        <v>100000</v>
      </c>
      <c r="R22" s="48">
        <f t="shared" si="5"/>
        <v>213000</v>
      </c>
      <c r="S22" s="30"/>
      <c r="T22" s="67" t="s">
        <v>103</v>
      </c>
      <c r="U22" s="67" t="s">
        <v>103</v>
      </c>
      <c r="V22" s="30">
        <v>712</v>
      </c>
      <c r="W22" s="36">
        <v>46266</v>
      </c>
      <c r="X22" s="36"/>
      <c r="Y22" s="36"/>
      <c r="Z22" s="36"/>
      <c r="AA22" s="63">
        <v>46266</v>
      </c>
      <c r="AB22" s="37">
        <f>WORKDAY(AA22,15,'Feriados y Comunas'!A$2:A$39)</f>
        <v>46288</v>
      </c>
      <c r="AC22" s="38"/>
      <c r="AD22" s="30"/>
      <c r="AE22" s="30"/>
      <c r="AF22" s="30"/>
      <c r="AG22" s="30"/>
      <c r="AH22" s="38"/>
      <c r="AI22" s="30">
        <v>2797</v>
      </c>
      <c r="AJ22" s="36">
        <v>46279</v>
      </c>
      <c r="AK22" s="36">
        <v>46269</v>
      </c>
      <c r="AL22" s="30" t="s">
        <v>93</v>
      </c>
      <c r="AM22" s="30"/>
      <c r="AN22" s="36"/>
      <c r="AO22" s="30"/>
      <c r="AP22" s="36"/>
      <c r="AQ22" s="41"/>
      <c r="AR22" s="30"/>
      <c r="AS22" s="36"/>
      <c r="AT22" s="30"/>
      <c r="AU22" s="36"/>
      <c r="AV22" s="52" t="s">
        <v>93</v>
      </c>
      <c r="AW22" s="43">
        <v>3</v>
      </c>
      <c r="AX22" t="s">
        <v>122</v>
      </c>
      <c r="AZ22" s="1">
        <f t="shared" si="6"/>
        <v>-33040</v>
      </c>
    </row>
    <row r="23" spans="1:52" ht="60" customHeight="1" x14ac:dyDescent="0.25">
      <c r="A23" s="60">
        <f t="shared" si="2"/>
        <v>22</v>
      </c>
      <c r="B23" s="60"/>
      <c r="C23" s="60"/>
      <c r="D23" s="69"/>
      <c r="E23" s="62"/>
      <c r="F23" s="62"/>
      <c r="G23" s="63"/>
      <c r="H23" s="64"/>
      <c r="I23" s="65"/>
      <c r="J23" s="66"/>
      <c r="K23" s="67"/>
      <c r="L23" s="68"/>
      <c r="M23" s="68"/>
      <c r="N23" s="68"/>
      <c r="O23" s="68"/>
      <c r="P23" s="30"/>
      <c r="Q23" s="30"/>
      <c r="R23" s="48">
        <f t="shared" si="5"/>
        <v>0</v>
      </c>
      <c r="S23" s="30"/>
      <c r="T23" s="67"/>
      <c r="U23" s="67"/>
      <c r="V23" s="30"/>
      <c r="W23" s="36"/>
      <c r="X23" s="36"/>
      <c r="Y23" s="36"/>
      <c r="Z23" s="36"/>
      <c r="AA23" s="63"/>
      <c r="AB23" s="37">
        <f>WORKDAY(AA23,15,'Feriados y Comunas'!A$2:A$39)</f>
        <v>20</v>
      </c>
      <c r="AC23" s="38"/>
      <c r="AD23" s="30"/>
      <c r="AE23" s="30"/>
      <c r="AF23" s="30"/>
      <c r="AG23" s="30"/>
      <c r="AH23" s="38"/>
      <c r="AI23" s="30"/>
      <c r="AJ23" s="36"/>
      <c r="AK23" s="36"/>
      <c r="AL23" s="30" t="s">
        <v>93</v>
      </c>
      <c r="AM23" s="30"/>
      <c r="AN23" s="36"/>
      <c r="AO23" s="30"/>
      <c r="AP23" s="36"/>
      <c r="AQ23" s="41"/>
      <c r="AR23" s="30"/>
      <c r="AS23" s="36"/>
      <c r="AT23" s="30"/>
      <c r="AU23" s="36"/>
      <c r="AV23" s="52" t="s">
        <v>93</v>
      </c>
      <c r="AW23" s="43"/>
      <c r="AX23" t="s">
        <v>122</v>
      </c>
      <c r="AZ23" s="1">
        <f t="shared" si="6"/>
        <v>0</v>
      </c>
    </row>
    <row r="24" spans="1:52" ht="60" customHeight="1" x14ac:dyDescent="0.25">
      <c r="A24" s="60">
        <f t="shared" si="2"/>
        <v>23</v>
      </c>
      <c r="B24" s="60"/>
      <c r="C24" s="60"/>
      <c r="D24" s="69"/>
      <c r="E24" s="62"/>
      <c r="F24" s="62"/>
      <c r="G24" s="63"/>
      <c r="H24" s="64"/>
      <c r="I24" s="65"/>
      <c r="J24" s="66"/>
      <c r="K24" s="67"/>
      <c r="L24" s="68"/>
      <c r="M24" s="68"/>
      <c r="N24" s="68"/>
      <c r="O24" s="68"/>
      <c r="P24" s="30"/>
      <c r="Q24" s="30"/>
      <c r="R24" s="48">
        <f t="shared" si="5"/>
        <v>0</v>
      </c>
      <c r="S24" s="30"/>
      <c r="T24" s="67"/>
      <c r="U24" s="67"/>
      <c r="V24" s="30"/>
      <c r="W24" s="36"/>
      <c r="X24" s="36"/>
      <c r="Y24" s="36"/>
      <c r="Z24" s="36"/>
      <c r="AA24" s="63"/>
      <c r="AB24" s="37">
        <f>WORKDAY(AA24,15,'Feriados y Comunas'!A$2:A$39)</f>
        <v>20</v>
      </c>
      <c r="AC24" s="38"/>
      <c r="AD24" s="30"/>
      <c r="AE24" s="30"/>
      <c r="AF24" s="30"/>
      <c r="AG24" s="30"/>
      <c r="AH24" s="38"/>
      <c r="AI24" s="30"/>
      <c r="AJ24" s="36"/>
      <c r="AK24" s="36"/>
      <c r="AL24" s="30" t="s">
        <v>93</v>
      </c>
      <c r="AM24" s="30"/>
      <c r="AN24" s="36"/>
      <c r="AO24" s="30"/>
      <c r="AP24" s="36"/>
      <c r="AQ24" s="41"/>
      <c r="AR24" s="30"/>
      <c r="AS24" s="36"/>
      <c r="AT24" s="30"/>
      <c r="AU24" s="36"/>
      <c r="AV24" s="52" t="s">
        <v>93</v>
      </c>
      <c r="AW24" s="43"/>
      <c r="AX24" t="s">
        <v>122</v>
      </c>
      <c r="AZ24" s="1">
        <f t="shared" si="6"/>
        <v>0</v>
      </c>
    </row>
    <row r="25" spans="1:52" ht="60" customHeight="1" x14ac:dyDescent="0.25">
      <c r="A25" s="60">
        <f t="shared" si="2"/>
        <v>24</v>
      </c>
      <c r="B25" s="60"/>
      <c r="C25" s="60"/>
      <c r="D25" s="69"/>
      <c r="E25" s="62"/>
      <c r="F25" s="62"/>
      <c r="G25" s="63"/>
      <c r="H25" s="64"/>
      <c r="I25" s="65"/>
      <c r="J25" s="66"/>
      <c r="K25" s="67"/>
      <c r="L25" s="68"/>
      <c r="M25" s="68"/>
      <c r="N25" s="68"/>
      <c r="O25" s="68"/>
      <c r="P25" s="30"/>
      <c r="Q25" s="30"/>
      <c r="R25" s="48">
        <f t="shared" si="5"/>
        <v>0</v>
      </c>
      <c r="S25" s="30"/>
      <c r="T25" s="67"/>
      <c r="U25" s="67"/>
      <c r="V25" s="30"/>
      <c r="W25" s="36"/>
      <c r="X25" s="36"/>
      <c r="Y25" s="36"/>
      <c r="Z25" s="36"/>
      <c r="AA25" s="63"/>
      <c r="AB25" s="37">
        <f>WORKDAY(AA25,15,'Feriados y Comunas'!A$2:A$39)</f>
        <v>20</v>
      </c>
      <c r="AC25" s="38"/>
      <c r="AD25" s="30"/>
      <c r="AE25" s="30"/>
      <c r="AF25" s="30"/>
      <c r="AG25" s="30"/>
      <c r="AH25" s="38"/>
      <c r="AI25" s="30"/>
      <c r="AJ25" s="36"/>
      <c r="AK25" s="36"/>
      <c r="AL25" s="30" t="s">
        <v>93</v>
      </c>
      <c r="AM25" s="30"/>
      <c r="AN25" s="36"/>
      <c r="AO25" s="30"/>
      <c r="AP25" s="36"/>
      <c r="AQ25" s="41"/>
      <c r="AR25" s="30"/>
      <c r="AS25" s="36"/>
      <c r="AT25" s="30"/>
      <c r="AU25" s="36"/>
      <c r="AV25" s="52" t="s">
        <v>93</v>
      </c>
      <c r="AW25" s="43"/>
      <c r="AX25" t="s">
        <v>122</v>
      </c>
      <c r="AZ25" s="1">
        <f t="shared" si="6"/>
        <v>0</v>
      </c>
    </row>
    <row r="26" spans="1:52" ht="60" customHeight="1" x14ac:dyDescent="0.25">
      <c r="A26" s="70"/>
      <c r="B26" s="70"/>
      <c r="C26" s="70"/>
      <c r="G26" s="71"/>
      <c r="R26" s="72"/>
      <c r="AW26" s="73"/>
      <c r="AZ26" s="1">
        <f t="shared" si="1"/>
        <v>0</v>
      </c>
    </row>
    <row r="27" spans="1:52" ht="60" customHeight="1" x14ac:dyDescent="0.25">
      <c r="A27" s="70"/>
      <c r="B27" s="70"/>
      <c r="C27" s="70"/>
      <c r="G27" s="71"/>
      <c r="U27" s="72"/>
      <c r="AW27" s="73"/>
      <c r="AZ27" s="1">
        <f t="shared" si="1"/>
        <v>0</v>
      </c>
    </row>
    <row r="28" spans="1:52" ht="60" customHeight="1" x14ac:dyDescent="0.25">
      <c r="A28" s="70"/>
      <c r="B28" s="70"/>
      <c r="C28" s="70"/>
      <c r="G28" s="71"/>
      <c r="U28" s="72"/>
      <c r="AW28" s="73"/>
      <c r="AZ28" s="1">
        <f t="shared" si="1"/>
        <v>0</v>
      </c>
    </row>
    <row r="29" spans="1:52" ht="60" customHeight="1" x14ac:dyDescent="0.25">
      <c r="A29" s="70"/>
      <c r="B29" s="70"/>
      <c r="C29" s="70"/>
      <c r="U29" s="72"/>
      <c r="AW29" s="73"/>
    </row>
    <row r="30" spans="1:52" ht="60" customHeight="1" x14ac:dyDescent="0.25">
      <c r="A30" s="70"/>
      <c r="B30" s="70"/>
      <c r="C30" s="70"/>
      <c r="U30" s="72"/>
      <c r="AW30" s="73"/>
    </row>
    <row r="31" spans="1:52" ht="60" customHeight="1" x14ac:dyDescent="0.25">
      <c r="A31" s="70"/>
      <c r="B31" s="70"/>
      <c r="C31" s="70"/>
      <c r="U31" s="72"/>
      <c r="AW31" s="73"/>
    </row>
    <row r="32" spans="1:52" ht="60" customHeight="1" x14ac:dyDescent="0.25">
      <c r="A32" s="70"/>
      <c r="B32" s="70"/>
      <c r="C32" s="70"/>
      <c r="U32" s="72"/>
      <c r="AW32" s="73"/>
    </row>
    <row r="33" spans="1:49" ht="60" customHeight="1" x14ac:dyDescent="0.25">
      <c r="A33" s="70"/>
      <c r="B33" s="70"/>
      <c r="C33" s="70"/>
      <c r="U33" s="72"/>
      <c r="AW33" s="73"/>
    </row>
    <row r="34" spans="1:49" ht="60" customHeight="1" x14ac:dyDescent="0.25">
      <c r="A34" s="70"/>
      <c r="B34" s="70"/>
      <c r="C34" s="70"/>
      <c r="U34" s="72"/>
      <c r="AW34" s="73"/>
    </row>
    <row r="35" spans="1:49" ht="60" customHeight="1" x14ac:dyDescent="0.25">
      <c r="A35" s="70"/>
      <c r="B35" s="70"/>
      <c r="C35" s="70"/>
      <c r="U35" s="72"/>
      <c r="AW35" s="73"/>
    </row>
    <row r="36" spans="1:49" ht="60" customHeight="1" x14ac:dyDescent="0.25">
      <c r="A36" s="70"/>
      <c r="B36" s="70"/>
      <c r="C36" s="70"/>
      <c r="U36" s="72"/>
      <c r="AW36" s="73"/>
    </row>
    <row r="37" spans="1:49" ht="60" customHeight="1" x14ac:dyDescent="0.25">
      <c r="A37" s="70"/>
      <c r="B37" s="70"/>
      <c r="C37" s="70"/>
      <c r="U37" s="72"/>
      <c r="AW37" s="73"/>
    </row>
    <row r="38" spans="1:49" ht="60" customHeight="1" x14ac:dyDescent="0.25">
      <c r="A38" s="70"/>
      <c r="B38" s="70"/>
      <c r="C38" s="70"/>
      <c r="U38" s="72"/>
      <c r="AW38" s="73"/>
    </row>
    <row r="39" spans="1:49" ht="60" customHeight="1" x14ac:dyDescent="0.25">
      <c r="A39" s="70"/>
      <c r="B39" s="70"/>
      <c r="C39" s="70"/>
      <c r="U39" s="72"/>
      <c r="AW39" s="73"/>
    </row>
    <row r="40" spans="1:49" ht="60" customHeight="1" x14ac:dyDescent="0.25">
      <c r="A40" s="70"/>
      <c r="B40" s="70"/>
      <c r="C40" s="70"/>
      <c r="U40" s="72"/>
      <c r="AW40" s="73"/>
    </row>
    <row r="41" spans="1:49" ht="60" customHeight="1" x14ac:dyDescent="0.25">
      <c r="A41" s="70"/>
      <c r="B41" s="70"/>
      <c r="C41" s="70"/>
      <c r="U41" s="72"/>
      <c r="AW41" s="73"/>
    </row>
    <row r="42" spans="1:49" ht="60" customHeight="1" x14ac:dyDescent="0.25">
      <c r="A42" s="70"/>
      <c r="B42" s="70"/>
      <c r="C42" s="70"/>
      <c r="U42" s="72"/>
      <c r="AW42" s="73"/>
    </row>
    <row r="43" spans="1:49" ht="60" customHeight="1" x14ac:dyDescent="0.25">
      <c r="A43" s="70"/>
      <c r="B43" s="70"/>
      <c r="C43" s="70"/>
      <c r="U43" s="72"/>
      <c r="AW43" s="73"/>
    </row>
    <row r="44" spans="1:49" ht="60" customHeight="1" x14ac:dyDescent="0.25">
      <c r="A44" s="70"/>
      <c r="B44" s="70"/>
      <c r="C44" s="70"/>
      <c r="U44" s="72"/>
      <c r="AW44" s="73"/>
    </row>
    <row r="45" spans="1:49" ht="60" customHeight="1" x14ac:dyDescent="0.25">
      <c r="A45" s="70"/>
      <c r="B45" s="70"/>
      <c r="C45" s="70"/>
      <c r="U45" s="72"/>
      <c r="AW45" s="73"/>
    </row>
    <row r="46" spans="1:49" ht="60" customHeight="1" x14ac:dyDescent="0.25">
      <c r="A46" s="70"/>
      <c r="B46" s="70"/>
      <c r="C46" s="70"/>
      <c r="U46" s="72"/>
      <c r="AW46" s="73"/>
    </row>
    <row r="47" spans="1:49" ht="60" customHeight="1" x14ac:dyDescent="0.25">
      <c r="A47" s="70"/>
      <c r="B47" s="70"/>
      <c r="C47" s="70"/>
      <c r="U47" s="72"/>
      <c r="AW47" s="73"/>
    </row>
    <row r="48" spans="1:49" ht="60" customHeight="1" x14ac:dyDescent="0.25">
      <c r="A48" s="70"/>
      <c r="B48" s="70"/>
      <c r="C48" s="70"/>
      <c r="U48" s="72"/>
      <c r="AW48" s="73"/>
    </row>
    <row r="49" spans="1:49" ht="60" customHeight="1" x14ac:dyDescent="0.25">
      <c r="A49" s="70"/>
      <c r="B49" s="70"/>
      <c r="C49" s="70"/>
      <c r="U49" s="72"/>
      <c r="AW49" s="73"/>
    </row>
    <row r="50" spans="1:49" ht="15.75" customHeight="1" x14ac:dyDescent="0.25">
      <c r="A50" s="70"/>
      <c r="B50" s="70"/>
      <c r="C50" s="70"/>
      <c r="U50" s="72"/>
      <c r="AW50" s="73"/>
    </row>
    <row r="51" spans="1:49" ht="15.75" customHeight="1" x14ac:dyDescent="0.25">
      <c r="A51" s="70"/>
      <c r="B51" s="70"/>
      <c r="C51" s="70"/>
      <c r="U51" s="72"/>
      <c r="AW51" s="73"/>
    </row>
    <row r="52" spans="1:49" ht="15.75" customHeight="1" x14ac:dyDescent="0.25">
      <c r="A52" s="70"/>
      <c r="B52" s="70"/>
      <c r="C52" s="70"/>
      <c r="U52" s="72"/>
      <c r="AW52" s="73"/>
    </row>
    <row r="53" spans="1:49" ht="15.75" customHeight="1" x14ac:dyDescent="0.25">
      <c r="A53" s="70"/>
      <c r="B53" s="70"/>
      <c r="C53" s="70"/>
      <c r="U53" s="72"/>
      <c r="AW53" s="73"/>
    </row>
    <row r="54" spans="1:49" ht="15.75" customHeight="1" x14ac:dyDescent="0.25">
      <c r="A54" s="70"/>
      <c r="B54" s="70"/>
      <c r="C54" s="70"/>
      <c r="U54" s="72"/>
      <c r="AW54" s="73"/>
    </row>
    <row r="55" spans="1:49" ht="15.75" customHeight="1" x14ac:dyDescent="0.25">
      <c r="A55" s="70"/>
      <c r="B55" s="70"/>
      <c r="C55" s="70"/>
      <c r="U55" s="72"/>
      <c r="AW55" s="73"/>
    </row>
    <row r="56" spans="1:49" ht="15.75" customHeight="1" x14ac:dyDescent="0.25">
      <c r="A56" s="70"/>
      <c r="B56" s="70"/>
      <c r="C56" s="70"/>
      <c r="U56" s="72"/>
      <c r="AW56" s="73"/>
    </row>
    <row r="57" spans="1:49" ht="15.75" customHeight="1" x14ac:dyDescent="0.25">
      <c r="A57" s="70"/>
      <c r="B57" s="70"/>
      <c r="C57" s="70"/>
      <c r="U57" s="72"/>
      <c r="AW57" s="73"/>
    </row>
    <row r="58" spans="1:49" ht="15.75" customHeight="1" x14ac:dyDescent="0.25">
      <c r="A58" s="70"/>
      <c r="B58" s="70"/>
      <c r="C58" s="70"/>
      <c r="U58" s="72"/>
      <c r="AW58" s="73"/>
    </row>
    <row r="59" spans="1:49" ht="15.75" customHeight="1" x14ac:dyDescent="0.25">
      <c r="A59" s="70"/>
      <c r="B59" s="70"/>
      <c r="C59" s="70"/>
      <c r="U59" s="72"/>
      <c r="AW59" s="73"/>
    </row>
    <row r="60" spans="1:49" ht="15.75" customHeight="1" x14ac:dyDescent="0.25">
      <c r="A60" s="70"/>
      <c r="B60" s="70"/>
      <c r="C60" s="70"/>
      <c r="U60" s="72"/>
      <c r="AW60" s="73"/>
    </row>
    <row r="61" spans="1:49" ht="15.75" customHeight="1" x14ac:dyDescent="0.25">
      <c r="A61" s="70"/>
      <c r="B61" s="70"/>
      <c r="C61" s="70"/>
      <c r="U61" s="72"/>
      <c r="AW61" s="73"/>
    </row>
    <row r="62" spans="1:49" ht="15.75" customHeight="1" x14ac:dyDescent="0.25">
      <c r="A62" s="70"/>
      <c r="B62" s="70"/>
      <c r="C62" s="70"/>
      <c r="U62" s="72"/>
      <c r="AW62" s="73"/>
    </row>
    <row r="63" spans="1:49" ht="15.75" customHeight="1" x14ac:dyDescent="0.25">
      <c r="A63" s="70"/>
      <c r="B63" s="70"/>
      <c r="C63" s="70"/>
      <c r="U63" s="72"/>
      <c r="AW63" s="73"/>
    </row>
    <row r="64" spans="1:49" ht="15.75" customHeight="1" x14ac:dyDescent="0.25">
      <c r="A64" s="70"/>
      <c r="B64" s="70"/>
      <c r="C64" s="70"/>
      <c r="U64" s="72"/>
      <c r="AW64" s="73"/>
    </row>
    <row r="65" spans="1:49" ht="15.75" customHeight="1" x14ac:dyDescent="0.25">
      <c r="A65" s="70"/>
      <c r="B65" s="70"/>
      <c r="C65" s="70"/>
      <c r="U65" s="72"/>
      <c r="AW65" s="73"/>
    </row>
    <row r="66" spans="1:49" ht="15.75" customHeight="1" x14ac:dyDescent="0.25">
      <c r="A66" s="70"/>
      <c r="B66" s="70"/>
      <c r="C66" s="70"/>
      <c r="U66" s="72"/>
      <c r="AW66" s="73"/>
    </row>
    <row r="67" spans="1:49" ht="15.75" customHeight="1" x14ac:dyDescent="0.25">
      <c r="A67" s="70"/>
      <c r="B67" s="70"/>
      <c r="C67" s="70"/>
      <c r="U67" s="72"/>
      <c r="AW67" s="73"/>
    </row>
    <row r="68" spans="1:49" ht="15.75" customHeight="1" x14ac:dyDescent="0.25">
      <c r="A68" s="70"/>
      <c r="B68" s="70"/>
      <c r="C68" s="70"/>
      <c r="U68" s="72"/>
      <c r="AW68" s="73"/>
    </row>
    <row r="69" spans="1:49" ht="15.75" customHeight="1" x14ac:dyDescent="0.25">
      <c r="A69" s="70"/>
      <c r="B69" s="70"/>
      <c r="C69" s="70"/>
      <c r="U69" s="72"/>
      <c r="AW69" s="73"/>
    </row>
    <row r="70" spans="1:49" ht="15.75" customHeight="1" x14ac:dyDescent="0.25">
      <c r="A70" s="70"/>
      <c r="B70" s="70"/>
      <c r="C70" s="70"/>
      <c r="U70" s="72"/>
      <c r="AW70" s="73"/>
    </row>
    <row r="71" spans="1:49" ht="15.75" customHeight="1" x14ac:dyDescent="0.25">
      <c r="A71" s="70"/>
      <c r="B71" s="70"/>
      <c r="C71" s="70"/>
      <c r="U71" s="72"/>
      <c r="AW71" s="73"/>
    </row>
    <row r="72" spans="1:49" ht="15.75" customHeight="1" x14ac:dyDescent="0.25">
      <c r="A72" s="70"/>
      <c r="B72" s="70"/>
      <c r="C72" s="70"/>
      <c r="U72" s="72"/>
      <c r="AW72" s="73"/>
    </row>
    <row r="73" spans="1:49" ht="15.75" customHeight="1" x14ac:dyDescent="0.25">
      <c r="A73" s="70"/>
      <c r="B73" s="70"/>
      <c r="C73" s="70"/>
      <c r="U73" s="72"/>
      <c r="AW73" s="73"/>
    </row>
    <row r="74" spans="1:49" ht="15.75" customHeight="1" x14ac:dyDescent="0.25">
      <c r="A74" s="70"/>
      <c r="B74" s="70"/>
      <c r="C74" s="70"/>
      <c r="U74" s="72"/>
      <c r="AW74" s="73"/>
    </row>
    <row r="75" spans="1:49" ht="15.75" customHeight="1" x14ac:dyDescent="0.25">
      <c r="A75" s="70"/>
      <c r="B75" s="70"/>
      <c r="C75" s="70"/>
      <c r="U75" s="72"/>
      <c r="AW75" s="73"/>
    </row>
    <row r="76" spans="1:49" ht="15.75" customHeight="1" x14ac:dyDescent="0.25">
      <c r="A76" s="70"/>
      <c r="B76" s="70"/>
      <c r="C76" s="70"/>
      <c r="U76" s="72"/>
      <c r="AW76" s="73"/>
    </row>
    <row r="77" spans="1:49" ht="15.75" customHeight="1" x14ac:dyDescent="0.25">
      <c r="A77" s="70"/>
      <c r="B77" s="70"/>
      <c r="C77" s="70"/>
      <c r="U77" s="72"/>
      <c r="AW77" s="73"/>
    </row>
    <row r="78" spans="1:49" ht="15.75" customHeight="1" x14ac:dyDescent="0.25">
      <c r="A78" s="70"/>
      <c r="B78" s="70"/>
      <c r="C78" s="70"/>
      <c r="U78" s="72"/>
      <c r="AW78" s="73"/>
    </row>
    <row r="79" spans="1:49" ht="15.75" customHeight="1" x14ac:dyDescent="0.25">
      <c r="A79" s="70"/>
      <c r="B79" s="70"/>
      <c r="C79" s="70"/>
      <c r="U79" s="72"/>
      <c r="AW79" s="73"/>
    </row>
    <row r="80" spans="1:49" ht="15.75" customHeight="1" x14ac:dyDescent="0.25">
      <c r="A80" s="70"/>
      <c r="B80" s="70"/>
      <c r="C80" s="70"/>
      <c r="U80" s="72"/>
      <c r="AW80" s="73"/>
    </row>
    <row r="81" spans="1:49" ht="15.75" customHeight="1" x14ac:dyDescent="0.25">
      <c r="A81" s="70"/>
      <c r="B81" s="70"/>
      <c r="C81" s="70"/>
      <c r="U81" s="72"/>
      <c r="AW81" s="73"/>
    </row>
    <row r="82" spans="1:49" ht="15.75" customHeight="1" x14ac:dyDescent="0.25">
      <c r="A82" s="70"/>
      <c r="B82" s="70"/>
      <c r="C82" s="70"/>
      <c r="U82" s="72"/>
      <c r="AW82" s="73"/>
    </row>
    <row r="83" spans="1:49" ht="15.75" customHeight="1" x14ac:dyDescent="0.25">
      <c r="A83" s="70"/>
      <c r="B83" s="70"/>
      <c r="C83" s="70"/>
      <c r="U83" s="72"/>
      <c r="AW83" s="73"/>
    </row>
    <row r="84" spans="1:49" ht="15.75" customHeight="1" x14ac:dyDescent="0.25">
      <c r="A84" s="70"/>
      <c r="B84" s="70"/>
      <c r="C84" s="70"/>
      <c r="U84" s="72"/>
      <c r="AW84" s="73"/>
    </row>
    <row r="85" spans="1:49" ht="15.75" customHeight="1" x14ac:dyDescent="0.25">
      <c r="A85" s="70"/>
      <c r="B85" s="70"/>
      <c r="C85" s="70"/>
      <c r="U85" s="72"/>
      <c r="AW85" s="73"/>
    </row>
    <row r="86" spans="1:49" ht="15.75" customHeight="1" x14ac:dyDescent="0.25">
      <c r="A86" s="70"/>
      <c r="B86" s="70"/>
      <c r="C86" s="70"/>
      <c r="U86" s="72"/>
      <c r="AW86" s="73"/>
    </row>
    <row r="87" spans="1:49" ht="15.75" customHeight="1" x14ac:dyDescent="0.25">
      <c r="A87" s="70"/>
      <c r="B87" s="70"/>
      <c r="C87" s="70"/>
      <c r="U87" s="72"/>
      <c r="AW87" s="73"/>
    </row>
    <row r="88" spans="1:49" ht="15.75" customHeight="1" x14ac:dyDescent="0.25">
      <c r="A88" s="70"/>
      <c r="B88" s="70"/>
      <c r="C88" s="70"/>
      <c r="U88" s="72"/>
      <c r="AW88" s="73"/>
    </row>
    <row r="89" spans="1:49" ht="15.75" customHeight="1" x14ac:dyDescent="0.25">
      <c r="A89" s="70"/>
      <c r="B89" s="70"/>
      <c r="C89" s="70"/>
      <c r="U89" s="72"/>
      <c r="AW89" s="73"/>
    </row>
    <row r="90" spans="1:49" ht="15.75" customHeight="1" x14ac:dyDescent="0.25">
      <c r="A90" s="70"/>
      <c r="B90" s="70"/>
      <c r="C90" s="70"/>
      <c r="U90" s="72"/>
      <c r="AW90" s="73"/>
    </row>
    <row r="91" spans="1:49" ht="15.75" customHeight="1" x14ac:dyDescent="0.25">
      <c r="A91" s="70"/>
      <c r="B91" s="70"/>
      <c r="C91" s="70"/>
      <c r="U91" s="72"/>
      <c r="AW91" s="73"/>
    </row>
    <row r="92" spans="1:49" ht="15.75" customHeight="1" x14ac:dyDescent="0.25">
      <c r="A92" s="70"/>
      <c r="B92" s="70"/>
      <c r="C92" s="70"/>
      <c r="U92" s="72"/>
      <c r="AW92" s="73"/>
    </row>
    <row r="93" spans="1:49" ht="15.75" customHeight="1" x14ac:dyDescent="0.25">
      <c r="A93" s="70"/>
      <c r="B93" s="70"/>
      <c r="C93" s="70"/>
      <c r="U93" s="72"/>
      <c r="AW93" s="73"/>
    </row>
    <row r="94" spans="1:49" ht="15.75" customHeight="1" x14ac:dyDescent="0.25">
      <c r="A94" s="70"/>
      <c r="B94" s="70"/>
      <c r="C94" s="70"/>
      <c r="U94" s="72"/>
      <c r="AW94" s="73"/>
    </row>
    <row r="95" spans="1:49" ht="15.75" customHeight="1" x14ac:dyDescent="0.25">
      <c r="A95" s="70"/>
      <c r="B95" s="70"/>
      <c r="C95" s="70"/>
      <c r="U95" s="72"/>
      <c r="AW95" s="73"/>
    </row>
    <row r="96" spans="1:49" ht="15.75" customHeight="1" x14ac:dyDescent="0.25">
      <c r="A96" s="70"/>
      <c r="B96" s="70"/>
      <c r="C96" s="70"/>
      <c r="U96" s="72"/>
      <c r="AW96" s="73"/>
    </row>
    <row r="97" spans="1:49" ht="15.75" customHeight="1" x14ac:dyDescent="0.25">
      <c r="A97" s="70"/>
      <c r="B97" s="70"/>
      <c r="C97" s="70"/>
      <c r="U97" s="72"/>
      <c r="AW97" s="73"/>
    </row>
    <row r="98" spans="1:49" ht="15.75" customHeight="1" x14ac:dyDescent="0.25">
      <c r="A98" s="70"/>
      <c r="B98" s="70"/>
      <c r="C98" s="70"/>
      <c r="U98" s="72"/>
      <c r="AW98" s="73"/>
    </row>
    <row r="99" spans="1:49" ht="15.75" customHeight="1" x14ac:dyDescent="0.25">
      <c r="A99" s="70"/>
      <c r="B99" s="70"/>
      <c r="C99" s="70"/>
      <c r="U99" s="72"/>
      <c r="AW99" s="73"/>
    </row>
    <row r="100" spans="1:49" ht="15.75" customHeight="1" x14ac:dyDescent="0.25">
      <c r="A100" s="70"/>
      <c r="B100" s="70"/>
      <c r="C100" s="70"/>
      <c r="U100" s="72"/>
      <c r="AW100" s="73"/>
    </row>
    <row r="101" spans="1:49" ht="15.75" customHeight="1" x14ac:dyDescent="0.25">
      <c r="A101" s="70"/>
      <c r="B101" s="70"/>
      <c r="C101" s="70"/>
      <c r="U101" s="72"/>
      <c r="AW101" s="73"/>
    </row>
    <row r="102" spans="1:49" ht="15.75" customHeight="1" x14ac:dyDescent="0.25">
      <c r="A102" s="70"/>
      <c r="B102" s="70"/>
      <c r="C102" s="70"/>
      <c r="U102" s="72"/>
      <c r="AW102" s="73"/>
    </row>
    <row r="103" spans="1:49" ht="15.75" customHeight="1" x14ac:dyDescent="0.25">
      <c r="A103" s="70"/>
      <c r="B103" s="70"/>
      <c r="C103" s="70"/>
      <c r="U103" s="72"/>
      <c r="AW103" s="73"/>
    </row>
    <row r="104" spans="1:49" ht="15.75" customHeight="1" x14ac:dyDescent="0.25">
      <c r="A104" s="70"/>
      <c r="B104" s="70"/>
      <c r="C104" s="70"/>
      <c r="U104" s="72"/>
      <c r="AW104" s="73"/>
    </row>
    <row r="105" spans="1:49" ht="15.75" customHeight="1" x14ac:dyDescent="0.25">
      <c r="A105" s="70"/>
      <c r="B105" s="70"/>
      <c r="C105" s="70"/>
      <c r="U105" s="72"/>
      <c r="AW105" s="73"/>
    </row>
    <row r="106" spans="1:49" ht="15.75" customHeight="1" x14ac:dyDescent="0.25">
      <c r="A106" s="70"/>
      <c r="B106" s="70"/>
      <c r="C106" s="70"/>
      <c r="U106" s="72"/>
      <c r="AW106" s="73"/>
    </row>
    <row r="107" spans="1:49" ht="15.75" customHeight="1" x14ac:dyDescent="0.25">
      <c r="A107" s="70"/>
      <c r="B107" s="70"/>
      <c r="C107" s="70"/>
      <c r="U107" s="72"/>
      <c r="AW107" s="73"/>
    </row>
    <row r="108" spans="1:49" ht="15.75" customHeight="1" x14ac:dyDescent="0.25">
      <c r="A108" s="70"/>
      <c r="B108" s="70"/>
      <c r="C108" s="70"/>
      <c r="U108" s="72"/>
      <c r="AW108" s="73"/>
    </row>
    <row r="109" spans="1:49" ht="15.75" customHeight="1" x14ac:dyDescent="0.25">
      <c r="A109" s="70"/>
      <c r="B109" s="70"/>
      <c r="C109" s="70"/>
      <c r="U109" s="72"/>
      <c r="AW109" s="73"/>
    </row>
    <row r="110" spans="1:49" ht="15.75" customHeight="1" x14ac:dyDescent="0.25">
      <c r="A110" s="70"/>
      <c r="B110" s="70"/>
      <c r="C110" s="70"/>
      <c r="U110" s="72"/>
      <c r="AW110" s="73"/>
    </row>
    <row r="111" spans="1:49" ht="15.75" customHeight="1" x14ac:dyDescent="0.25">
      <c r="A111" s="70"/>
      <c r="B111" s="70"/>
      <c r="C111" s="70"/>
      <c r="U111" s="72"/>
      <c r="AW111" s="73"/>
    </row>
    <row r="112" spans="1:49" ht="15.75" customHeight="1" x14ac:dyDescent="0.25">
      <c r="A112" s="70"/>
      <c r="B112" s="70"/>
      <c r="C112" s="70"/>
      <c r="U112" s="72"/>
      <c r="AW112" s="73"/>
    </row>
    <row r="113" spans="1:49" ht="15.75" customHeight="1" x14ac:dyDescent="0.25">
      <c r="A113" s="70"/>
      <c r="B113" s="70"/>
      <c r="C113" s="70"/>
      <c r="U113" s="72"/>
      <c r="AW113" s="73"/>
    </row>
    <row r="114" spans="1:49" ht="15.75" customHeight="1" x14ac:dyDescent="0.25">
      <c r="A114" s="70"/>
      <c r="B114" s="70"/>
      <c r="C114" s="70"/>
      <c r="U114" s="72"/>
      <c r="AW114" s="73"/>
    </row>
    <row r="115" spans="1:49" ht="15.75" customHeight="1" x14ac:dyDescent="0.25">
      <c r="A115" s="70"/>
      <c r="B115" s="70"/>
      <c r="C115" s="70"/>
      <c r="U115" s="72"/>
      <c r="AW115" s="73"/>
    </row>
    <row r="116" spans="1:49" ht="15.75" customHeight="1" x14ac:dyDescent="0.25">
      <c r="A116" s="70"/>
      <c r="B116" s="70"/>
      <c r="C116" s="70"/>
      <c r="U116" s="72"/>
      <c r="AW116" s="73"/>
    </row>
    <row r="117" spans="1:49" ht="15.75" customHeight="1" x14ac:dyDescent="0.25">
      <c r="A117" s="70"/>
      <c r="B117" s="70"/>
      <c r="C117" s="70"/>
      <c r="U117" s="72"/>
      <c r="AW117" s="73"/>
    </row>
    <row r="118" spans="1:49" ht="15.75" customHeight="1" x14ac:dyDescent="0.25">
      <c r="A118" s="70"/>
      <c r="B118" s="70"/>
      <c r="C118" s="70"/>
      <c r="U118" s="72"/>
      <c r="AW118" s="73"/>
    </row>
    <row r="119" spans="1:49" ht="15.75" customHeight="1" x14ac:dyDescent="0.25">
      <c r="A119" s="70"/>
      <c r="B119" s="70"/>
      <c r="C119" s="70"/>
      <c r="U119" s="72"/>
      <c r="AW119" s="73"/>
    </row>
    <row r="120" spans="1:49" ht="15.75" customHeight="1" x14ac:dyDescent="0.25">
      <c r="A120" s="70"/>
      <c r="B120" s="70"/>
      <c r="C120" s="70"/>
      <c r="U120" s="72"/>
      <c r="AW120" s="73"/>
    </row>
    <row r="121" spans="1:49" ht="15.75" customHeight="1" x14ac:dyDescent="0.25">
      <c r="A121" s="70"/>
      <c r="B121" s="70"/>
      <c r="C121" s="70"/>
      <c r="U121" s="72"/>
      <c r="AW121" s="73"/>
    </row>
    <row r="122" spans="1:49" ht="15.75" customHeight="1" x14ac:dyDescent="0.25">
      <c r="A122" s="70"/>
      <c r="B122" s="70"/>
      <c r="C122" s="70"/>
      <c r="U122" s="72"/>
      <c r="AW122" s="73"/>
    </row>
    <row r="123" spans="1:49" ht="15.75" customHeight="1" x14ac:dyDescent="0.25">
      <c r="A123" s="70"/>
      <c r="B123" s="70"/>
      <c r="C123" s="70"/>
      <c r="U123" s="72"/>
      <c r="AW123" s="73"/>
    </row>
    <row r="124" spans="1:49" ht="15.75" customHeight="1" x14ac:dyDescent="0.25">
      <c r="A124" s="70"/>
      <c r="B124" s="70"/>
      <c r="C124" s="70"/>
      <c r="U124" s="72"/>
      <c r="AW124" s="73"/>
    </row>
    <row r="125" spans="1:49" ht="15.75" customHeight="1" x14ac:dyDescent="0.25">
      <c r="A125" s="70"/>
      <c r="B125" s="70"/>
      <c r="C125" s="70"/>
      <c r="U125" s="72"/>
      <c r="AW125" s="73"/>
    </row>
    <row r="126" spans="1:49" ht="15.75" customHeight="1" x14ac:dyDescent="0.25">
      <c r="A126" s="70"/>
      <c r="B126" s="70"/>
      <c r="C126" s="70"/>
      <c r="U126" s="72"/>
      <c r="AW126" s="73"/>
    </row>
    <row r="127" spans="1:49" ht="15.75" customHeight="1" x14ac:dyDescent="0.25">
      <c r="A127" s="70"/>
      <c r="B127" s="70"/>
      <c r="C127" s="70"/>
      <c r="U127" s="72"/>
      <c r="AW127" s="73"/>
    </row>
    <row r="128" spans="1:49" ht="15.75" customHeight="1" x14ac:dyDescent="0.25">
      <c r="A128" s="70"/>
      <c r="B128" s="70"/>
      <c r="C128" s="70"/>
      <c r="U128" s="72"/>
      <c r="AW128" s="73"/>
    </row>
    <row r="129" spans="1:49" ht="15.75" customHeight="1" x14ac:dyDescent="0.25">
      <c r="A129" s="70"/>
      <c r="B129" s="70"/>
      <c r="C129" s="70"/>
      <c r="U129" s="72"/>
      <c r="AW129" s="73"/>
    </row>
    <row r="130" spans="1:49" ht="15.75" customHeight="1" x14ac:dyDescent="0.25">
      <c r="A130" s="70"/>
      <c r="B130" s="70"/>
      <c r="C130" s="70"/>
      <c r="U130" s="72"/>
      <c r="AW130" s="73"/>
    </row>
    <row r="131" spans="1:49" ht="15.75" customHeight="1" x14ac:dyDescent="0.25">
      <c r="A131" s="70"/>
      <c r="B131" s="70"/>
      <c r="C131" s="70"/>
      <c r="U131" s="72"/>
      <c r="AW131" s="73"/>
    </row>
    <row r="132" spans="1:49" ht="15.75" customHeight="1" x14ac:dyDescent="0.25">
      <c r="A132" s="70"/>
      <c r="B132" s="70"/>
      <c r="C132" s="70"/>
      <c r="U132" s="72"/>
      <c r="AW132" s="73"/>
    </row>
    <row r="133" spans="1:49" ht="15.75" customHeight="1" x14ac:dyDescent="0.25">
      <c r="A133" s="70"/>
      <c r="B133" s="70"/>
      <c r="C133" s="70"/>
      <c r="U133" s="72"/>
      <c r="AW133" s="73"/>
    </row>
    <row r="134" spans="1:49" ht="15.75" customHeight="1" x14ac:dyDescent="0.25">
      <c r="A134" s="70"/>
      <c r="B134" s="70"/>
      <c r="C134" s="70"/>
      <c r="U134" s="72"/>
      <c r="AW134" s="73"/>
    </row>
    <row r="135" spans="1:49" ht="15.75" customHeight="1" x14ac:dyDescent="0.25">
      <c r="A135" s="70"/>
      <c r="B135" s="70"/>
      <c r="C135" s="70"/>
      <c r="U135" s="72"/>
      <c r="AW135" s="73"/>
    </row>
    <row r="136" spans="1:49" ht="15.75" customHeight="1" x14ac:dyDescent="0.25">
      <c r="A136" s="70"/>
      <c r="B136" s="70"/>
      <c r="C136" s="70"/>
      <c r="U136" s="72"/>
      <c r="AW136" s="73"/>
    </row>
    <row r="137" spans="1:49" ht="15.75" customHeight="1" x14ac:dyDescent="0.25">
      <c r="A137" s="70"/>
      <c r="B137" s="70"/>
      <c r="C137" s="70"/>
      <c r="U137" s="72"/>
      <c r="AW137" s="73"/>
    </row>
    <row r="138" spans="1:49" ht="15.75" customHeight="1" x14ac:dyDescent="0.25">
      <c r="A138" s="70"/>
      <c r="B138" s="70"/>
      <c r="C138" s="70"/>
      <c r="U138" s="72"/>
      <c r="AW138" s="73"/>
    </row>
    <row r="139" spans="1:49" ht="15.75" customHeight="1" x14ac:dyDescent="0.25">
      <c r="A139" s="70"/>
      <c r="B139" s="70"/>
      <c r="C139" s="70"/>
      <c r="U139" s="72"/>
      <c r="AW139" s="73"/>
    </row>
    <row r="140" spans="1:49" ht="15.75" customHeight="1" x14ac:dyDescent="0.25">
      <c r="A140" s="70"/>
      <c r="B140" s="70"/>
      <c r="C140" s="70"/>
      <c r="U140" s="72"/>
      <c r="AW140" s="73"/>
    </row>
    <row r="141" spans="1:49" ht="15.75" customHeight="1" x14ac:dyDescent="0.25">
      <c r="A141" s="70"/>
      <c r="B141" s="70"/>
      <c r="C141" s="70"/>
      <c r="U141" s="72"/>
      <c r="AW141" s="73"/>
    </row>
    <row r="142" spans="1:49" ht="15.75" customHeight="1" x14ac:dyDescent="0.25">
      <c r="A142" s="70"/>
      <c r="B142" s="70"/>
      <c r="C142" s="70"/>
      <c r="U142" s="72"/>
      <c r="AW142" s="73"/>
    </row>
    <row r="143" spans="1:49" ht="15.75" customHeight="1" x14ac:dyDescent="0.25">
      <c r="A143" s="70"/>
      <c r="B143" s="70"/>
      <c r="C143" s="70"/>
      <c r="U143" s="72"/>
      <c r="AW143" s="73"/>
    </row>
    <row r="144" spans="1:49" ht="15.75" customHeight="1" x14ac:dyDescent="0.25">
      <c r="A144" s="70"/>
      <c r="B144" s="70"/>
      <c r="C144" s="70"/>
      <c r="U144" s="72"/>
      <c r="AW144" s="73"/>
    </row>
    <row r="145" spans="1:49" ht="15.75" customHeight="1" x14ac:dyDescent="0.25">
      <c r="A145" s="70"/>
      <c r="B145" s="70"/>
      <c r="C145" s="70"/>
      <c r="U145" s="72"/>
      <c r="AW145" s="73"/>
    </row>
    <row r="146" spans="1:49" ht="15.75" customHeight="1" x14ac:dyDescent="0.25">
      <c r="A146" s="70"/>
      <c r="B146" s="70"/>
      <c r="C146" s="70"/>
      <c r="U146" s="72"/>
      <c r="AW146" s="73"/>
    </row>
    <row r="147" spans="1:49" ht="15.75" customHeight="1" x14ac:dyDescent="0.25">
      <c r="A147" s="70"/>
      <c r="B147" s="70"/>
      <c r="C147" s="70"/>
      <c r="U147" s="72"/>
      <c r="AW147" s="73"/>
    </row>
    <row r="148" spans="1:49" ht="15.75" customHeight="1" x14ac:dyDescent="0.25">
      <c r="A148" s="70"/>
      <c r="B148" s="70"/>
      <c r="C148" s="70"/>
      <c r="U148" s="72"/>
      <c r="AW148" s="73"/>
    </row>
    <row r="149" spans="1:49" ht="15.75" customHeight="1" x14ac:dyDescent="0.25">
      <c r="A149" s="70"/>
      <c r="B149" s="70"/>
      <c r="C149" s="70"/>
      <c r="U149" s="72"/>
      <c r="AW149" s="73"/>
    </row>
    <row r="150" spans="1:49" ht="15.75" customHeight="1" x14ac:dyDescent="0.25">
      <c r="A150" s="70"/>
      <c r="B150" s="70"/>
      <c r="C150" s="70"/>
      <c r="U150" s="72"/>
      <c r="AW150" s="73"/>
    </row>
    <row r="151" spans="1:49" ht="15.75" customHeight="1" x14ac:dyDescent="0.25">
      <c r="A151" s="70"/>
      <c r="B151" s="70"/>
      <c r="C151" s="70"/>
      <c r="U151" s="72"/>
      <c r="AW151" s="73"/>
    </row>
    <row r="152" spans="1:49" ht="15.75" customHeight="1" x14ac:dyDescent="0.25">
      <c r="A152" s="70"/>
      <c r="B152" s="70"/>
      <c r="C152" s="70"/>
      <c r="U152" s="72"/>
      <c r="AW152" s="73"/>
    </row>
    <row r="153" spans="1:49" ht="15.75" customHeight="1" x14ac:dyDescent="0.25">
      <c r="A153" s="70"/>
      <c r="B153" s="70"/>
      <c r="C153" s="70"/>
      <c r="U153" s="72"/>
      <c r="AW153" s="73"/>
    </row>
    <row r="154" spans="1:49" ht="15.75" customHeight="1" x14ac:dyDescent="0.25">
      <c r="A154" s="70"/>
      <c r="B154" s="70"/>
      <c r="C154" s="70"/>
      <c r="U154" s="72"/>
      <c r="AW154" s="73"/>
    </row>
    <row r="155" spans="1:49" ht="15.75" customHeight="1" x14ac:dyDescent="0.25">
      <c r="A155" s="70"/>
      <c r="B155" s="70"/>
      <c r="C155" s="70"/>
      <c r="U155" s="72"/>
      <c r="AW155" s="73"/>
    </row>
    <row r="156" spans="1:49" ht="15.75" customHeight="1" x14ac:dyDescent="0.25">
      <c r="A156" s="70"/>
      <c r="B156" s="70"/>
      <c r="C156" s="70"/>
      <c r="U156" s="72"/>
      <c r="AW156" s="73"/>
    </row>
    <row r="157" spans="1:49" ht="15.75" customHeight="1" x14ac:dyDescent="0.25">
      <c r="A157" s="70"/>
      <c r="B157" s="70"/>
      <c r="C157" s="70"/>
      <c r="U157" s="72"/>
      <c r="AW157" s="73"/>
    </row>
    <row r="158" spans="1:49" ht="15.75" customHeight="1" x14ac:dyDescent="0.25">
      <c r="A158" s="70"/>
      <c r="B158" s="70"/>
      <c r="C158" s="70"/>
      <c r="U158" s="72"/>
      <c r="AW158" s="73"/>
    </row>
    <row r="159" spans="1:49" ht="15.75" customHeight="1" x14ac:dyDescent="0.25">
      <c r="A159" s="70"/>
      <c r="B159" s="70"/>
      <c r="C159" s="70"/>
      <c r="U159" s="72"/>
      <c r="AW159" s="73"/>
    </row>
    <row r="160" spans="1:49" ht="15.75" customHeight="1" x14ac:dyDescent="0.25">
      <c r="A160" s="70"/>
      <c r="B160" s="70"/>
      <c r="C160" s="70"/>
      <c r="U160" s="72"/>
      <c r="AW160" s="73"/>
    </row>
    <row r="161" spans="1:49" ht="15.75" customHeight="1" x14ac:dyDescent="0.25">
      <c r="A161" s="70"/>
      <c r="B161" s="70"/>
      <c r="C161" s="70"/>
      <c r="U161" s="72"/>
      <c r="AW161" s="73"/>
    </row>
    <row r="162" spans="1:49" ht="15.75" customHeight="1" x14ac:dyDescent="0.25">
      <c r="A162" s="70"/>
      <c r="B162" s="70"/>
      <c r="C162" s="70"/>
      <c r="U162" s="72"/>
      <c r="AW162" s="73"/>
    </row>
    <row r="163" spans="1:49" ht="15.75" customHeight="1" x14ac:dyDescent="0.25">
      <c r="A163" s="70"/>
      <c r="B163" s="70"/>
      <c r="C163" s="70"/>
      <c r="U163" s="72"/>
      <c r="AW163" s="73"/>
    </row>
    <row r="164" spans="1:49" ht="15.75" customHeight="1" x14ac:dyDescent="0.25">
      <c r="A164" s="70"/>
      <c r="B164" s="70"/>
      <c r="C164" s="70"/>
      <c r="U164" s="72"/>
      <c r="AW164" s="73"/>
    </row>
    <row r="165" spans="1:49" ht="15.75" customHeight="1" x14ac:dyDescent="0.25">
      <c r="A165" s="70"/>
      <c r="B165" s="70"/>
      <c r="C165" s="70"/>
      <c r="U165" s="72"/>
      <c r="AW165" s="73"/>
    </row>
    <row r="166" spans="1:49" ht="15.75" customHeight="1" x14ac:dyDescent="0.25">
      <c r="A166" s="70"/>
      <c r="B166" s="70"/>
      <c r="C166" s="70"/>
      <c r="U166" s="72"/>
      <c r="AW166" s="73"/>
    </row>
    <row r="167" spans="1:49" ht="15.75" customHeight="1" x14ac:dyDescent="0.25">
      <c r="A167" s="70"/>
      <c r="B167" s="70"/>
      <c r="C167" s="70"/>
      <c r="U167" s="72"/>
      <c r="AW167" s="73"/>
    </row>
    <row r="168" spans="1:49" ht="15.75" customHeight="1" x14ac:dyDescent="0.25">
      <c r="A168" s="70"/>
      <c r="B168" s="70"/>
      <c r="C168" s="70"/>
      <c r="U168" s="72"/>
      <c r="AW168" s="73"/>
    </row>
    <row r="169" spans="1:49" ht="15.75" customHeight="1" x14ac:dyDescent="0.25">
      <c r="A169" s="70"/>
      <c r="B169" s="70"/>
      <c r="C169" s="70"/>
      <c r="U169" s="72"/>
      <c r="AW169" s="73"/>
    </row>
    <row r="170" spans="1:49" ht="15.75" customHeight="1" x14ac:dyDescent="0.25">
      <c r="A170" s="70"/>
      <c r="B170" s="70"/>
      <c r="C170" s="70"/>
      <c r="U170" s="72"/>
      <c r="AW170" s="73"/>
    </row>
    <row r="171" spans="1:49" ht="15.75" customHeight="1" x14ac:dyDescent="0.25">
      <c r="A171" s="70"/>
      <c r="B171" s="70"/>
      <c r="C171" s="70"/>
      <c r="U171" s="72"/>
      <c r="AW171" s="73"/>
    </row>
    <row r="172" spans="1:49" ht="15.75" customHeight="1" x14ac:dyDescent="0.25">
      <c r="A172" s="70"/>
      <c r="B172" s="70"/>
      <c r="C172" s="70"/>
      <c r="U172" s="72"/>
      <c r="AW172" s="73"/>
    </row>
    <row r="173" spans="1:49" ht="15.75" customHeight="1" x14ac:dyDescent="0.25">
      <c r="A173" s="70"/>
      <c r="B173" s="70"/>
      <c r="C173" s="70"/>
      <c r="U173" s="72"/>
      <c r="AW173" s="73"/>
    </row>
    <row r="174" spans="1:49" ht="15.75" customHeight="1" x14ac:dyDescent="0.25">
      <c r="A174" s="70"/>
      <c r="B174" s="70"/>
      <c r="C174" s="70"/>
      <c r="U174" s="72"/>
      <c r="AW174" s="73"/>
    </row>
    <row r="175" spans="1:49" ht="15.75" customHeight="1" x14ac:dyDescent="0.25">
      <c r="A175" s="70"/>
      <c r="B175" s="70"/>
      <c r="C175" s="70"/>
      <c r="U175" s="72"/>
      <c r="AW175" s="73"/>
    </row>
    <row r="176" spans="1:49" ht="15.75" customHeight="1" x14ac:dyDescent="0.25">
      <c r="A176" s="70"/>
      <c r="B176" s="70"/>
      <c r="C176" s="70"/>
      <c r="U176" s="72"/>
      <c r="AW176" s="73"/>
    </row>
    <row r="177" spans="1:49" ht="15.75" customHeight="1" x14ac:dyDescent="0.25">
      <c r="A177" s="70"/>
      <c r="B177" s="70"/>
      <c r="C177" s="70"/>
      <c r="U177" s="72"/>
      <c r="AW177" s="73"/>
    </row>
    <row r="178" spans="1:49" ht="15.75" customHeight="1" x14ac:dyDescent="0.25">
      <c r="A178" s="70"/>
      <c r="B178" s="70"/>
      <c r="C178" s="70"/>
      <c r="U178" s="72"/>
      <c r="AW178" s="73"/>
    </row>
    <row r="179" spans="1:49" ht="15.75" customHeight="1" x14ac:dyDescent="0.25">
      <c r="A179" s="70"/>
      <c r="B179" s="70"/>
      <c r="C179" s="70"/>
      <c r="U179" s="72"/>
      <c r="AW179" s="73"/>
    </row>
    <row r="180" spans="1:49" ht="15.75" customHeight="1" x14ac:dyDescent="0.25">
      <c r="A180" s="70"/>
      <c r="B180" s="70"/>
      <c r="C180" s="70"/>
      <c r="U180" s="72"/>
      <c r="AW180" s="73"/>
    </row>
    <row r="181" spans="1:49" ht="15.75" customHeight="1" x14ac:dyDescent="0.25">
      <c r="A181" s="70"/>
      <c r="B181" s="70"/>
      <c r="C181" s="70"/>
      <c r="U181" s="72"/>
      <c r="AW181" s="73"/>
    </row>
    <row r="182" spans="1:49" ht="15.75" customHeight="1" x14ac:dyDescent="0.25">
      <c r="A182" s="70"/>
      <c r="B182" s="70"/>
      <c r="C182" s="70"/>
      <c r="U182" s="72"/>
      <c r="AW182" s="73"/>
    </row>
    <row r="183" spans="1:49" ht="15.75" customHeight="1" x14ac:dyDescent="0.25">
      <c r="A183" s="70"/>
      <c r="B183" s="70"/>
      <c r="C183" s="70"/>
      <c r="U183" s="72"/>
      <c r="AW183" s="73"/>
    </row>
    <row r="184" spans="1:49" ht="15.75" customHeight="1" x14ac:dyDescent="0.25">
      <c r="A184" s="70"/>
      <c r="B184" s="70"/>
      <c r="C184" s="70"/>
      <c r="U184" s="72"/>
      <c r="AW184" s="73"/>
    </row>
    <row r="185" spans="1:49" ht="15.75" customHeight="1" x14ac:dyDescent="0.25">
      <c r="A185" s="70"/>
      <c r="B185" s="70"/>
      <c r="C185" s="70"/>
      <c r="U185" s="72"/>
      <c r="AW185" s="73"/>
    </row>
    <row r="186" spans="1:49" ht="15.75" customHeight="1" x14ac:dyDescent="0.25">
      <c r="A186" s="70"/>
      <c r="B186" s="70"/>
      <c r="C186" s="70"/>
      <c r="U186" s="72"/>
      <c r="AW186" s="73"/>
    </row>
    <row r="187" spans="1:49" ht="15.75" customHeight="1" x14ac:dyDescent="0.25">
      <c r="A187" s="70"/>
      <c r="B187" s="70"/>
      <c r="C187" s="70"/>
      <c r="U187" s="72"/>
      <c r="AW187" s="73"/>
    </row>
    <row r="188" spans="1:49" ht="15.75" customHeight="1" x14ac:dyDescent="0.25">
      <c r="A188" s="70"/>
      <c r="B188" s="70"/>
      <c r="C188" s="70"/>
      <c r="U188" s="72"/>
      <c r="AW188" s="73"/>
    </row>
    <row r="189" spans="1:49" ht="15.75" customHeight="1" x14ac:dyDescent="0.25">
      <c r="A189" s="70"/>
      <c r="B189" s="70"/>
      <c r="C189" s="70"/>
      <c r="U189" s="72"/>
      <c r="AW189" s="73"/>
    </row>
    <row r="190" spans="1:49" ht="15.75" customHeight="1" x14ac:dyDescent="0.25">
      <c r="A190" s="70"/>
      <c r="B190" s="70"/>
      <c r="C190" s="70"/>
      <c r="U190" s="72"/>
      <c r="AW190" s="73"/>
    </row>
    <row r="191" spans="1:49" ht="15.75" customHeight="1" x14ac:dyDescent="0.25">
      <c r="A191" s="70"/>
      <c r="B191" s="70"/>
      <c r="C191" s="70"/>
      <c r="U191" s="72"/>
      <c r="AW191" s="73"/>
    </row>
    <row r="192" spans="1:49" ht="15.75" customHeight="1" x14ac:dyDescent="0.25">
      <c r="A192" s="70"/>
      <c r="B192" s="70"/>
      <c r="C192" s="70"/>
      <c r="U192" s="72"/>
      <c r="AW192" s="73"/>
    </row>
    <row r="193" spans="1:49" ht="15.75" customHeight="1" x14ac:dyDescent="0.25">
      <c r="A193" s="70"/>
      <c r="B193" s="70"/>
      <c r="C193" s="70"/>
      <c r="U193" s="72"/>
      <c r="AW193" s="73"/>
    </row>
    <row r="194" spans="1:49" ht="15.75" customHeight="1" x14ac:dyDescent="0.25">
      <c r="A194" s="70"/>
      <c r="B194" s="70"/>
      <c r="C194" s="70"/>
      <c r="U194" s="72"/>
      <c r="AW194" s="73"/>
    </row>
    <row r="195" spans="1:49" ht="15.75" customHeight="1" x14ac:dyDescent="0.25">
      <c r="A195" s="70"/>
      <c r="B195" s="70"/>
      <c r="C195" s="70"/>
      <c r="U195" s="72"/>
      <c r="AW195" s="73"/>
    </row>
    <row r="196" spans="1:49" ht="15.75" customHeight="1" x14ac:dyDescent="0.25">
      <c r="A196" s="70"/>
      <c r="B196" s="70"/>
      <c r="C196" s="70"/>
      <c r="U196" s="72"/>
      <c r="AW196" s="73"/>
    </row>
    <row r="197" spans="1:49" ht="15.75" customHeight="1" x14ac:dyDescent="0.25">
      <c r="A197" s="70"/>
      <c r="B197" s="70"/>
      <c r="C197" s="70"/>
      <c r="U197" s="72"/>
      <c r="AW197" s="73"/>
    </row>
    <row r="198" spans="1:49" ht="15.75" customHeight="1" x14ac:dyDescent="0.25">
      <c r="A198" s="70"/>
      <c r="B198" s="70"/>
      <c r="C198" s="70"/>
      <c r="U198" s="72"/>
      <c r="AW198" s="73"/>
    </row>
    <row r="199" spans="1:49" ht="15.75" customHeight="1" x14ac:dyDescent="0.25">
      <c r="A199" s="70"/>
      <c r="B199" s="70"/>
      <c r="C199" s="70"/>
      <c r="U199" s="72"/>
      <c r="AW199" s="73"/>
    </row>
    <row r="200" spans="1:49" ht="15.75" customHeight="1" x14ac:dyDescent="0.25">
      <c r="A200" s="70"/>
      <c r="B200" s="70"/>
      <c r="C200" s="70"/>
      <c r="U200" s="72"/>
      <c r="AW200" s="73"/>
    </row>
    <row r="201" spans="1:49" ht="15.75" customHeight="1" x14ac:dyDescent="0.25">
      <c r="A201" s="70"/>
      <c r="B201" s="70"/>
      <c r="C201" s="70"/>
      <c r="U201" s="72"/>
      <c r="AW201" s="73"/>
    </row>
    <row r="202" spans="1:49" ht="15.75" customHeight="1" x14ac:dyDescent="0.25">
      <c r="A202" s="70"/>
      <c r="B202" s="70"/>
      <c r="C202" s="70"/>
      <c r="U202" s="72"/>
      <c r="AW202" s="73"/>
    </row>
    <row r="203" spans="1:49" ht="15.75" customHeight="1" x14ac:dyDescent="0.25">
      <c r="A203" s="70"/>
      <c r="B203" s="70"/>
      <c r="C203" s="70"/>
      <c r="U203" s="72"/>
      <c r="AW203" s="73"/>
    </row>
    <row r="204" spans="1:49" ht="15.75" customHeight="1" x14ac:dyDescent="0.25">
      <c r="A204" s="70"/>
      <c r="B204" s="70"/>
      <c r="C204" s="70"/>
      <c r="U204" s="72"/>
      <c r="AW204" s="73"/>
    </row>
    <row r="205" spans="1:49" ht="15.75" customHeight="1" x14ac:dyDescent="0.25">
      <c r="A205" s="70"/>
      <c r="B205" s="70"/>
      <c r="C205" s="70"/>
      <c r="U205" s="72"/>
      <c r="AW205" s="73"/>
    </row>
    <row r="206" spans="1:49" ht="15.75" customHeight="1" x14ac:dyDescent="0.25">
      <c r="A206" s="70"/>
      <c r="B206" s="70"/>
      <c r="C206" s="70"/>
      <c r="U206" s="72"/>
      <c r="AW206" s="73"/>
    </row>
    <row r="207" spans="1:49" ht="15.75" customHeight="1" x14ac:dyDescent="0.25">
      <c r="A207" s="70"/>
      <c r="B207" s="70"/>
      <c r="C207" s="70"/>
      <c r="U207" s="72"/>
      <c r="AW207" s="73"/>
    </row>
    <row r="208" spans="1:49" ht="15.75" customHeight="1" x14ac:dyDescent="0.25">
      <c r="A208" s="70"/>
      <c r="B208" s="70"/>
      <c r="C208" s="70"/>
      <c r="U208" s="72"/>
      <c r="AW208" s="73"/>
    </row>
    <row r="209" spans="1:49" ht="15.75" customHeight="1" x14ac:dyDescent="0.25">
      <c r="A209" s="70"/>
      <c r="B209" s="70"/>
      <c r="C209" s="70"/>
      <c r="U209" s="72"/>
      <c r="AW209" s="73"/>
    </row>
    <row r="210" spans="1:49" ht="15.75" customHeight="1" x14ac:dyDescent="0.25">
      <c r="A210" s="70"/>
      <c r="B210" s="70"/>
      <c r="C210" s="70"/>
      <c r="U210" s="72"/>
      <c r="AW210" s="73"/>
    </row>
    <row r="211" spans="1:49" ht="15.75" customHeight="1" x14ac:dyDescent="0.25">
      <c r="A211" s="70"/>
      <c r="B211" s="70"/>
      <c r="C211" s="70"/>
      <c r="U211" s="72"/>
      <c r="AW211" s="73"/>
    </row>
    <row r="212" spans="1:49" ht="15.75" customHeight="1" x14ac:dyDescent="0.25">
      <c r="A212" s="70"/>
      <c r="B212" s="70"/>
      <c r="C212" s="70"/>
      <c r="U212" s="72"/>
      <c r="AW212" s="73"/>
    </row>
    <row r="213" spans="1:49" ht="15.75" customHeight="1" x14ac:dyDescent="0.25">
      <c r="A213" s="70"/>
      <c r="B213" s="70"/>
      <c r="C213" s="70"/>
      <c r="U213" s="72"/>
      <c r="AW213" s="73"/>
    </row>
    <row r="214" spans="1:49" ht="15.75" customHeight="1" x14ac:dyDescent="0.25">
      <c r="A214" s="70"/>
      <c r="B214" s="70"/>
      <c r="C214" s="70"/>
      <c r="U214" s="72"/>
      <c r="AW214" s="73"/>
    </row>
    <row r="215" spans="1:49" ht="15.75" customHeight="1" x14ac:dyDescent="0.25">
      <c r="A215" s="70"/>
      <c r="B215" s="70"/>
      <c r="C215" s="70"/>
      <c r="U215" s="72"/>
      <c r="AW215" s="73"/>
    </row>
    <row r="216" spans="1:49" ht="15.75" customHeight="1" x14ac:dyDescent="0.25">
      <c r="A216" s="70"/>
      <c r="B216" s="70"/>
      <c r="C216" s="70"/>
      <c r="U216" s="72"/>
      <c r="AW216" s="73"/>
    </row>
    <row r="217" spans="1:49" ht="15.75" customHeight="1" x14ac:dyDescent="0.25">
      <c r="A217" s="70"/>
      <c r="B217" s="70"/>
      <c r="C217" s="70"/>
      <c r="U217" s="72"/>
      <c r="AW217" s="73"/>
    </row>
    <row r="218" spans="1:49" ht="15.75" customHeight="1" x14ac:dyDescent="0.25">
      <c r="A218" s="70"/>
      <c r="B218" s="70"/>
      <c r="C218" s="70"/>
      <c r="U218" s="72"/>
      <c r="AW218" s="73"/>
    </row>
    <row r="219" spans="1:49" ht="15.75" customHeight="1" x14ac:dyDescent="0.25">
      <c r="A219" s="70"/>
      <c r="B219" s="70"/>
      <c r="C219" s="70"/>
      <c r="U219" s="72"/>
      <c r="AW219" s="73"/>
    </row>
    <row r="220" spans="1:49" ht="15.75" customHeight="1" x14ac:dyDescent="0.25">
      <c r="A220" s="70"/>
      <c r="B220" s="70"/>
      <c r="C220" s="70"/>
      <c r="U220" s="72"/>
      <c r="AW220" s="73"/>
    </row>
    <row r="221" spans="1:49" ht="15.75" customHeight="1" x14ac:dyDescent="0.25">
      <c r="A221" s="70"/>
      <c r="B221" s="70"/>
      <c r="C221" s="70"/>
      <c r="U221" s="72"/>
      <c r="AW221" s="73"/>
    </row>
    <row r="222" spans="1:49" ht="15.75" customHeight="1" x14ac:dyDescent="0.25">
      <c r="A222" s="70"/>
      <c r="B222" s="70"/>
      <c r="C222" s="70"/>
      <c r="U222" s="72"/>
      <c r="AW222" s="73"/>
    </row>
    <row r="223" spans="1:49" ht="15.75" customHeight="1" x14ac:dyDescent="0.25">
      <c r="A223" s="70"/>
      <c r="B223" s="70"/>
      <c r="C223" s="70"/>
      <c r="U223" s="72"/>
      <c r="AW223" s="73"/>
    </row>
    <row r="224" spans="1:49" ht="15.75" customHeight="1" x14ac:dyDescent="0.25">
      <c r="A224" s="70"/>
      <c r="B224" s="70"/>
      <c r="C224" s="70"/>
      <c r="U224" s="72"/>
      <c r="AW224" s="73"/>
    </row>
    <row r="225" spans="1:49" ht="15.75" customHeight="1" x14ac:dyDescent="0.25">
      <c r="A225" s="70"/>
      <c r="B225" s="70"/>
      <c r="C225" s="70"/>
      <c r="U225" s="72"/>
      <c r="AW225" s="73"/>
    </row>
    <row r="226" spans="1:49" ht="15.75" customHeight="1" x14ac:dyDescent="0.25">
      <c r="A226" s="70"/>
      <c r="B226" s="70"/>
      <c r="C226" s="70"/>
      <c r="U226" s="72"/>
      <c r="AW226" s="73"/>
    </row>
    <row r="227" spans="1:49" ht="15.75" customHeight="1" x14ac:dyDescent="0.25">
      <c r="A227" s="70"/>
      <c r="B227" s="70"/>
      <c r="C227" s="70"/>
      <c r="U227" s="72"/>
      <c r="AW227" s="73"/>
    </row>
    <row r="228" spans="1:49" ht="15.75" customHeight="1" x14ac:dyDescent="0.25">
      <c r="A228" s="70"/>
      <c r="B228" s="70"/>
      <c r="C228" s="70"/>
      <c r="U228" s="72"/>
      <c r="AW228" s="73"/>
    </row>
    <row r="229" spans="1:49" ht="15.75" customHeight="1" x14ac:dyDescent="0.25">
      <c r="A229" s="70"/>
      <c r="B229" s="70"/>
      <c r="C229" s="70"/>
      <c r="U229" s="72"/>
      <c r="AW229" s="73"/>
    </row>
    <row r="230" spans="1:49" ht="15.75" customHeight="1" x14ac:dyDescent="0.25">
      <c r="A230" s="70"/>
      <c r="B230" s="70"/>
      <c r="C230" s="70"/>
      <c r="U230" s="72"/>
      <c r="AW230" s="73"/>
    </row>
    <row r="231" spans="1:49" ht="15.75" customHeight="1" x14ac:dyDescent="0.25">
      <c r="A231" s="70"/>
      <c r="B231" s="70"/>
      <c r="C231" s="70"/>
      <c r="U231" s="72"/>
      <c r="AW231" s="73"/>
    </row>
    <row r="232" spans="1:49" ht="15.75" customHeight="1" x14ac:dyDescent="0.25">
      <c r="A232" s="70"/>
      <c r="B232" s="70"/>
      <c r="C232" s="70"/>
      <c r="U232" s="72"/>
      <c r="AW232" s="73"/>
    </row>
    <row r="233" spans="1:49" ht="15.75" customHeight="1" x14ac:dyDescent="0.25">
      <c r="A233" s="70"/>
      <c r="B233" s="70"/>
      <c r="C233" s="70"/>
      <c r="U233" s="72"/>
      <c r="AW233" s="73"/>
    </row>
    <row r="234" spans="1:49" ht="15.75" customHeight="1" x14ac:dyDescent="0.25">
      <c r="A234" s="70"/>
      <c r="B234" s="70"/>
      <c r="C234" s="70"/>
      <c r="U234" s="72"/>
      <c r="AW234" s="73"/>
    </row>
    <row r="235" spans="1:49" ht="15.75" customHeight="1" x14ac:dyDescent="0.25">
      <c r="A235" s="70"/>
      <c r="B235" s="70"/>
      <c r="C235" s="70"/>
      <c r="U235" s="72"/>
      <c r="AW235" s="73"/>
    </row>
    <row r="236" spans="1:49" ht="15.75" customHeight="1" x14ac:dyDescent="0.25">
      <c r="A236" s="70"/>
      <c r="B236" s="70"/>
      <c r="C236" s="70"/>
      <c r="U236" s="72"/>
      <c r="AW236" s="73"/>
    </row>
    <row r="237" spans="1:49" ht="15.75" customHeight="1" x14ac:dyDescent="0.25">
      <c r="A237" s="70"/>
      <c r="B237" s="70"/>
      <c r="C237" s="70"/>
      <c r="U237" s="72"/>
      <c r="AW237" s="73"/>
    </row>
    <row r="238" spans="1:49" ht="15.75" customHeight="1" x14ac:dyDescent="0.25">
      <c r="A238" s="70"/>
      <c r="B238" s="70"/>
      <c r="C238" s="70"/>
      <c r="U238" s="72"/>
      <c r="AW238" s="73"/>
    </row>
    <row r="239" spans="1:49" ht="15.75" customHeight="1" x14ac:dyDescent="0.25">
      <c r="A239" s="70"/>
      <c r="B239" s="70"/>
      <c r="C239" s="70"/>
      <c r="U239" s="72"/>
      <c r="AW239" s="73"/>
    </row>
    <row r="240" spans="1:49" ht="15.75" customHeight="1" x14ac:dyDescent="0.25">
      <c r="A240" s="70"/>
      <c r="B240" s="70"/>
      <c r="C240" s="70"/>
      <c r="U240" s="72"/>
      <c r="AW240" s="73"/>
    </row>
    <row r="241" spans="1:49" ht="15.75" customHeight="1" x14ac:dyDescent="0.25">
      <c r="A241" s="70"/>
      <c r="B241" s="70"/>
      <c r="C241" s="70"/>
      <c r="U241" s="72"/>
      <c r="AW241" s="73"/>
    </row>
    <row r="242" spans="1:49" ht="15.75" customHeight="1" x14ac:dyDescent="0.25">
      <c r="A242" s="70"/>
      <c r="B242" s="70"/>
      <c r="C242" s="70"/>
      <c r="U242" s="72"/>
      <c r="AW242" s="73"/>
    </row>
    <row r="243" spans="1:49" ht="15.75" customHeight="1" x14ac:dyDescent="0.25">
      <c r="A243" s="70"/>
      <c r="B243" s="70"/>
      <c r="C243" s="70"/>
      <c r="U243" s="72"/>
      <c r="AW243" s="73"/>
    </row>
    <row r="244" spans="1:49" ht="15.75" customHeight="1" x14ac:dyDescent="0.25">
      <c r="A244" s="70"/>
      <c r="B244" s="70"/>
      <c r="C244" s="70"/>
      <c r="U244" s="72"/>
      <c r="AW244" s="73"/>
    </row>
    <row r="245" spans="1:49" ht="15.75" customHeight="1" x14ac:dyDescent="0.25">
      <c r="A245" s="70"/>
      <c r="B245" s="70"/>
      <c r="C245" s="70"/>
      <c r="U245" s="72"/>
      <c r="AW245" s="73"/>
    </row>
    <row r="246" spans="1:49" ht="15.75" customHeight="1" x14ac:dyDescent="0.25">
      <c r="A246" s="70"/>
      <c r="B246" s="70"/>
      <c r="C246" s="70"/>
      <c r="U246" s="72"/>
      <c r="AW246" s="73"/>
    </row>
    <row r="247" spans="1:49" ht="15.75" customHeight="1" x14ac:dyDescent="0.25">
      <c r="A247" s="70"/>
      <c r="B247" s="70"/>
      <c r="C247" s="70"/>
      <c r="U247" s="72"/>
      <c r="AW247" s="73"/>
    </row>
    <row r="248" spans="1:49" ht="15.75" customHeight="1" x14ac:dyDescent="0.25">
      <c r="A248" s="70"/>
      <c r="B248" s="70"/>
      <c r="C248" s="70"/>
      <c r="U248" s="72"/>
      <c r="AW248" s="73"/>
    </row>
    <row r="249" spans="1:49" ht="15.75" customHeight="1" x14ac:dyDescent="0.25">
      <c r="A249" s="70"/>
      <c r="B249" s="70"/>
      <c r="C249" s="70"/>
      <c r="U249" s="72"/>
      <c r="AW249" s="73"/>
    </row>
    <row r="250" spans="1:49" ht="15.75" customHeight="1" x14ac:dyDescent="0.25">
      <c r="A250" s="70"/>
      <c r="B250" s="70"/>
      <c r="C250" s="70"/>
      <c r="U250" s="72"/>
      <c r="AW250" s="73"/>
    </row>
    <row r="251" spans="1:49" ht="15.75" customHeight="1" x14ac:dyDescent="0.25">
      <c r="A251" s="70"/>
      <c r="B251" s="70"/>
      <c r="C251" s="70"/>
      <c r="U251" s="72"/>
      <c r="AW251" s="73"/>
    </row>
    <row r="252" spans="1:49" ht="15.75" customHeight="1" x14ac:dyDescent="0.25">
      <c r="A252" s="70"/>
      <c r="B252" s="70"/>
      <c r="C252" s="70"/>
      <c r="U252" s="72"/>
      <c r="AW252" s="73"/>
    </row>
    <row r="253" spans="1:49" ht="15.75" customHeight="1" x14ac:dyDescent="0.25">
      <c r="A253" s="70"/>
      <c r="B253" s="70"/>
      <c r="C253" s="70"/>
      <c r="U253" s="72"/>
      <c r="AW253" s="73"/>
    </row>
    <row r="254" spans="1:49" ht="15.75" customHeight="1" x14ac:dyDescent="0.25">
      <c r="A254" s="70"/>
      <c r="B254" s="70"/>
      <c r="C254" s="70"/>
      <c r="U254" s="72"/>
      <c r="AW254" s="73"/>
    </row>
    <row r="255" spans="1:49" ht="15.75" customHeight="1" x14ac:dyDescent="0.25">
      <c r="A255" s="70"/>
      <c r="B255" s="70"/>
      <c r="C255" s="70"/>
      <c r="U255" s="72"/>
      <c r="AW255" s="73"/>
    </row>
    <row r="256" spans="1:49" ht="15.75" customHeight="1" x14ac:dyDescent="0.25">
      <c r="A256" s="70"/>
      <c r="B256" s="70"/>
      <c r="C256" s="70"/>
      <c r="U256" s="72"/>
      <c r="AW256" s="73"/>
    </row>
    <row r="257" spans="1:49" ht="15.75" customHeight="1" x14ac:dyDescent="0.25">
      <c r="A257" s="70"/>
      <c r="B257" s="70"/>
      <c r="C257" s="70"/>
      <c r="U257" s="72"/>
      <c r="AW257" s="73"/>
    </row>
    <row r="258" spans="1:49" ht="15.75" customHeight="1" x14ac:dyDescent="0.25">
      <c r="A258" s="70"/>
      <c r="B258" s="70"/>
      <c r="C258" s="70"/>
      <c r="U258" s="72"/>
      <c r="AW258" s="73"/>
    </row>
    <row r="259" spans="1:49" ht="15.75" customHeight="1" x14ac:dyDescent="0.25">
      <c r="A259" s="70"/>
      <c r="B259" s="70"/>
      <c r="C259" s="70"/>
      <c r="U259" s="72"/>
      <c r="AW259" s="73"/>
    </row>
    <row r="260" spans="1:49" ht="15.75" customHeight="1" x14ac:dyDescent="0.25">
      <c r="A260" s="70"/>
      <c r="B260" s="70"/>
      <c r="C260" s="70"/>
      <c r="U260" s="72"/>
      <c r="AW260" s="73"/>
    </row>
    <row r="261" spans="1:49" ht="15.75" customHeight="1" x14ac:dyDescent="0.25">
      <c r="A261" s="70"/>
      <c r="B261" s="70"/>
      <c r="C261" s="70"/>
      <c r="U261" s="72"/>
      <c r="AW261" s="73"/>
    </row>
    <row r="262" spans="1:49" ht="15.75" customHeight="1" x14ac:dyDescent="0.25">
      <c r="A262" s="70"/>
      <c r="B262" s="70"/>
      <c r="C262" s="70"/>
      <c r="U262" s="72"/>
      <c r="AW262" s="73"/>
    </row>
    <row r="263" spans="1:49" ht="15.75" customHeight="1" x14ac:dyDescent="0.25">
      <c r="A263" s="70"/>
      <c r="B263" s="70"/>
      <c r="C263" s="70"/>
      <c r="U263" s="72"/>
      <c r="AW263" s="73"/>
    </row>
    <row r="264" spans="1:49" ht="15.75" customHeight="1" x14ac:dyDescent="0.25">
      <c r="A264" s="70"/>
      <c r="B264" s="70"/>
      <c r="C264" s="70"/>
      <c r="U264" s="72"/>
      <c r="AW264" s="73"/>
    </row>
    <row r="265" spans="1:49" ht="15.75" customHeight="1" x14ac:dyDescent="0.25">
      <c r="A265" s="70"/>
      <c r="B265" s="70"/>
      <c r="C265" s="70"/>
      <c r="U265" s="72"/>
      <c r="AW265" s="73"/>
    </row>
    <row r="266" spans="1:49" ht="15.75" customHeight="1" x14ac:dyDescent="0.25">
      <c r="A266" s="70"/>
      <c r="B266" s="70"/>
      <c r="C266" s="70"/>
      <c r="U266" s="72"/>
      <c r="AW266" s="73"/>
    </row>
    <row r="267" spans="1:49" ht="15.75" customHeight="1" x14ac:dyDescent="0.25">
      <c r="A267" s="70"/>
      <c r="B267" s="70"/>
      <c r="C267" s="70"/>
      <c r="U267" s="72"/>
      <c r="AW267" s="73"/>
    </row>
    <row r="268" spans="1:49" ht="15.75" customHeight="1" x14ac:dyDescent="0.25">
      <c r="A268" s="70"/>
      <c r="B268" s="70"/>
      <c r="C268" s="70"/>
      <c r="U268" s="72"/>
      <c r="AW268" s="73"/>
    </row>
    <row r="269" spans="1:49" ht="15.75" customHeight="1" x14ac:dyDescent="0.25">
      <c r="A269" s="70"/>
      <c r="B269" s="70"/>
      <c r="C269" s="70"/>
      <c r="U269" s="72"/>
      <c r="AW269" s="73"/>
    </row>
    <row r="270" spans="1:49" ht="15.75" customHeight="1" x14ac:dyDescent="0.25">
      <c r="A270" s="70"/>
      <c r="B270" s="70"/>
      <c r="C270" s="70"/>
      <c r="U270" s="72"/>
      <c r="AW270" s="73"/>
    </row>
    <row r="271" spans="1:49" ht="15.75" customHeight="1" x14ac:dyDescent="0.25">
      <c r="A271" s="70"/>
      <c r="B271" s="70"/>
      <c r="C271" s="70"/>
      <c r="U271" s="72"/>
      <c r="AW271" s="73"/>
    </row>
    <row r="272" spans="1:49" ht="15.75" customHeight="1" x14ac:dyDescent="0.25">
      <c r="A272" s="70"/>
      <c r="B272" s="70"/>
      <c r="C272" s="70"/>
      <c r="U272" s="72"/>
      <c r="AW272" s="73"/>
    </row>
    <row r="273" spans="1:49" ht="15.75" customHeight="1" x14ac:dyDescent="0.25">
      <c r="A273" s="70"/>
      <c r="B273" s="70"/>
      <c r="C273" s="70"/>
      <c r="U273" s="72"/>
      <c r="AW273" s="73"/>
    </row>
    <row r="274" spans="1:49" ht="15.75" customHeight="1" x14ac:dyDescent="0.25">
      <c r="A274" s="70"/>
      <c r="B274" s="70"/>
      <c r="C274" s="70"/>
      <c r="U274" s="72"/>
      <c r="AW274" s="73"/>
    </row>
    <row r="275" spans="1:49" ht="15.75" customHeight="1" x14ac:dyDescent="0.25">
      <c r="A275" s="70"/>
      <c r="B275" s="70"/>
      <c r="C275" s="70"/>
      <c r="U275" s="72"/>
      <c r="AW275" s="73"/>
    </row>
    <row r="276" spans="1:49" ht="15.75" customHeight="1" x14ac:dyDescent="0.25">
      <c r="A276" s="70"/>
      <c r="B276" s="70"/>
      <c r="C276" s="70"/>
      <c r="U276" s="72"/>
      <c r="AW276" s="73"/>
    </row>
    <row r="277" spans="1:49" ht="15.75" customHeight="1" x14ac:dyDescent="0.25">
      <c r="A277" s="70"/>
      <c r="B277" s="70"/>
      <c r="C277" s="70"/>
      <c r="U277" s="72"/>
      <c r="AW277" s="73"/>
    </row>
    <row r="278" spans="1:49" ht="15.75" customHeight="1" x14ac:dyDescent="0.25">
      <c r="A278" s="70"/>
      <c r="B278" s="70"/>
      <c r="C278" s="70"/>
      <c r="U278" s="72"/>
      <c r="AW278" s="73"/>
    </row>
    <row r="279" spans="1:49" ht="15.75" customHeight="1" x14ac:dyDescent="0.25">
      <c r="A279" s="70"/>
      <c r="B279" s="70"/>
      <c r="C279" s="70"/>
      <c r="U279" s="72"/>
      <c r="AW279" s="73"/>
    </row>
    <row r="280" spans="1:49" ht="15.75" customHeight="1" x14ac:dyDescent="0.25">
      <c r="A280" s="70"/>
      <c r="B280" s="70"/>
      <c r="C280" s="70"/>
      <c r="U280" s="72"/>
      <c r="AW280" s="73"/>
    </row>
    <row r="281" spans="1:49" ht="15.75" customHeight="1" x14ac:dyDescent="0.25">
      <c r="A281" s="70"/>
      <c r="B281" s="70"/>
      <c r="C281" s="70"/>
      <c r="U281" s="72"/>
      <c r="AW281" s="73"/>
    </row>
    <row r="282" spans="1:49" ht="15.75" customHeight="1" x14ac:dyDescent="0.25">
      <c r="A282" s="70"/>
      <c r="B282" s="70"/>
      <c r="C282" s="70"/>
      <c r="U282" s="72"/>
      <c r="AW282" s="73"/>
    </row>
    <row r="283" spans="1:49" ht="15.75" customHeight="1" x14ac:dyDescent="0.25">
      <c r="A283" s="70"/>
      <c r="B283" s="70"/>
      <c r="C283" s="70"/>
      <c r="U283" s="72"/>
      <c r="AW283" s="73"/>
    </row>
    <row r="284" spans="1:49" ht="15.75" customHeight="1" x14ac:dyDescent="0.25">
      <c r="A284" s="70"/>
      <c r="B284" s="70"/>
      <c r="C284" s="70"/>
      <c r="U284" s="72"/>
      <c r="AW284" s="73"/>
    </row>
    <row r="285" spans="1:49" ht="15.75" customHeight="1" x14ac:dyDescent="0.25">
      <c r="A285" s="70"/>
      <c r="B285" s="70"/>
      <c r="C285" s="70"/>
      <c r="U285" s="72"/>
      <c r="AW285" s="73"/>
    </row>
    <row r="286" spans="1:49" ht="15.75" customHeight="1" x14ac:dyDescent="0.25">
      <c r="A286" s="70"/>
      <c r="B286" s="70"/>
      <c r="C286" s="70"/>
      <c r="U286" s="72"/>
      <c r="AW286" s="73"/>
    </row>
    <row r="287" spans="1:49" ht="15.75" customHeight="1" x14ac:dyDescent="0.25">
      <c r="A287" s="70"/>
      <c r="B287" s="70"/>
      <c r="C287" s="70"/>
      <c r="U287" s="72"/>
      <c r="AW287" s="73"/>
    </row>
    <row r="288" spans="1:49" ht="15.75" customHeight="1" x14ac:dyDescent="0.25">
      <c r="A288" s="70"/>
      <c r="B288" s="70"/>
      <c r="C288" s="70"/>
      <c r="U288" s="72"/>
      <c r="AW288" s="73"/>
    </row>
    <row r="289" spans="1:49" ht="15.75" customHeight="1" x14ac:dyDescent="0.25">
      <c r="A289" s="70"/>
      <c r="B289" s="70"/>
      <c r="C289" s="70"/>
      <c r="U289" s="72"/>
      <c r="AW289" s="73"/>
    </row>
    <row r="290" spans="1:49" ht="15.75" customHeight="1" x14ac:dyDescent="0.25">
      <c r="A290" s="70"/>
      <c r="B290" s="70"/>
      <c r="C290" s="70"/>
      <c r="U290" s="72"/>
      <c r="AW290" s="73"/>
    </row>
    <row r="291" spans="1:49" ht="15.75" customHeight="1" x14ac:dyDescent="0.25">
      <c r="A291" s="70"/>
      <c r="B291" s="70"/>
      <c r="C291" s="70"/>
      <c r="U291" s="72"/>
      <c r="AW291" s="73"/>
    </row>
    <row r="292" spans="1:49" ht="15.75" customHeight="1" x14ac:dyDescent="0.25">
      <c r="A292" s="70"/>
      <c r="B292" s="70"/>
      <c r="C292" s="70"/>
      <c r="U292" s="72"/>
      <c r="AW292" s="73"/>
    </row>
    <row r="293" spans="1:49" ht="15.75" customHeight="1" x14ac:dyDescent="0.25">
      <c r="A293" s="70"/>
      <c r="B293" s="70"/>
      <c r="C293" s="70"/>
      <c r="U293" s="72"/>
      <c r="AW293" s="73"/>
    </row>
    <row r="294" spans="1:49" ht="15.75" customHeight="1" x14ac:dyDescent="0.25">
      <c r="A294" s="70"/>
      <c r="B294" s="70"/>
      <c r="C294" s="70"/>
      <c r="U294" s="72"/>
      <c r="AW294" s="73"/>
    </row>
    <row r="295" spans="1:49" ht="15.75" customHeight="1" x14ac:dyDescent="0.25">
      <c r="A295" s="70"/>
      <c r="B295" s="70"/>
      <c r="C295" s="70"/>
      <c r="U295" s="72"/>
      <c r="AW295" s="73"/>
    </row>
    <row r="296" spans="1:49" ht="15.75" customHeight="1" x14ac:dyDescent="0.25">
      <c r="A296" s="70"/>
      <c r="B296" s="70"/>
      <c r="C296" s="70"/>
      <c r="U296" s="72"/>
      <c r="AW296" s="73"/>
    </row>
    <row r="297" spans="1:49" ht="15.75" customHeight="1" x14ac:dyDescent="0.25">
      <c r="A297" s="70"/>
      <c r="B297" s="70"/>
      <c r="C297" s="70"/>
      <c r="U297" s="72"/>
      <c r="AW297" s="73"/>
    </row>
    <row r="298" spans="1:49" ht="15.75" customHeight="1" x14ac:dyDescent="0.25">
      <c r="A298" s="70"/>
      <c r="B298" s="70"/>
      <c r="C298" s="70"/>
      <c r="U298" s="72"/>
      <c r="AW298" s="73"/>
    </row>
    <row r="299" spans="1:49" ht="15.75" customHeight="1" x14ac:dyDescent="0.25">
      <c r="A299" s="70"/>
      <c r="B299" s="70"/>
      <c r="C299" s="70"/>
      <c r="U299" s="72"/>
      <c r="AW299" s="73"/>
    </row>
    <row r="300" spans="1:49" ht="15.75" customHeight="1" x14ac:dyDescent="0.25">
      <c r="A300" s="70"/>
      <c r="B300" s="70"/>
      <c r="C300" s="70"/>
      <c r="U300" s="72"/>
      <c r="AW300" s="73"/>
    </row>
    <row r="301" spans="1:49" ht="15.75" customHeight="1" x14ac:dyDescent="0.25">
      <c r="A301" s="70"/>
      <c r="B301" s="70"/>
      <c r="C301" s="70"/>
      <c r="U301" s="72"/>
      <c r="AW301" s="73"/>
    </row>
    <row r="302" spans="1:49" ht="15.75" customHeight="1" x14ac:dyDescent="0.25">
      <c r="A302" s="70"/>
      <c r="B302" s="70"/>
      <c r="C302" s="70"/>
      <c r="U302" s="72"/>
      <c r="AW302" s="73"/>
    </row>
    <row r="303" spans="1:49" ht="15.75" customHeight="1" x14ac:dyDescent="0.25">
      <c r="A303" s="70"/>
      <c r="B303" s="70"/>
      <c r="C303" s="70"/>
      <c r="U303" s="72"/>
      <c r="AW303" s="73"/>
    </row>
    <row r="304" spans="1:49" ht="15.75" customHeight="1" x14ac:dyDescent="0.25">
      <c r="A304" s="70"/>
      <c r="B304" s="70"/>
      <c r="C304" s="70"/>
      <c r="U304" s="72"/>
      <c r="AW304" s="73"/>
    </row>
    <row r="305" spans="1:49" ht="15.75" customHeight="1" x14ac:dyDescent="0.25">
      <c r="A305" s="70"/>
      <c r="B305" s="70"/>
      <c r="C305" s="70"/>
      <c r="U305" s="72"/>
      <c r="AW305" s="73"/>
    </row>
    <row r="306" spans="1:49" ht="15.75" customHeight="1" x14ac:dyDescent="0.25">
      <c r="A306" s="70"/>
      <c r="B306" s="70"/>
      <c r="C306" s="70"/>
      <c r="U306" s="72"/>
      <c r="AW306" s="73"/>
    </row>
    <row r="307" spans="1:49" ht="15.75" customHeight="1" x14ac:dyDescent="0.25">
      <c r="A307" s="70"/>
      <c r="B307" s="70"/>
      <c r="C307" s="70"/>
      <c r="U307" s="72"/>
      <c r="AW307" s="73"/>
    </row>
    <row r="308" spans="1:49" ht="15.75" customHeight="1" x14ac:dyDescent="0.25">
      <c r="A308" s="70"/>
      <c r="B308" s="70"/>
      <c r="C308" s="70"/>
      <c r="U308" s="72"/>
      <c r="AW308" s="73"/>
    </row>
    <row r="309" spans="1:49" ht="15.75" customHeight="1" x14ac:dyDescent="0.25">
      <c r="A309" s="70"/>
      <c r="B309" s="70"/>
      <c r="C309" s="70"/>
      <c r="U309" s="72"/>
      <c r="AW309" s="73"/>
    </row>
    <row r="310" spans="1:49" ht="15.75" customHeight="1" x14ac:dyDescent="0.25">
      <c r="A310" s="70"/>
      <c r="B310" s="70"/>
      <c r="C310" s="70"/>
      <c r="U310" s="72"/>
      <c r="AW310" s="73"/>
    </row>
    <row r="311" spans="1:49" ht="15.75" customHeight="1" x14ac:dyDescent="0.25">
      <c r="A311" s="70"/>
      <c r="B311" s="70"/>
      <c r="C311" s="70"/>
      <c r="U311" s="72"/>
      <c r="AW311" s="73"/>
    </row>
    <row r="312" spans="1:49" ht="15.75" customHeight="1" x14ac:dyDescent="0.25">
      <c r="A312" s="70"/>
      <c r="B312" s="70"/>
      <c r="C312" s="70"/>
      <c r="U312" s="72"/>
      <c r="AW312" s="73"/>
    </row>
    <row r="313" spans="1:49" ht="15.75" customHeight="1" x14ac:dyDescent="0.25">
      <c r="A313" s="70"/>
      <c r="B313" s="70"/>
      <c r="C313" s="70"/>
      <c r="U313" s="72"/>
      <c r="AW313" s="73"/>
    </row>
    <row r="314" spans="1:49" ht="15.75" customHeight="1" x14ac:dyDescent="0.25">
      <c r="A314" s="70"/>
      <c r="B314" s="70"/>
      <c r="C314" s="70"/>
      <c r="U314" s="72"/>
      <c r="AW314" s="73"/>
    </row>
    <row r="315" spans="1:49" ht="15.75" customHeight="1" x14ac:dyDescent="0.25">
      <c r="A315" s="70"/>
      <c r="B315" s="70"/>
      <c r="C315" s="70"/>
      <c r="U315" s="72"/>
      <c r="AW315" s="73"/>
    </row>
    <row r="316" spans="1:49" ht="15.75" customHeight="1" x14ac:dyDescent="0.25">
      <c r="A316" s="70"/>
      <c r="B316" s="70"/>
      <c r="C316" s="70"/>
      <c r="U316" s="72"/>
      <c r="AW316" s="73"/>
    </row>
    <row r="317" spans="1:49" ht="15.75" customHeight="1" x14ac:dyDescent="0.25">
      <c r="A317" s="70"/>
      <c r="B317" s="70"/>
      <c r="C317" s="70"/>
      <c r="U317" s="72"/>
      <c r="AW317" s="73"/>
    </row>
    <row r="318" spans="1:49" ht="15.75" customHeight="1" x14ac:dyDescent="0.25">
      <c r="A318" s="70"/>
      <c r="B318" s="70"/>
      <c r="C318" s="70"/>
      <c r="U318" s="72"/>
      <c r="AW318" s="73"/>
    </row>
    <row r="319" spans="1:49" ht="15.75" customHeight="1" x14ac:dyDescent="0.25">
      <c r="A319" s="70"/>
      <c r="B319" s="70"/>
      <c r="C319" s="70"/>
      <c r="U319" s="72"/>
      <c r="AW319" s="73"/>
    </row>
    <row r="320" spans="1:49" ht="15.75" customHeight="1" x14ac:dyDescent="0.25">
      <c r="A320" s="70"/>
      <c r="B320" s="70"/>
      <c r="C320" s="70"/>
      <c r="U320" s="72"/>
      <c r="AW320" s="73"/>
    </row>
    <row r="321" spans="1:49" ht="15.75" customHeight="1" x14ac:dyDescent="0.25">
      <c r="A321" s="70"/>
      <c r="B321" s="70"/>
      <c r="C321" s="70"/>
      <c r="U321" s="72"/>
      <c r="AW321" s="73"/>
    </row>
    <row r="322" spans="1:49" ht="15.75" customHeight="1" x14ac:dyDescent="0.25">
      <c r="A322" s="70"/>
      <c r="B322" s="70"/>
      <c r="C322" s="70"/>
      <c r="U322" s="72"/>
      <c r="AW322" s="73"/>
    </row>
    <row r="323" spans="1:49" ht="15.75" customHeight="1" x14ac:dyDescent="0.25">
      <c r="A323" s="70"/>
      <c r="B323" s="70"/>
      <c r="C323" s="70"/>
      <c r="U323" s="72"/>
      <c r="AW323" s="73"/>
    </row>
    <row r="324" spans="1:49" ht="15.75" customHeight="1" x14ac:dyDescent="0.25">
      <c r="A324" s="70"/>
      <c r="B324" s="70"/>
      <c r="C324" s="70"/>
      <c r="U324" s="72"/>
      <c r="AW324" s="73"/>
    </row>
    <row r="325" spans="1:49" ht="15.75" customHeight="1" x14ac:dyDescent="0.25">
      <c r="A325" s="70"/>
      <c r="B325" s="70"/>
      <c r="C325" s="70"/>
      <c r="U325" s="72"/>
      <c r="AW325" s="73"/>
    </row>
    <row r="326" spans="1:49" ht="15.75" customHeight="1" x14ac:dyDescent="0.25">
      <c r="A326" s="70"/>
      <c r="B326" s="70"/>
      <c r="C326" s="70"/>
      <c r="U326" s="72"/>
      <c r="AW326" s="73"/>
    </row>
    <row r="327" spans="1:49" ht="15.75" customHeight="1" x14ac:dyDescent="0.25">
      <c r="A327" s="70"/>
      <c r="B327" s="70"/>
      <c r="C327" s="70"/>
      <c r="U327" s="72"/>
      <c r="AW327" s="73"/>
    </row>
    <row r="328" spans="1:49" ht="15.75" customHeight="1" x14ac:dyDescent="0.25">
      <c r="A328" s="70"/>
      <c r="B328" s="70"/>
      <c r="C328" s="70"/>
      <c r="U328" s="72"/>
      <c r="AW328" s="73"/>
    </row>
    <row r="329" spans="1:49" ht="15.75" customHeight="1" x14ac:dyDescent="0.25">
      <c r="A329" s="70"/>
      <c r="B329" s="70"/>
      <c r="C329" s="70"/>
      <c r="U329" s="72"/>
      <c r="AW329" s="73"/>
    </row>
    <row r="330" spans="1:49" ht="15.75" customHeight="1" x14ac:dyDescent="0.25">
      <c r="A330" s="70"/>
      <c r="B330" s="70"/>
      <c r="C330" s="70"/>
      <c r="U330" s="72"/>
      <c r="AW330" s="73"/>
    </row>
    <row r="331" spans="1:49" ht="15.75" customHeight="1" x14ac:dyDescent="0.25">
      <c r="A331" s="70"/>
      <c r="B331" s="70"/>
      <c r="C331" s="70"/>
      <c r="U331" s="72"/>
      <c r="AW331" s="73"/>
    </row>
    <row r="332" spans="1:49" ht="15.75" customHeight="1" x14ac:dyDescent="0.25">
      <c r="A332" s="70"/>
      <c r="B332" s="70"/>
      <c r="C332" s="70"/>
      <c r="U332" s="72"/>
      <c r="AW332" s="73"/>
    </row>
    <row r="333" spans="1:49" ht="15.75" customHeight="1" x14ac:dyDescent="0.25">
      <c r="A333" s="70"/>
      <c r="B333" s="70"/>
      <c r="C333" s="70"/>
      <c r="U333" s="72"/>
      <c r="AW333" s="73"/>
    </row>
    <row r="334" spans="1:49" ht="15.75" customHeight="1" x14ac:dyDescent="0.25">
      <c r="A334" s="70"/>
      <c r="B334" s="70"/>
      <c r="C334" s="70"/>
      <c r="U334" s="72"/>
      <c r="AW334" s="73"/>
    </row>
    <row r="335" spans="1:49" ht="15.75" customHeight="1" x14ac:dyDescent="0.25">
      <c r="A335" s="70"/>
      <c r="B335" s="70"/>
      <c r="C335" s="70"/>
      <c r="U335" s="72"/>
      <c r="AW335" s="73"/>
    </row>
    <row r="336" spans="1:49" ht="15.75" customHeight="1" x14ac:dyDescent="0.25">
      <c r="A336" s="70"/>
      <c r="B336" s="70"/>
      <c r="C336" s="70"/>
      <c r="U336" s="72"/>
      <c r="AW336" s="73"/>
    </row>
    <row r="337" spans="1:49" ht="15.75" customHeight="1" x14ac:dyDescent="0.25">
      <c r="A337" s="70"/>
      <c r="B337" s="70"/>
      <c r="C337" s="70"/>
      <c r="U337" s="72"/>
      <c r="AW337" s="73"/>
    </row>
    <row r="338" spans="1:49" ht="15.75" customHeight="1" x14ac:dyDescent="0.25">
      <c r="A338" s="70"/>
      <c r="B338" s="70"/>
      <c r="C338" s="70"/>
      <c r="U338" s="72"/>
      <c r="AW338" s="73"/>
    </row>
    <row r="339" spans="1:49" ht="15.75" customHeight="1" x14ac:dyDescent="0.25">
      <c r="A339" s="70"/>
      <c r="B339" s="70"/>
      <c r="C339" s="70"/>
      <c r="U339" s="72"/>
      <c r="AW339" s="73"/>
    </row>
    <row r="340" spans="1:49" ht="15.75" customHeight="1" x14ac:dyDescent="0.25">
      <c r="A340" s="70"/>
      <c r="B340" s="70"/>
      <c r="C340" s="70"/>
      <c r="U340" s="72"/>
      <c r="AW340" s="73"/>
    </row>
    <row r="341" spans="1:49" ht="15.75" customHeight="1" x14ac:dyDescent="0.25">
      <c r="A341" s="70"/>
      <c r="B341" s="70"/>
      <c r="C341" s="70"/>
      <c r="U341" s="72"/>
      <c r="AW341" s="73"/>
    </row>
    <row r="342" spans="1:49" ht="15.75" customHeight="1" x14ac:dyDescent="0.25">
      <c r="A342" s="70"/>
      <c r="B342" s="70"/>
      <c r="C342" s="70"/>
      <c r="U342" s="72"/>
      <c r="AW342" s="73"/>
    </row>
    <row r="343" spans="1:49" ht="15.75" customHeight="1" x14ac:dyDescent="0.25">
      <c r="A343" s="70"/>
      <c r="B343" s="70"/>
      <c r="C343" s="70"/>
      <c r="U343" s="72"/>
      <c r="AW343" s="73"/>
    </row>
    <row r="344" spans="1:49" ht="15.75" customHeight="1" x14ac:dyDescent="0.25">
      <c r="A344" s="70"/>
      <c r="B344" s="70"/>
      <c r="C344" s="70"/>
      <c r="U344" s="72"/>
      <c r="AW344" s="73"/>
    </row>
    <row r="345" spans="1:49" ht="15.75" customHeight="1" x14ac:dyDescent="0.25">
      <c r="A345" s="70"/>
      <c r="B345" s="70"/>
      <c r="C345" s="70"/>
      <c r="U345" s="72"/>
      <c r="AW345" s="73"/>
    </row>
    <row r="346" spans="1:49" ht="15.75" customHeight="1" x14ac:dyDescent="0.25">
      <c r="A346" s="70"/>
      <c r="B346" s="70"/>
      <c r="C346" s="70"/>
      <c r="U346" s="72"/>
      <c r="AW346" s="73"/>
    </row>
    <row r="347" spans="1:49" ht="15.75" customHeight="1" x14ac:dyDescent="0.25">
      <c r="A347" s="70"/>
      <c r="B347" s="70"/>
      <c r="C347" s="70"/>
      <c r="U347" s="72"/>
      <c r="AW347" s="73"/>
    </row>
    <row r="348" spans="1:49" ht="15.75" customHeight="1" x14ac:dyDescent="0.25">
      <c r="A348" s="70"/>
      <c r="B348" s="70"/>
      <c r="C348" s="70"/>
      <c r="U348" s="72"/>
      <c r="AW348" s="73"/>
    </row>
    <row r="349" spans="1:49" ht="15.75" customHeight="1" x14ac:dyDescent="0.25">
      <c r="A349" s="70"/>
      <c r="B349" s="70"/>
      <c r="C349" s="70"/>
      <c r="U349" s="72"/>
      <c r="AW349" s="73"/>
    </row>
    <row r="350" spans="1:49" ht="15.75" customHeight="1" x14ac:dyDescent="0.25">
      <c r="A350" s="70"/>
      <c r="B350" s="70"/>
      <c r="C350" s="70"/>
      <c r="U350" s="72"/>
      <c r="AW350" s="73"/>
    </row>
    <row r="351" spans="1:49" ht="15.75" customHeight="1" x14ac:dyDescent="0.25">
      <c r="A351" s="70"/>
      <c r="B351" s="70"/>
      <c r="C351" s="70"/>
      <c r="U351" s="72"/>
      <c r="AW351" s="73"/>
    </row>
    <row r="352" spans="1:49" ht="15.75" customHeight="1" x14ac:dyDescent="0.25">
      <c r="A352" s="70"/>
      <c r="B352" s="70"/>
      <c r="C352" s="70"/>
      <c r="U352" s="72"/>
      <c r="AW352" s="73"/>
    </row>
    <row r="353" spans="1:49" ht="15.75" customHeight="1" x14ac:dyDescent="0.25">
      <c r="A353" s="70"/>
      <c r="B353" s="70"/>
      <c r="C353" s="70"/>
      <c r="U353" s="72"/>
      <c r="AW353" s="73"/>
    </row>
    <row r="354" spans="1:49" ht="15.75" customHeight="1" x14ac:dyDescent="0.25">
      <c r="A354" s="70"/>
      <c r="B354" s="70"/>
      <c r="C354" s="70"/>
      <c r="U354" s="72"/>
      <c r="AW354" s="73"/>
    </row>
    <row r="355" spans="1:49" ht="15.75" customHeight="1" x14ac:dyDescent="0.25">
      <c r="A355" s="70"/>
      <c r="B355" s="70"/>
      <c r="C355" s="70"/>
      <c r="U355" s="72"/>
      <c r="AW355" s="73"/>
    </row>
    <row r="356" spans="1:49" ht="15.75" customHeight="1" x14ac:dyDescent="0.25">
      <c r="A356" s="70"/>
      <c r="B356" s="70"/>
      <c r="C356" s="70"/>
      <c r="U356" s="72"/>
      <c r="AW356" s="73"/>
    </row>
    <row r="357" spans="1:49" ht="15.75" customHeight="1" x14ac:dyDescent="0.25">
      <c r="A357" s="70"/>
      <c r="B357" s="70"/>
      <c r="C357" s="70"/>
      <c r="U357" s="72"/>
      <c r="AW357" s="73"/>
    </row>
    <row r="358" spans="1:49" ht="15.75" customHeight="1" x14ac:dyDescent="0.25">
      <c r="A358" s="70"/>
      <c r="B358" s="70"/>
      <c r="C358" s="70"/>
      <c r="U358" s="72"/>
      <c r="AW358" s="73"/>
    </row>
    <row r="359" spans="1:49" ht="15.75" customHeight="1" x14ac:dyDescent="0.25">
      <c r="A359" s="70"/>
      <c r="B359" s="70"/>
      <c r="C359" s="70"/>
      <c r="U359" s="72"/>
      <c r="AW359" s="73"/>
    </row>
    <row r="360" spans="1:49" ht="15.75" customHeight="1" x14ac:dyDescent="0.25">
      <c r="A360" s="70"/>
      <c r="B360" s="70"/>
      <c r="C360" s="70"/>
      <c r="U360" s="72"/>
      <c r="AW360" s="73"/>
    </row>
    <row r="361" spans="1:49" ht="15.75" customHeight="1" x14ac:dyDescent="0.25">
      <c r="A361" s="70"/>
      <c r="B361" s="70"/>
      <c r="C361" s="70"/>
      <c r="U361" s="72"/>
      <c r="AW361" s="73"/>
    </row>
    <row r="362" spans="1:49" ht="15.75" customHeight="1" x14ac:dyDescent="0.25">
      <c r="A362" s="70"/>
      <c r="B362" s="70"/>
      <c r="C362" s="70"/>
      <c r="U362" s="72"/>
      <c r="AW362" s="73"/>
    </row>
    <row r="363" spans="1:49" ht="15.75" customHeight="1" x14ac:dyDescent="0.25">
      <c r="A363" s="70"/>
      <c r="B363" s="70"/>
      <c r="C363" s="70"/>
      <c r="U363" s="72"/>
      <c r="AW363" s="73"/>
    </row>
    <row r="364" spans="1:49" ht="15.75" customHeight="1" x14ac:dyDescent="0.25">
      <c r="A364" s="70"/>
      <c r="B364" s="70"/>
      <c r="C364" s="70"/>
      <c r="U364" s="72"/>
      <c r="AW364" s="73"/>
    </row>
    <row r="365" spans="1:49" ht="15.75" customHeight="1" x14ac:dyDescent="0.25">
      <c r="A365" s="70"/>
      <c r="B365" s="70"/>
      <c r="C365" s="70"/>
      <c r="U365" s="72"/>
      <c r="AW365" s="73"/>
    </row>
    <row r="366" spans="1:49" ht="15.75" customHeight="1" x14ac:dyDescent="0.25">
      <c r="A366" s="70"/>
      <c r="B366" s="70"/>
      <c r="C366" s="70"/>
      <c r="U366" s="72"/>
      <c r="AW366" s="73"/>
    </row>
    <row r="367" spans="1:49" ht="15.75" customHeight="1" x14ac:dyDescent="0.25">
      <c r="A367" s="70"/>
      <c r="B367" s="70"/>
      <c r="C367" s="70"/>
      <c r="U367" s="72"/>
      <c r="AW367" s="73"/>
    </row>
    <row r="368" spans="1:49" ht="15.75" customHeight="1" x14ac:dyDescent="0.25">
      <c r="A368" s="70"/>
      <c r="B368" s="70"/>
      <c r="C368" s="70"/>
      <c r="U368" s="72"/>
      <c r="AW368" s="73"/>
    </row>
    <row r="369" spans="1:49" ht="15.75" customHeight="1" x14ac:dyDescent="0.25">
      <c r="A369" s="70"/>
      <c r="B369" s="70"/>
      <c r="C369" s="70"/>
      <c r="U369" s="72"/>
      <c r="AW369" s="73"/>
    </row>
    <row r="370" spans="1:49" ht="15.75" customHeight="1" x14ac:dyDescent="0.25">
      <c r="A370" s="70"/>
      <c r="B370" s="70"/>
      <c r="C370" s="70"/>
      <c r="U370" s="72"/>
      <c r="AW370" s="73"/>
    </row>
    <row r="371" spans="1:49" ht="15.75" customHeight="1" x14ac:dyDescent="0.25">
      <c r="A371" s="70"/>
      <c r="B371" s="70"/>
      <c r="C371" s="70"/>
      <c r="U371" s="72"/>
      <c r="AW371" s="73"/>
    </row>
    <row r="372" spans="1:49" ht="15.75" customHeight="1" x14ac:dyDescent="0.25">
      <c r="A372" s="70"/>
      <c r="B372" s="70"/>
      <c r="C372" s="70"/>
      <c r="U372" s="72"/>
      <c r="AW372" s="73"/>
    </row>
    <row r="373" spans="1:49" ht="15.75" customHeight="1" x14ac:dyDescent="0.25">
      <c r="A373" s="70"/>
      <c r="B373" s="70"/>
      <c r="C373" s="70"/>
      <c r="U373" s="72"/>
      <c r="AW373" s="73"/>
    </row>
    <row r="374" spans="1:49" ht="15.75" customHeight="1" x14ac:dyDescent="0.25">
      <c r="A374" s="70"/>
      <c r="B374" s="70"/>
      <c r="C374" s="70"/>
      <c r="U374" s="72"/>
      <c r="AW374" s="73"/>
    </row>
    <row r="375" spans="1:49" ht="15.75" customHeight="1" x14ac:dyDescent="0.25">
      <c r="A375" s="70"/>
      <c r="B375" s="70"/>
      <c r="C375" s="70"/>
      <c r="U375" s="72"/>
      <c r="AW375" s="73"/>
    </row>
    <row r="376" spans="1:49" ht="15.75" customHeight="1" x14ac:dyDescent="0.25">
      <c r="A376" s="70"/>
      <c r="B376" s="70"/>
      <c r="C376" s="70"/>
      <c r="U376" s="72"/>
      <c r="AW376" s="73"/>
    </row>
    <row r="377" spans="1:49" ht="15.75" customHeight="1" x14ac:dyDescent="0.25">
      <c r="A377" s="70"/>
      <c r="B377" s="70"/>
      <c r="C377" s="70"/>
      <c r="U377" s="72"/>
      <c r="AW377" s="73"/>
    </row>
    <row r="378" spans="1:49" ht="15.75" customHeight="1" x14ac:dyDescent="0.25">
      <c r="A378" s="70"/>
      <c r="B378" s="70"/>
      <c r="C378" s="70"/>
      <c r="U378" s="72"/>
      <c r="AW378" s="73"/>
    </row>
    <row r="379" spans="1:49" ht="15.75" customHeight="1" x14ac:dyDescent="0.25">
      <c r="A379" s="70"/>
      <c r="B379" s="70"/>
      <c r="C379" s="70"/>
      <c r="U379" s="72"/>
      <c r="AW379" s="73"/>
    </row>
    <row r="380" spans="1:49" ht="15.75" customHeight="1" x14ac:dyDescent="0.25">
      <c r="A380" s="70"/>
      <c r="B380" s="70"/>
      <c r="C380" s="70"/>
      <c r="U380" s="72"/>
      <c r="AW380" s="73"/>
    </row>
    <row r="381" spans="1:49" ht="15.75" customHeight="1" x14ac:dyDescent="0.25">
      <c r="A381" s="70"/>
      <c r="B381" s="70"/>
      <c r="C381" s="70"/>
      <c r="U381" s="72"/>
      <c r="AW381" s="73"/>
    </row>
    <row r="382" spans="1:49" ht="15.75" customHeight="1" x14ac:dyDescent="0.25">
      <c r="A382" s="70"/>
      <c r="B382" s="70"/>
      <c r="C382" s="70"/>
      <c r="U382" s="72"/>
      <c r="AW382" s="73"/>
    </row>
    <row r="383" spans="1:49" ht="15.75" customHeight="1" x14ac:dyDescent="0.25">
      <c r="A383" s="70"/>
      <c r="B383" s="70"/>
      <c r="C383" s="70"/>
      <c r="U383" s="72"/>
      <c r="AW383" s="73"/>
    </row>
    <row r="384" spans="1:49" ht="15.75" customHeight="1" x14ac:dyDescent="0.25">
      <c r="A384" s="70"/>
      <c r="B384" s="70"/>
      <c r="C384" s="70"/>
      <c r="U384" s="72"/>
      <c r="AW384" s="73"/>
    </row>
    <row r="385" spans="1:49" ht="15.75" customHeight="1" x14ac:dyDescent="0.25">
      <c r="A385" s="70"/>
      <c r="B385" s="70"/>
      <c r="C385" s="70"/>
      <c r="U385" s="72"/>
      <c r="AW385" s="73"/>
    </row>
    <row r="386" spans="1:49" ht="15.75" customHeight="1" x14ac:dyDescent="0.25">
      <c r="A386" s="70"/>
      <c r="B386" s="70"/>
      <c r="C386" s="70"/>
      <c r="U386" s="72"/>
      <c r="AW386" s="73"/>
    </row>
    <row r="387" spans="1:49" ht="15.75" customHeight="1" x14ac:dyDescent="0.25">
      <c r="A387" s="70"/>
      <c r="B387" s="70"/>
      <c r="C387" s="70"/>
      <c r="U387" s="72"/>
      <c r="AW387" s="73"/>
    </row>
    <row r="388" spans="1:49" ht="15.75" customHeight="1" x14ac:dyDescent="0.25">
      <c r="A388" s="70"/>
      <c r="B388" s="70"/>
      <c r="C388" s="70"/>
      <c r="U388" s="72"/>
      <c r="AW388" s="73"/>
    </row>
    <row r="389" spans="1:49" ht="15.75" customHeight="1" x14ac:dyDescent="0.25">
      <c r="A389" s="70"/>
      <c r="B389" s="70"/>
      <c r="C389" s="70"/>
      <c r="U389" s="72"/>
      <c r="AW389" s="73"/>
    </row>
    <row r="390" spans="1:49" ht="15.75" customHeight="1" x14ac:dyDescent="0.25">
      <c r="A390" s="70"/>
      <c r="B390" s="70"/>
      <c r="C390" s="70"/>
      <c r="U390" s="72"/>
      <c r="AW390" s="73"/>
    </row>
    <row r="391" spans="1:49" ht="15.75" customHeight="1" x14ac:dyDescent="0.25">
      <c r="A391" s="70"/>
      <c r="B391" s="70"/>
      <c r="C391" s="70"/>
      <c r="U391" s="72"/>
      <c r="AW391" s="73"/>
    </row>
    <row r="392" spans="1:49" ht="15.75" customHeight="1" x14ac:dyDescent="0.25">
      <c r="A392" s="70"/>
      <c r="B392" s="70"/>
      <c r="C392" s="70"/>
      <c r="U392" s="72"/>
      <c r="AW392" s="73"/>
    </row>
    <row r="393" spans="1:49" ht="15.75" customHeight="1" x14ac:dyDescent="0.25">
      <c r="A393" s="70"/>
      <c r="B393" s="70"/>
      <c r="C393" s="70"/>
      <c r="U393" s="72"/>
      <c r="AW393" s="73"/>
    </row>
    <row r="394" spans="1:49" ht="15.75" customHeight="1" x14ac:dyDescent="0.25">
      <c r="A394" s="70"/>
      <c r="B394" s="70"/>
      <c r="C394" s="70"/>
      <c r="U394" s="72"/>
      <c r="AW394" s="73"/>
    </row>
    <row r="395" spans="1:49" ht="15.75" customHeight="1" x14ac:dyDescent="0.25">
      <c r="A395" s="70"/>
      <c r="B395" s="70"/>
      <c r="C395" s="70"/>
      <c r="U395" s="72"/>
      <c r="AW395" s="73"/>
    </row>
    <row r="396" spans="1:49" ht="15.75" customHeight="1" x14ac:dyDescent="0.25">
      <c r="A396" s="70"/>
      <c r="B396" s="70"/>
      <c r="C396" s="70"/>
      <c r="U396" s="72"/>
      <c r="AW396" s="73"/>
    </row>
    <row r="397" spans="1:49" ht="15.75" customHeight="1" x14ac:dyDescent="0.25">
      <c r="A397" s="70"/>
      <c r="B397" s="70"/>
      <c r="C397" s="70"/>
      <c r="U397" s="72"/>
      <c r="AW397" s="73"/>
    </row>
    <row r="398" spans="1:49" ht="15.75" customHeight="1" x14ac:dyDescent="0.25">
      <c r="A398" s="70"/>
      <c r="B398" s="70"/>
      <c r="C398" s="70"/>
      <c r="U398" s="72"/>
      <c r="AW398" s="73"/>
    </row>
    <row r="399" spans="1:49" ht="15.75" customHeight="1" x14ac:dyDescent="0.25">
      <c r="A399" s="70"/>
      <c r="B399" s="70"/>
      <c r="C399" s="70"/>
      <c r="U399" s="72"/>
      <c r="AW399" s="73"/>
    </row>
    <row r="400" spans="1:49" ht="15.75" customHeight="1" x14ac:dyDescent="0.25">
      <c r="A400" s="70"/>
      <c r="B400" s="70"/>
      <c r="C400" s="70"/>
      <c r="U400" s="72"/>
      <c r="AW400" s="73"/>
    </row>
    <row r="401" spans="1:49" ht="15.75" customHeight="1" x14ac:dyDescent="0.25">
      <c r="A401" s="70"/>
      <c r="B401" s="70"/>
      <c r="C401" s="70"/>
      <c r="U401" s="72"/>
      <c r="AW401" s="73"/>
    </row>
    <row r="402" spans="1:49" ht="15.75" customHeight="1" x14ac:dyDescent="0.25">
      <c r="A402" s="70"/>
      <c r="B402" s="70"/>
      <c r="C402" s="70"/>
      <c r="U402" s="72"/>
      <c r="AW402" s="73"/>
    </row>
    <row r="403" spans="1:49" ht="15.75" customHeight="1" x14ac:dyDescent="0.25">
      <c r="A403" s="70"/>
      <c r="B403" s="70"/>
      <c r="C403" s="70"/>
      <c r="U403" s="72"/>
      <c r="AW403" s="73"/>
    </row>
    <row r="404" spans="1:49" ht="15.75" customHeight="1" x14ac:dyDescent="0.25">
      <c r="A404" s="70"/>
      <c r="B404" s="70"/>
      <c r="C404" s="70"/>
      <c r="U404" s="72"/>
      <c r="AW404" s="73"/>
    </row>
    <row r="405" spans="1:49" ht="15.75" customHeight="1" x14ac:dyDescent="0.25">
      <c r="A405" s="70"/>
      <c r="B405" s="70"/>
      <c r="C405" s="70"/>
      <c r="U405" s="72"/>
      <c r="AW405" s="73"/>
    </row>
    <row r="406" spans="1:49" ht="15.75" customHeight="1" x14ac:dyDescent="0.25">
      <c r="A406" s="70"/>
      <c r="B406" s="70"/>
      <c r="C406" s="70"/>
      <c r="U406" s="72"/>
      <c r="AW406" s="73"/>
    </row>
    <row r="407" spans="1:49" ht="15.75" customHeight="1" x14ac:dyDescent="0.25">
      <c r="A407" s="70"/>
      <c r="B407" s="70"/>
      <c r="C407" s="70"/>
      <c r="U407" s="72"/>
      <c r="AW407" s="73"/>
    </row>
    <row r="408" spans="1:49" ht="15.75" customHeight="1" x14ac:dyDescent="0.25">
      <c r="A408" s="70"/>
      <c r="B408" s="70"/>
      <c r="C408" s="70"/>
      <c r="U408" s="72"/>
      <c r="AW408" s="73"/>
    </row>
    <row r="409" spans="1:49" ht="15.75" customHeight="1" x14ac:dyDescent="0.25">
      <c r="A409" s="70"/>
      <c r="B409" s="70"/>
      <c r="C409" s="70"/>
      <c r="U409" s="72"/>
      <c r="AW409" s="73"/>
    </row>
    <row r="410" spans="1:49" ht="15.75" customHeight="1" x14ac:dyDescent="0.25">
      <c r="A410" s="70"/>
      <c r="B410" s="70"/>
      <c r="C410" s="70"/>
      <c r="U410" s="72"/>
      <c r="AW410" s="73"/>
    </row>
    <row r="411" spans="1:49" ht="15.75" customHeight="1" x14ac:dyDescent="0.25">
      <c r="A411" s="70"/>
      <c r="B411" s="70"/>
      <c r="C411" s="70"/>
      <c r="U411" s="72"/>
      <c r="AW411" s="73"/>
    </row>
    <row r="412" spans="1:49" ht="15.75" customHeight="1" x14ac:dyDescent="0.25">
      <c r="A412" s="70"/>
      <c r="B412" s="70"/>
      <c r="C412" s="70"/>
      <c r="U412" s="72"/>
      <c r="AW412" s="73"/>
    </row>
    <row r="413" spans="1:49" ht="15.75" customHeight="1" x14ac:dyDescent="0.25">
      <c r="A413" s="70"/>
      <c r="B413" s="70"/>
      <c r="C413" s="70"/>
      <c r="U413" s="72"/>
      <c r="AW413" s="73"/>
    </row>
    <row r="414" spans="1:49" ht="15.75" customHeight="1" x14ac:dyDescent="0.25">
      <c r="A414" s="70"/>
      <c r="B414" s="70"/>
      <c r="C414" s="70"/>
      <c r="U414" s="72"/>
      <c r="AW414" s="73"/>
    </row>
    <row r="415" spans="1:49" ht="15.75" customHeight="1" x14ac:dyDescent="0.25">
      <c r="A415" s="70"/>
      <c r="B415" s="70"/>
      <c r="C415" s="70"/>
      <c r="U415" s="72"/>
      <c r="AW415" s="73"/>
    </row>
    <row r="416" spans="1:49" ht="15.75" customHeight="1" x14ac:dyDescent="0.25">
      <c r="A416" s="70"/>
      <c r="B416" s="70"/>
      <c r="C416" s="70"/>
      <c r="U416" s="72"/>
      <c r="AW416" s="73"/>
    </row>
    <row r="417" spans="1:49" ht="15.75" customHeight="1" x14ac:dyDescent="0.25">
      <c r="A417" s="70"/>
      <c r="B417" s="70"/>
      <c r="C417" s="70"/>
      <c r="U417" s="72"/>
      <c r="AW417" s="73"/>
    </row>
    <row r="418" spans="1:49" ht="15.75" customHeight="1" x14ac:dyDescent="0.25">
      <c r="A418" s="70"/>
      <c r="B418" s="70"/>
      <c r="C418" s="70"/>
      <c r="U418" s="72"/>
      <c r="AW418" s="73"/>
    </row>
    <row r="419" spans="1:49" ht="15.75" customHeight="1" x14ac:dyDescent="0.25">
      <c r="A419" s="70"/>
      <c r="B419" s="70"/>
      <c r="C419" s="70"/>
      <c r="U419" s="72"/>
      <c r="AW419" s="73"/>
    </row>
    <row r="420" spans="1:49" ht="15.75" customHeight="1" x14ac:dyDescent="0.25">
      <c r="A420" s="70"/>
      <c r="B420" s="70"/>
      <c r="C420" s="70"/>
      <c r="U420" s="72"/>
      <c r="AW420" s="73"/>
    </row>
    <row r="421" spans="1:49" ht="15.75" customHeight="1" x14ac:dyDescent="0.25">
      <c r="A421" s="70"/>
      <c r="B421" s="70"/>
      <c r="C421" s="70"/>
      <c r="U421" s="72"/>
      <c r="AW421" s="73"/>
    </row>
    <row r="422" spans="1:49" ht="15.75" customHeight="1" x14ac:dyDescent="0.25">
      <c r="A422" s="70"/>
      <c r="B422" s="70"/>
      <c r="C422" s="70"/>
      <c r="U422" s="72"/>
      <c r="AW422" s="73"/>
    </row>
    <row r="423" spans="1:49" ht="15.75" customHeight="1" x14ac:dyDescent="0.25">
      <c r="A423" s="70"/>
      <c r="B423" s="70"/>
      <c r="C423" s="70"/>
      <c r="U423" s="72"/>
      <c r="AW423" s="73"/>
    </row>
    <row r="424" spans="1:49" ht="15.75" customHeight="1" x14ac:dyDescent="0.25">
      <c r="A424" s="70"/>
      <c r="B424" s="70"/>
      <c r="C424" s="70"/>
      <c r="U424" s="72"/>
      <c r="AW424" s="73"/>
    </row>
    <row r="425" spans="1:49" ht="15.75" customHeight="1" x14ac:dyDescent="0.25">
      <c r="A425" s="70"/>
      <c r="B425" s="70"/>
      <c r="C425" s="70"/>
      <c r="U425" s="72"/>
      <c r="AW425" s="73"/>
    </row>
    <row r="426" spans="1:49" ht="15.75" customHeight="1" x14ac:dyDescent="0.25">
      <c r="A426" s="70"/>
      <c r="B426" s="70"/>
      <c r="C426" s="70"/>
      <c r="U426" s="72"/>
      <c r="AW426" s="73"/>
    </row>
    <row r="427" spans="1:49" ht="15.75" customHeight="1" x14ac:dyDescent="0.25">
      <c r="A427" s="70"/>
      <c r="B427" s="70"/>
      <c r="C427" s="70"/>
      <c r="U427" s="72"/>
      <c r="AW427" s="73"/>
    </row>
    <row r="428" spans="1:49" ht="15.75" customHeight="1" x14ac:dyDescent="0.25">
      <c r="A428" s="70"/>
      <c r="B428" s="70"/>
      <c r="C428" s="70"/>
      <c r="U428" s="72"/>
      <c r="AW428" s="73"/>
    </row>
    <row r="429" spans="1:49" ht="15.75" customHeight="1" x14ac:dyDescent="0.25">
      <c r="A429" s="70"/>
      <c r="B429" s="70"/>
      <c r="C429" s="70"/>
      <c r="U429" s="72"/>
      <c r="AW429" s="73"/>
    </row>
    <row r="430" spans="1:49" ht="15.75" customHeight="1" x14ac:dyDescent="0.25">
      <c r="A430" s="70"/>
      <c r="B430" s="70"/>
      <c r="C430" s="70"/>
      <c r="U430" s="72"/>
      <c r="AW430" s="73"/>
    </row>
    <row r="431" spans="1:49" ht="15.75" customHeight="1" x14ac:dyDescent="0.25">
      <c r="A431" s="70"/>
      <c r="B431" s="70"/>
      <c r="C431" s="70"/>
      <c r="U431" s="72"/>
      <c r="AW431" s="73"/>
    </row>
    <row r="432" spans="1:49" ht="15.75" customHeight="1" x14ac:dyDescent="0.25">
      <c r="A432" s="70"/>
      <c r="B432" s="70"/>
      <c r="C432" s="70"/>
      <c r="U432" s="72"/>
      <c r="AW432" s="73"/>
    </row>
    <row r="433" spans="1:49" ht="15.75" customHeight="1" x14ac:dyDescent="0.25">
      <c r="A433" s="70"/>
      <c r="B433" s="70"/>
      <c r="C433" s="70"/>
      <c r="U433" s="72"/>
      <c r="AW433" s="73"/>
    </row>
    <row r="434" spans="1:49" ht="15.75" customHeight="1" x14ac:dyDescent="0.25">
      <c r="A434" s="70"/>
      <c r="B434" s="70"/>
      <c r="C434" s="70"/>
      <c r="U434" s="72"/>
      <c r="AW434" s="73"/>
    </row>
    <row r="435" spans="1:49" ht="15.75" customHeight="1" x14ac:dyDescent="0.25">
      <c r="A435" s="70"/>
      <c r="B435" s="70"/>
      <c r="C435" s="70"/>
      <c r="U435" s="72"/>
      <c r="AW435" s="73"/>
    </row>
    <row r="436" spans="1:49" ht="15.75" customHeight="1" x14ac:dyDescent="0.25">
      <c r="A436" s="70"/>
      <c r="B436" s="70"/>
      <c r="C436" s="70"/>
      <c r="U436" s="72"/>
      <c r="AW436" s="73"/>
    </row>
    <row r="437" spans="1:49" ht="15.75" customHeight="1" x14ac:dyDescent="0.25">
      <c r="A437" s="70"/>
      <c r="B437" s="70"/>
      <c r="C437" s="70"/>
      <c r="U437" s="72"/>
      <c r="AW437" s="73"/>
    </row>
    <row r="438" spans="1:49" ht="15.75" customHeight="1" x14ac:dyDescent="0.25">
      <c r="A438" s="70"/>
      <c r="B438" s="70"/>
      <c r="C438" s="70"/>
      <c r="U438" s="72"/>
      <c r="AW438" s="73"/>
    </row>
    <row r="439" spans="1:49" ht="15.75" customHeight="1" x14ac:dyDescent="0.25">
      <c r="A439" s="70"/>
      <c r="B439" s="70"/>
      <c r="C439" s="70"/>
      <c r="U439" s="72"/>
      <c r="AW439" s="73"/>
    </row>
    <row r="440" spans="1:49" ht="15.75" customHeight="1" x14ac:dyDescent="0.25">
      <c r="A440" s="70"/>
      <c r="B440" s="70"/>
      <c r="C440" s="70"/>
      <c r="U440" s="72"/>
      <c r="AW440" s="73"/>
    </row>
    <row r="441" spans="1:49" ht="15.75" customHeight="1" x14ac:dyDescent="0.25">
      <c r="A441" s="70"/>
      <c r="B441" s="70"/>
      <c r="C441" s="70"/>
      <c r="U441" s="72"/>
      <c r="AW441" s="73"/>
    </row>
    <row r="442" spans="1:49" ht="15.75" customHeight="1" x14ac:dyDescent="0.25">
      <c r="A442" s="70"/>
      <c r="B442" s="70"/>
      <c r="C442" s="70"/>
      <c r="U442" s="72"/>
      <c r="AW442" s="73"/>
    </row>
    <row r="443" spans="1:49" ht="15.75" customHeight="1" x14ac:dyDescent="0.25">
      <c r="A443" s="70"/>
      <c r="B443" s="70"/>
      <c r="C443" s="70"/>
      <c r="U443" s="72"/>
      <c r="AW443" s="73"/>
    </row>
    <row r="444" spans="1:49" ht="15.75" customHeight="1" x14ac:dyDescent="0.25">
      <c r="A444" s="70"/>
      <c r="B444" s="70"/>
      <c r="C444" s="70"/>
      <c r="U444" s="72"/>
      <c r="AW444" s="73"/>
    </row>
    <row r="445" spans="1:49" ht="15.75" customHeight="1" x14ac:dyDescent="0.25">
      <c r="A445" s="70"/>
      <c r="B445" s="70"/>
      <c r="C445" s="70"/>
      <c r="U445" s="72"/>
      <c r="AW445" s="73"/>
    </row>
    <row r="446" spans="1:49" ht="15.75" customHeight="1" x14ac:dyDescent="0.25">
      <c r="A446" s="70"/>
      <c r="B446" s="70"/>
      <c r="C446" s="70"/>
      <c r="U446" s="72"/>
      <c r="AW446" s="73"/>
    </row>
    <row r="447" spans="1:49" ht="15.75" customHeight="1" x14ac:dyDescent="0.25">
      <c r="A447" s="70"/>
      <c r="B447" s="70"/>
      <c r="C447" s="70"/>
      <c r="U447" s="72"/>
      <c r="AW447" s="73"/>
    </row>
    <row r="448" spans="1:49" ht="15.75" customHeight="1" x14ac:dyDescent="0.25">
      <c r="A448" s="70"/>
      <c r="B448" s="70"/>
      <c r="C448" s="70"/>
      <c r="U448" s="72"/>
      <c r="AW448" s="73"/>
    </row>
    <row r="449" spans="1:49" ht="15.75" customHeight="1" x14ac:dyDescent="0.25">
      <c r="A449" s="70"/>
      <c r="B449" s="70"/>
      <c r="C449" s="70"/>
      <c r="U449" s="72"/>
      <c r="AW449" s="73"/>
    </row>
    <row r="450" spans="1:49" ht="15.75" customHeight="1" x14ac:dyDescent="0.25">
      <c r="A450" s="70"/>
      <c r="B450" s="70"/>
      <c r="C450" s="70"/>
      <c r="U450" s="72"/>
      <c r="AW450" s="73"/>
    </row>
    <row r="451" spans="1:49" ht="15.75" customHeight="1" x14ac:dyDescent="0.25">
      <c r="A451" s="70"/>
      <c r="B451" s="70"/>
      <c r="C451" s="70"/>
      <c r="U451" s="72"/>
      <c r="AW451" s="73"/>
    </row>
    <row r="452" spans="1:49" ht="15.75" customHeight="1" x14ac:dyDescent="0.25">
      <c r="A452" s="70"/>
      <c r="B452" s="70"/>
      <c r="C452" s="70"/>
      <c r="U452" s="72"/>
      <c r="AW452" s="73"/>
    </row>
    <row r="453" spans="1:49" ht="15.75" customHeight="1" x14ac:dyDescent="0.25">
      <c r="A453" s="70"/>
      <c r="B453" s="70"/>
      <c r="C453" s="70"/>
      <c r="U453" s="72"/>
      <c r="AW453" s="73"/>
    </row>
    <row r="454" spans="1:49" ht="15.75" customHeight="1" x14ac:dyDescent="0.25">
      <c r="A454" s="70"/>
      <c r="B454" s="70"/>
      <c r="C454" s="70"/>
      <c r="U454" s="72"/>
      <c r="AW454" s="73"/>
    </row>
    <row r="455" spans="1:49" ht="15.75" customHeight="1" x14ac:dyDescent="0.25">
      <c r="A455" s="70"/>
      <c r="B455" s="70"/>
      <c r="C455" s="70"/>
      <c r="U455" s="72"/>
      <c r="AW455" s="73"/>
    </row>
    <row r="456" spans="1:49" ht="15.75" customHeight="1" x14ac:dyDescent="0.25">
      <c r="A456" s="70"/>
      <c r="B456" s="70"/>
      <c r="C456" s="70"/>
      <c r="U456" s="72"/>
      <c r="AW456" s="73"/>
    </row>
    <row r="457" spans="1:49" ht="15.75" customHeight="1" x14ac:dyDescent="0.25">
      <c r="A457" s="70"/>
      <c r="B457" s="70"/>
      <c r="C457" s="70"/>
      <c r="U457" s="72"/>
      <c r="AW457" s="73"/>
    </row>
    <row r="458" spans="1:49" ht="15.75" customHeight="1" x14ac:dyDescent="0.25">
      <c r="A458" s="70"/>
      <c r="B458" s="70"/>
      <c r="C458" s="70"/>
      <c r="U458" s="72"/>
      <c r="AW458" s="73"/>
    </row>
    <row r="459" spans="1:49" ht="15.75" customHeight="1" x14ac:dyDescent="0.25">
      <c r="A459" s="70"/>
      <c r="B459" s="70"/>
      <c r="C459" s="70"/>
      <c r="U459" s="72"/>
      <c r="AW459" s="73"/>
    </row>
    <row r="460" spans="1:49" ht="15.75" customHeight="1" x14ac:dyDescent="0.25">
      <c r="A460" s="70"/>
      <c r="B460" s="70"/>
      <c r="C460" s="70"/>
      <c r="U460" s="72"/>
      <c r="AW460" s="73"/>
    </row>
    <row r="461" spans="1:49" ht="15.75" customHeight="1" x14ac:dyDescent="0.25">
      <c r="A461" s="70"/>
      <c r="B461" s="70"/>
      <c r="C461" s="70"/>
      <c r="U461" s="72"/>
      <c r="AW461" s="73"/>
    </row>
    <row r="462" spans="1:49" ht="15.75" customHeight="1" x14ac:dyDescent="0.25">
      <c r="A462" s="70"/>
      <c r="B462" s="70"/>
      <c r="C462" s="70"/>
      <c r="U462" s="72"/>
      <c r="AW462" s="73"/>
    </row>
    <row r="463" spans="1:49" ht="15.75" customHeight="1" x14ac:dyDescent="0.25">
      <c r="A463" s="70"/>
      <c r="B463" s="70"/>
      <c r="C463" s="70"/>
      <c r="U463" s="72"/>
      <c r="AW463" s="73"/>
    </row>
    <row r="464" spans="1:49" ht="15.75" customHeight="1" x14ac:dyDescent="0.25">
      <c r="A464" s="70"/>
      <c r="B464" s="70"/>
      <c r="C464" s="70"/>
      <c r="U464" s="72"/>
      <c r="AW464" s="73"/>
    </row>
    <row r="465" spans="1:49" ht="15.75" customHeight="1" x14ac:dyDescent="0.25">
      <c r="A465" s="70"/>
      <c r="B465" s="70"/>
      <c r="C465" s="70"/>
      <c r="U465" s="72"/>
      <c r="AW465" s="73"/>
    </row>
    <row r="466" spans="1:49" ht="15.75" customHeight="1" x14ac:dyDescent="0.25">
      <c r="A466" s="70"/>
      <c r="B466" s="70"/>
      <c r="C466" s="70"/>
      <c r="U466" s="72"/>
      <c r="AW466" s="73"/>
    </row>
    <row r="467" spans="1:49" ht="15.75" customHeight="1" x14ac:dyDescent="0.25">
      <c r="A467" s="70"/>
      <c r="B467" s="70"/>
      <c r="C467" s="70"/>
      <c r="U467" s="72"/>
      <c r="AW467" s="73"/>
    </row>
    <row r="468" spans="1:49" ht="15.75" customHeight="1" x14ac:dyDescent="0.25">
      <c r="A468" s="70"/>
      <c r="B468" s="70"/>
      <c r="C468" s="70"/>
      <c r="U468" s="72"/>
      <c r="AW468" s="73"/>
    </row>
    <row r="469" spans="1:49" ht="15.75" customHeight="1" x14ac:dyDescent="0.25">
      <c r="A469" s="70"/>
      <c r="B469" s="70"/>
      <c r="C469" s="70"/>
      <c r="U469" s="72"/>
      <c r="AW469" s="73"/>
    </row>
    <row r="470" spans="1:49" ht="15.75" customHeight="1" x14ac:dyDescent="0.25">
      <c r="A470" s="70"/>
      <c r="B470" s="70"/>
      <c r="C470" s="70"/>
      <c r="U470" s="72"/>
      <c r="AW470" s="73"/>
    </row>
    <row r="471" spans="1:49" ht="15.75" customHeight="1" x14ac:dyDescent="0.25">
      <c r="A471" s="70"/>
      <c r="B471" s="70"/>
      <c r="C471" s="70"/>
      <c r="U471" s="72"/>
      <c r="AW471" s="73"/>
    </row>
    <row r="472" spans="1:49" ht="15.75" customHeight="1" x14ac:dyDescent="0.25">
      <c r="A472" s="70"/>
      <c r="B472" s="70"/>
      <c r="C472" s="70"/>
      <c r="U472" s="72"/>
      <c r="AW472" s="73"/>
    </row>
    <row r="473" spans="1:49" ht="15.75" customHeight="1" x14ac:dyDescent="0.25">
      <c r="A473" s="70"/>
      <c r="B473" s="70"/>
      <c r="C473" s="70"/>
      <c r="U473" s="72"/>
      <c r="AW473" s="73"/>
    </row>
    <row r="474" spans="1:49" ht="15.75" customHeight="1" x14ac:dyDescent="0.25">
      <c r="A474" s="70"/>
      <c r="B474" s="70"/>
      <c r="C474" s="70"/>
      <c r="U474" s="72"/>
      <c r="AW474" s="73"/>
    </row>
    <row r="475" spans="1:49" ht="15.75" customHeight="1" x14ac:dyDescent="0.25">
      <c r="A475" s="70"/>
      <c r="B475" s="70"/>
      <c r="C475" s="70"/>
      <c r="U475" s="72"/>
      <c r="AW475" s="73"/>
    </row>
    <row r="476" spans="1:49" ht="15.75" customHeight="1" x14ac:dyDescent="0.25">
      <c r="A476" s="70"/>
      <c r="B476" s="70"/>
      <c r="C476" s="70"/>
      <c r="U476" s="72"/>
      <c r="AW476" s="73"/>
    </row>
    <row r="477" spans="1:49" ht="15.75" customHeight="1" x14ac:dyDescent="0.25">
      <c r="A477" s="70"/>
      <c r="B477" s="70"/>
      <c r="C477" s="70"/>
      <c r="U477" s="72"/>
      <c r="AW477" s="73"/>
    </row>
    <row r="478" spans="1:49" ht="15.75" customHeight="1" x14ac:dyDescent="0.25">
      <c r="A478" s="70"/>
      <c r="B478" s="70"/>
      <c r="C478" s="70"/>
      <c r="U478" s="72"/>
      <c r="AW478" s="73"/>
    </row>
    <row r="479" spans="1:49" ht="15.75" customHeight="1" x14ac:dyDescent="0.25">
      <c r="A479" s="70"/>
      <c r="B479" s="70"/>
      <c r="C479" s="70"/>
      <c r="U479" s="72"/>
      <c r="AW479" s="73"/>
    </row>
    <row r="480" spans="1:49" ht="15.75" customHeight="1" x14ac:dyDescent="0.25">
      <c r="A480" s="70"/>
      <c r="B480" s="70"/>
      <c r="C480" s="70"/>
      <c r="U480" s="72"/>
      <c r="AW480" s="73"/>
    </row>
    <row r="481" spans="1:49" ht="15.75" customHeight="1" x14ac:dyDescent="0.25">
      <c r="A481" s="70"/>
      <c r="B481" s="70"/>
      <c r="C481" s="70"/>
      <c r="U481" s="72"/>
      <c r="AW481" s="73"/>
    </row>
    <row r="482" spans="1:49" ht="15.75" customHeight="1" x14ac:dyDescent="0.25">
      <c r="A482" s="70"/>
      <c r="B482" s="70"/>
      <c r="C482" s="70"/>
      <c r="U482" s="72"/>
      <c r="AW482" s="73"/>
    </row>
    <row r="483" spans="1:49" ht="15.75" customHeight="1" x14ac:dyDescent="0.25">
      <c r="A483" s="70"/>
      <c r="B483" s="70"/>
      <c r="C483" s="70"/>
      <c r="U483" s="72"/>
      <c r="AW483" s="73"/>
    </row>
    <row r="484" spans="1:49" ht="15.75" customHeight="1" x14ac:dyDescent="0.25">
      <c r="A484" s="70"/>
      <c r="B484" s="70"/>
      <c r="C484" s="70"/>
      <c r="U484" s="72"/>
      <c r="AW484" s="73"/>
    </row>
    <row r="485" spans="1:49" ht="15.75" customHeight="1" x14ac:dyDescent="0.25">
      <c r="A485" s="70"/>
      <c r="B485" s="70"/>
      <c r="C485" s="70"/>
      <c r="U485" s="72"/>
      <c r="AW485" s="73"/>
    </row>
    <row r="486" spans="1:49" ht="15.75" customHeight="1" x14ac:dyDescent="0.25">
      <c r="A486" s="70"/>
      <c r="B486" s="70"/>
      <c r="C486" s="70"/>
      <c r="U486" s="72"/>
      <c r="AW486" s="73"/>
    </row>
    <row r="487" spans="1:49" ht="15.75" customHeight="1" x14ac:dyDescent="0.25">
      <c r="A487" s="70"/>
      <c r="B487" s="70"/>
      <c r="C487" s="70"/>
      <c r="U487" s="72"/>
      <c r="AW487" s="73"/>
    </row>
    <row r="488" spans="1:49" ht="15.75" customHeight="1" x14ac:dyDescent="0.25">
      <c r="A488" s="70"/>
      <c r="B488" s="70"/>
      <c r="C488" s="70"/>
      <c r="U488" s="72"/>
      <c r="AW488" s="73"/>
    </row>
    <row r="489" spans="1:49" ht="15.75" customHeight="1" x14ac:dyDescent="0.25">
      <c r="A489" s="70"/>
      <c r="B489" s="70"/>
      <c r="C489" s="70"/>
      <c r="U489" s="72"/>
      <c r="AW489" s="73"/>
    </row>
    <row r="490" spans="1:49" ht="15.75" customHeight="1" x14ac:dyDescent="0.25">
      <c r="A490" s="70"/>
      <c r="B490" s="70"/>
      <c r="C490" s="70"/>
      <c r="U490" s="72"/>
      <c r="AW490" s="73"/>
    </row>
    <row r="491" spans="1:49" ht="15.75" customHeight="1" x14ac:dyDescent="0.25">
      <c r="A491" s="70"/>
      <c r="B491" s="70"/>
      <c r="C491" s="70"/>
      <c r="U491" s="72"/>
      <c r="AW491" s="73"/>
    </row>
    <row r="492" spans="1:49" ht="15.75" customHeight="1" x14ac:dyDescent="0.25">
      <c r="A492" s="70"/>
      <c r="B492" s="70"/>
      <c r="C492" s="70"/>
      <c r="U492" s="72"/>
      <c r="AW492" s="73"/>
    </row>
    <row r="493" spans="1:49" ht="15.75" customHeight="1" x14ac:dyDescent="0.25">
      <c r="A493" s="70"/>
      <c r="B493" s="70"/>
      <c r="C493" s="70"/>
      <c r="U493" s="72"/>
      <c r="AW493" s="73"/>
    </row>
    <row r="494" spans="1:49" ht="15.75" customHeight="1" x14ac:dyDescent="0.25">
      <c r="A494" s="70"/>
      <c r="B494" s="70"/>
      <c r="C494" s="70"/>
      <c r="U494" s="72"/>
      <c r="AW494" s="73"/>
    </row>
    <row r="495" spans="1:49" ht="15.75" customHeight="1" x14ac:dyDescent="0.25">
      <c r="A495" s="70"/>
      <c r="B495" s="70"/>
      <c r="C495" s="70"/>
      <c r="U495" s="72"/>
      <c r="AW495" s="73"/>
    </row>
    <row r="496" spans="1:49" ht="15.75" customHeight="1" x14ac:dyDescent="0.25">
      <c r="A496" s="70"/>
      <c r="B496" s="70"/>
      <c r="C496" s="70"/>
      <c r="U496" s="72"/>
      <c r="AW496" s="73"/>
    </row>
    <row r="497" spans="1:49" ht="15.75" customHeight="1" x14ac:dyDescent="0.25">
      <c r="A497" s="70"/>
      <c r="B497" s="70"/>
      <c r="C497" s="70"/>
      <c r="U497" s="72"/>
      <c r="AW497" s="73"/>
    </row>
    <row r="498" spans="1:49" ht="15.75" customHeight="1" x14ac:dyDescent="0.25">
      <c r="A498" s="70"/>
      <c r="B498" s="70"/>
      <c r="C498" s="70"/>
      <c r="U498" s="72"/>
      <c r="AW498" s="73"/>
    </row>
    <row r="499" spans="1:49" ht="15.75" customHeight="1" x14ac:dyDescent="0.25">
      <c r="A499" s="70"/>
      <c r="B499" s="70"/>
      <c r="C499" s="70"/>
      <c r="U499" s="72"/>
      <c r="AW499" s="73"/>
    </row>
    <row r="500" spans="1:49" ht="15.75" customHeight="1" x14ac:dyDescent="0.25">
      <c r="A500" s="70"/>
      <c r="B500" s="70"/>
      <c r="C500" s="70"/>
      <c r="U500" s="72"/>
      <c r="AW500" s="73"/>
    </row>
    <row r="501" spans="1:49" ht="15.75" customHeight="1" x14ac:dyDescent="0.25">
      <c r="A501" s="70"/>
      <c r="B501" s="70"/>
      <c r="C501" s="70"/>
      <c r="U501" s="72"/>
      <c r="AW501" s="73"/>
    </row>
    <row r="502" spans="1:49" ht="15.75" customHeight="1" x14ac:dyDescent="0.25">
      <c r="A502" s="70"/>
      <c r="B502" s="70"/>
      <c r="C502" s="70"/>
      <c r="U502" s="72"/>
      <c r="AW502" s="73"/>
    </row>
    <row r="503" spans="1:49" ht="15.75" customHeight="1" x14ac:dyDescent="0.25">
      <c r="A503" s="70"/>
      <c r="B503" s="70"/>
      <c r="C503" s="70"/>
      <c r="U503" s="72"/>
      <c r="AW503" s="73"/>
    </row>
    <row r="504" spans="1:49" ht="15.75" customHeight="1" x14ac:dyDescent="0.25">
      <c r="A504" s="70"/>
      <c r="B504" s="70"/>
      <c r="C504" s="70"/>
      <c r="U504" s="72"/>
      <c r="AW504" s="73"/>
    </row>
    <row r="505" spans="1:49" ht="15.75" customHeight="1" x14ac:dyDescent="0.25">
      <c r="A505" s="70"/>
      <c r="B505" s="70"/>
      <c r="C505" s="70"/>
      <c r="U505" s="72"/>
      <c r="AW505" s="73"/>
    </row>
    <row r="506" spans="1:49" ht="15.75" customHeight="1" x14ac:dyDescent="0.25">
      <c r="A506" s="70"/>
      <c r="B506" s="70"/>
      <c r="C506" s="70"/>
      <c r="U506" s="72"/>
      <c r="AW506" s="73"/>
    </row>
    <row r="507" spans="1:49" ht="15.75" customHeight="1" x14ac:dyDescent="0.25">
      <c r="A507" s="70"/>
      <c r="B507" s="70"/>
      <c r="C507" s="70"/>
      <c r="U507" s="72"/>
      <c r="AW507" s="73"/>
    </row>
    <row r="508" spans="1:49" ht="15.75" customHeight="1" x14ac:dyDescent="0.25">
      <c r="A508" s="70"/>
      <c r="B508" s="70"/>
      <c r="C508" s="70"/>
      <c r="U508" s="72"/>
      <c r="AW508" s="73"/>
    </row>
    <row r="509" spans="1:49" ht="15.75" customHeight="1" x14ac:dyDescent="0.25">
      <c r="A509" s="70"/>
      <c r="B509" s="70"/>
      <c r="C509" s="70"/>
      <c r="U509" s="72"/>
      <c r="AW509" s="73"/>
    </row>
    <row r="510" spans="1:49" ht="15.75" customHeight="1" x14ac:dyDescent="0.25">
      <c r="A510" s="70"/>
      <c r="B510" s="70"/>
      <c r="C510" s="70"/>
      <c r="U510" s="72"/>
      <c r="AW510" s="73"/>
    </row>
    <row r="511" spans="1:49" ht="15.75" customHeight="1" x14ac:dyDescent="0.25">
      <c r="A511" s="70"/>
      <c r="B511" s="70"/>
      <c r="C511" s="70"/>
      <c r="U511" s="72"/>
      <c r="AW511" s="73"/>
    </row>
    <row r="512" spans="1:49" ht="15.75" customHeight="1" x14ac:dyDescent="0.25">
      <c r="A512" s="70"/>
      <c r="B512" s="70"/>
      <c r="C512" s="70"/>
      <c r="U512" s="72"/>
      <c r="AW512" s="73"/>
    </row>
    <row r="513" spans="1:49" ht="15.75" customHeight="1" x14ac:dyDescent="0.25">
      <c r="A513" s="70"/>
      <c r="B513" s="70"/>
      <c r="C513" s="70"/>
      <c r="U513" s="72"/>
      <c r="AW513" s="73"/>
    </row>
    <row r="514" spans="1:49" ht="15.75" customHeight="1" x14ac:dyDescent="0.25">
      <c r="A514" s="70"/>
      <c r="B514" s="70"/>
      <c r="C514" s="70"/>
      <c r="U514" s="72"/>
      <c r="AW514" s="73"/>
    </row>
    <row r="515" spans="1:49" ht="15.75" customHeight="1" x14ac:dyDescent="0.25">
      <c r="A515" s="70"/>
      <c r="B515" s="70"/>
      <c r="C515" s="70"/>
      <c r="U515" s="72"/>
      <c r="AW515" s="73"/>
    </row>
    <row r="516" spans="1:49" ht="15.75" customHeight="1" x14ac:dyDescent="0.25">
      <c r="A516" s="70"/>
      <c r="B516" s="70"/>
      <c r="C516" s="70"/>
      <c r="U516" s="72"/>
      <c r="AW516" s="73"/>
    </row>
    <row r="517" spans="1:49" ht="15.75" customHeight="1" x14ac:dyDescent="0.25">
      <c r="A517" s="70"/>
      <c r="B517" s="70"/>
      <c r="C517" s="70"/>
      <c r="U517" s="72"/>
      <c r="AW517" s="73"/>
    </row>
    <row r="518" spans="1:49" ht="15.75" customHeight="1" x14ac:dyDescent="0.25">
      <c r="A518" s="70"/>
      <c r="B518" s="70"/>
      <c r="C518" s="70"/>
      <c r="U518" s="72"/>
      <c r="AW518" s="73"/>
    </row>
    <row r="519" spans="1:49" ht="15.75" customHeight="1" x14ac:dyDescent="0.25">
      <c r="A519" s="70"/>
      <c r="B519" s="70"/>
      <c r="C519" s="70"/>
      <c r="U519" s="72"/>
      <c r="AW519" s="73"/>
    </row>
    <row r="520" spans="1:49" ht="15.75" customHeight="1" x14ac:dyDescent="0.25">
      <c r="A520" s="70"/>
      <c r="B520" s="70"/>
      <c r="C520" s="70"/>
      <c r="U520" s="72"/>
      <c r="AW520" s="73"/>
    </row>
    <row r="521" spans="1:49" ht="15.75" customHeight="1" x14ac:dyDescent="0.25">
      <c r="A521" s="70"/>
      <c r="B521" s="70"/>
      <c r="C521" s="70"/>
      <c r="U521" s="72"/>
      <c r="AW521" s="73"/>
    </row>
    <row r="522" spans="1:49" ht="15.75" customHeight="1" x14ac:dyDescent="0.25">
      <c r="A522" s="70"/>
      <c r="B522" s="70"/>
      <c r="C522" s="70"/>
      <c r="U522" s="72"/>
      <c r="AW522" s="73"/>
    </row>
    <row r="523" spans="1:49" ht="15.75" customHeight="1" x14ac:dyDescent="0.25">
      <c r="A523" s="70"/>
      <c r="B523" s="70"/>
      <c r="C523" s="70"/>
      <c r="U523" s="72"/>
      <c r="AW523" s="73"/>
    </row>
    <row r="524" spans="1:49" ht="15.75" customHeight="1" x14ac:dyDescent="0.25">
      <c r="A524" s="70"/>
      <c r="B524" s="70"/>
      <c r="C524" s="70"/>
      <c r="U524" s="72"/>
      <c r="AW524" s="73"/>
    </row>
    <row r="525" spans="1:49" ht="15.75" customHeight="1" x14ac:dyDescent="0.25">
      <c r="A525" s="70"/>
      <c r="B525" s="70"/>
      <c r="C525" s="70"/>
      <c r="U525" s="72"/>
      <c r="AW525" s="73"/>
    </row>
    <row r="526" spans="1:49" ht="15.75" customHeight="1" x14ac:dyDescent="0.25">
      <c r="A526" s="70"/>
      <c r="B526" s="70"/>
      <c r="C526" s="70"/>
      <c r="U526" s="72"/>
      <c r="AW526" s="73"/>
    </row>
    <row r="527" spans="1:49" ht="15.75" customHeight="1" x14ac:dyDescent="0.25">
      <c r="A527" s="70"/>
      <c r="B527" s="70"/>
      <c r="C527" s="70"/>
      <c r="U527" s="72"/>
      <c r="AW527" s="73"/>
    </row>
    <row r="528" spans="1:49" ht="15.75" customHeight="1" x14ac:dyDescent="0.25">
      <c r="A528" s="70"/>
      <c r="B528" s="70"/>
      <c r="C528" s="70"/>
      <c r="U528" s="72"/>
      <c r="AW528" s="73"/>
    </row>
    <row r="529" spans="1:49" ht="15.75" customHeight="1" x14ac:dyDescent="0.25">
      <c r="A529" s="70"/>
      <c r="B529" s="70"/>
      <c r="C529" s="70"/>
      <c r="U529" s="72"/>
      <c r="AW529" s="73"/>
    </row>
    <row r="530" spans="1:49" ht="15.75" customHeight="1" x14ac:dyDescent="0.25">
      <c r="A530" s="70"/>
      <c r="B530" s="70"/>
      <c r="C530" s="70"/>
      <c r="U530" s="72"/>
      <c r="AW530" s="73"/>
    </row>
    <row r="531" spans="1:49" ht="15.75" customHeight="1" x14ac:dyDescent="0.25">
      <c r="A531" s="70"/>
      <c r="B531" s="70"/>
      <c r="C531" s="70"/>
      <c r="U531" s="72"/>
      <c r="AW531" s="73"/>
    </row>
    <row r="532" spans="1:49" ht="15.75" customHeight="1" x14ac:dyDescent="0.25">
      <c r="A532" s="70"/>
      <c r="B532" s="70"/>
      <c r="C532" s="70"/>
      <c r="U532" s="72"/>
      <c r="AW532" s="73"/>
    </row>
    <row r="533" spans="1:49" ht="15.75" customHeight="1" x14ac:dyDescent="0.25">
      <c r="A533" s="70"/>
      <c r="B533" s="70"/>
      <c r="C533" s="70"/>
      <c r="U533" s="72"/>
      <c r="AW533" s="73"/>
    </row>
    <row r="534" spans="1:49" ht="15.75" customHeight="1" x14ac:dyDescent="0.25">
      <c r="A534" s="70"/>
      <c r="B534" s="70"/>
      <c r="C534" s="70"/>
      <c r="U534" s="72"/>
      <c r="AW534" s="73"/>
    </row>
    <row r="535" spans="1:49" ht="15.75" customHeight="1" x14ac:dyDescent="0.25">
      <c r="A535" s="70"/>
      <c r="B535" s="70"/>
      <c r="C535" s="70"/>
      <c r="U535" s="72"/>
      <c r="AW535" s="73"/>
    </row>
    <row r="536" spans="1:49" ht="15.75" customHeight="1" x14ac:dyDescent="0.25">
      <c r="A536" s="70"/>
      <c r="B536" s="70"/>
      <c r="C536" s="70"/>
      <c r="U536" s="72"/>
      <c r="AW536" s="73"/>
    </row>
    <row r="537" spans="1:49" ht="15.75" customHeight="1" x14ac:dyDescent="0.25">
      <c r="A537" s="70"/>
      <c r="B537" s="70"/>
      <c r="C537" s="70"/>
      <c r="U537" s="72"/>
      <c r="AW537" s="73"/>
    </row>
    <row r="538" spans="1:49" ht="15.75" customHeight="1" x14ac:dyDescent="0.25">
      <c r="A538" s="70"/>
      <c r="B538" s="70"/>
      <c r="C538" s="70"/>
      <c r="U538" s="72"/>
      <c r="AW538" s="73"/>
    </row>
    <row r="539" spans="1:49" ht="15.75" customHeight="1" x14ac:dyDescent="0.25">
      <c r="A539" s="70"/>
      <c r="B539" s="70"/>
      <c r="C539" s="70"/>
      <c r="U539" s="72"/>
      <c r="AW539" s="73"/>
    </row>
    <row r="540" spans="1:49" ht="15.75" customHeight="1" x14ac:dyDescent="0.25">
      <c r="A540" s="70"/>
      <c r="B540" s="70"/>
      <c r="C540" s="70"/>
      <c r="U540" s="72"/>
      <c r="AW540" s="73"/>
    </row>
    <row r="541" spans="1:49" ht="15.75" customHeight="1" x14ac:dyDescent="0.25">
      <c r="A541" s="70"/>
      <c r="B541" s="70"/>
      <c r="C541" s="70"/>
      <c r="U541" s="72"/>
      <c r="AW541" s="73"/>
    </row>
    <row r="542" spans="1:49" ht="15.75" customHeight="1" x14ac:dyDescent="0.25">
      <c r="A542" s="70"/>
      <c r="B542" s="70"/>
      <c r="C542" s="70"/>
      <c r="U542" s="72"/>
      <c r="AW542" s="73"/>
    </row>
    <row r="543" spans="1:49" ht="15.75" customHeight="1" x14ac:dyDescent="0.25">
      <c r="A543" s="70"/>
      <c r="B543" s="70"/>
      <c r="C543" s="70"/>
      <c r="U543" s="72"/>
      <c r="AW543" s="73"/>
    </row>
    <row r="544" spans="1:49" ht="15.75" customHeight="1" x14ac:dyDescent="0.25">
      <c r="A544" s="70"/>
      <c r="B544" s="70"/>
      <c r="C544" s="70"/>
      <c r="U544" s="72"/>
      <c r="AW544" s="73"/>
    </row>
    <row r="545" spans="1:49" ht="15.75" customHeight="1" x14ac:dyDescent="0.25">
      <c r="A545" s="70"/>
      <c r="B545" s="70"/>
      <c r="C545" s="70"/>
      <c r="U545" s="72"/>
      <c r="AW545" s="73"/>
    </row>
    <row r="546" spans="1:49" ht="15.75" customHeight="1" x14ac:dyDescent="0.25">
      <c r="A546" s="70"/>
      <c r="B546" s="70"/>
      <c r="C546" s="70"/>
      <c r="U546" s="72"/>
      <c r="AW546" s="73"/>
    </row>
    <row r="547" spans="1:49" ht="15.75" customHeight="1" x14ac:dyDescent="0.25">
      <c r="A547" s="70"/>
      <c r="B547" s="70"/>
      <c r="C547" s="70"/>
      <c r="U547" s="72"/>
      <c r="AW547" s="73"/>
    </row>
    <row r="548" spans="1:49" ht="15.75" customHeight="1" x14ac:dyDescent="0.25">
      <c r="A548" s="70"/>
      <c r="B548" s="70"/>
      <c r="C548" s="70"/>
      <c r="U548" s="72"/>
      <c r="AW548" s="73"/>
    </row>
    <row r="549" spans="1:49" ht="15.75" customHeight="1" x14ac:dyDescent="0.25">
      <c r="A549" s="70"/>
      <c r="B549" s="70"/>
      <c r="C549" s="70"/>
      <c r="U549" s="72"/>
      <c r="AW549" s="73"/>
    </row>
    <row r="550" spans="1:49" ht="15.75" customHeight="1" x14ac:dyDescent="0.25">
      <c r="A550" s="70"/>
      <c r="B550" s="70"/>
      <c r="C550" s="70"/>
      <c r="U550" s="72"/>
      <c r="AW550" s="73"/>
    </row>
    <row r="551" spans="1:49" ht="15.75" customHeight="1" x14ac:dyDescent="0.25">
      <c r="A551" s="70"/>
      <c r="B551" s="70"/>
      <c r="C551" s="70"/>
      <c r="U551" s="72"/>
      <c r="AW551" s="73"/>
    </row>
    <row r="552" spans="1:49" ht="15.75" customHeight="1" x14ac:dyDescent="0.25">
      <c r="A552" s="70"/>
      <c r="B552" s="70"/>
      <c r="C552" s="70"/>
      <c r="U552" s="72"/>
      <c r="AW552" s="73"/>
    </row>
    <row r="553" spans="1:49" ht="15.75" customHeight="1" x14ac:dyDescent="0.25">
      <c r="A553" s="70"/>
      <c r="B553" s="70"/>
      <c r="C553" s="70"/>
      <c r="U553" s="72"/>
      <c r="AW553" s="73"/>
    </row>
    <row r="554" spans="1:49" ht="15.75" customHeight="1" x14ac:dyDescent="0.25">
      <c r="A554" s="70"/>
      <c r="B554" s="70"/>
      <c r="C554" s="70"/>
      <c r="U554" s="72"/>
      <c r="AW554" s="73"/>
    </row>
    <row r="555" spans="1:49" ht="15.75" customHeight="1" x14ac:dyDescent="0.25">
      <c r="A555" s="70"/>
      <c r="B555" s="70"/>
      <c r="C555" s="70"/>
      <c r="U555" s="72"/>
      <c r="AW555" s="73"/>
    </row>
    <row r="556" spans="1:49" ht="15.75" customHeight="1" x14ac:dyDescent="0.25">
      <c r="A556" s="70"/>
      <c r="B556" s="70"/>
      <c r="C556" s="70"/>
      <c r="U556" s="72"/>
      <c r="AW556" s="73"/>
    </row>
    <row r="557" spans="1:49" ht="15.75" customHeight="1" x14ac:dyDescent="0.25">
      <c r="A557" s="70"/>
      <c r="B557" s="70"/>
      <c r="C557" s="70"/>
      <c r="U557" s="72"/>
      <c r="AW557" s="73"/>
    </row>
    <row r="558" spans="1:49" ht="15.75" customHeight="1" x14ac:dyDescent="0.25">
      <c r="A558" s="70"/>
      <c r="B558" s="70"/>
      <c r="C558" s="70"/>
      <c r="U558" s="72"/>
      <c r="AW558" s="73"/>
    </row>
    <row r="559" spans="1:49" ht="15.75" customHeight="1" x14ac:dyDescent="0.25">
      <c r="A559" s="70"/>
      <c r="B559" s="70"/>
      <c r="C559" s="70"/>
      <c r="U559" s="72"/>
      <c r="AW559" s="73"/>
    </row>
    <row r="560" spans="1:49" ht="15.75" customHeight="1" x14ac:dyDescent="0.25">
      <c r="A560" s="70"/>
      <c r="B560" s="70"/>
      <c r="C560" s="70"/>
      <c r="U560" s="72"/>
      <c r="AW560" s="73"/>
    </row>
    <row r="561" spans="1:49" ht="15.75" customHeight="1" x14ac:dyDescent="0.25">
      <c r="A561" s="70"/>
      <c r="B561" s="70"/>
      <c r="C561" s="70"/>
      <c r="U561" s="72"/>
      <c r="AW561" s="73"/>
    </row>
    <row r="562" spans="1:49" ht="15.75" customHeight="1" x14ac:dyDescent="0.25">
      <c r="A562" s="70"/>
      <c r="B562" s="70"/>
      <c r="C562" s="70"/>
      <c r="U562" s="72"/>
      <c r="AW562" s="73"/>
    </row>
    <row r="563" spans="1:49" ht="15.75" customHeight="1" x14ac:dyDescent="0.25">
      <c r="A563" s="70"/>
      <c r="B563" s="70"/>
      <c r="C563" s="70"/>
      <c r="U563" s="72"/>
      <c r="AW563" s="73"/>
    </row>
    <row r="564" spans="1:49" ht="15.75" customHeight="1" x14ac:dyDescent="0.25">
      <c r="A564" s="70"/>
      <c r="B564" s="70"/>
      <c r="C564" s="70"/>
      <c r="U564" s="72"/>
      <c r="AW564" s="73"/>
    </row>
    <row r="565" spans="1:49" ht="15.75" customHeight="1" x14ac:dyDescent="0.25">
      <c r="A565" s="70"/>
      <c r="B565" s="70"/>
      <c r="C565" s="70"/>
      <c r="U565" s="72"/>
      <c r="AW565" s="73"/>
    </row>
    <row r="566" spans="1:49" ht="15.75" customHeight="1" x14ac:dyDescent="0.25">
      <c r="A566" s="70"/>
      <c r="B566" s="70"/>
      <c r="C566" s="70"/>
      <c r="U566" s="72"/>
      <c r="AW566" s="73"/>
    </row>
    <row r="567" spans="1:49" ht="15.75" customHeight="1" x14ac:dyDescent="0.25">
      <c r="A567" s="70"/>
      <c r="B567" s="70"/>
      <c r="C567" s="70"/>
      <c r="U567" s="72"/>
      <c r="AW567" s="73"/>
    </row>
    <row r="568" spans="1:49" ht="15.75" customHeight="1" x14ac:dyDescent="0.25">
      <c r="A568" s="70"/>
      <c r="B568" s="70"/>
      <c r="C568" s="70"/>
      <c r="U568" s="72"/>
      <c r="AW568" s="73"/>
    </row>
    <row r="569" spans="1:49" ht="15.75" customHeight="1" x14ac:dyDescent="0.25">
      <c r="A569" s="70"/>
      <c r="B569" s="70"/>
      <c r="C569" s="70"/>
      <c r="U569" s="72"/>
      <c r="AW569" s="73"/>
    </row>
    <row r="570" spans="1:49" ht="15.75" customHeight="1" x14ac:dyDescent="0.25">
      <c r="A570" s="70"/>
      <c r="B570" s="70"/>
      <c r="C570" s="70"/>
      <c r="U570" s="72"/>
      <c r="AW570" s="73"/>
    </row>
    <row r="571" spans="1:49" ht="15.75" customHeight="1" x14ac:dyDescent="0.25">
      <c r="A571" s="70"/>
      <c r="B571" s="70"/>
      <c r="C571" s="70"/>
      <c r="U571" s="72"/>
      <c r="AW571" s="73"/>
    </row>
    <row r="572" spans="1:49" ht="15.75" customHeight="1" x14ac:dyDescent="0.25">
      <c r="A572" s="70"/>
      <c r="B572" s="70"/>
      <c r="C572" s="70"/>
      <c r="U572" s="72"/>
      <c r="AW572" s="73"/>
    </row>
    <row r="573" spans="1:49" ht="15.75" customHeight="1" x14ac:dyDescent="0.25">
      <c r="A573" s="70"/>
      <c r="B573" s="70"/>
      <c r="C573" s="70"/>
      <c r="U573" s="72"/>
      <c r="AW573" s="73"/>
    </row>
    <row r="574" spans="1:49" ht="15.75" customHeight="1" x14ac:dyDescent="0.25">
      <c r="A574" s="70"/>
      <c r="B574" s="70"/>
      <c r="C574" s="70"/>
      <c r="U574" s="72"/>
      <c r="AW574" s="73"/>
    </row>
    <row r="575" spans="1:49" ht="15.75" customHeight="1" x14ac:dyDescent="0.25">
      <c r="A575" s="70"/>
      <c r="B575" s="70"/>
      <c r="C575" s="70"/>
      <c r="U575" s="72"/>
      <c r="AW575" s="73"/>
    </row>
    <row r="576" spans="1:49" ht="15.75" customHeight="1" x14ac:dyDescent="0.25">
      <c r="A576" s="70"/>
      <c r="B576" s="70"/>
      <c r="C576" s="70"/>
      <c r="U576" s="72"/>
      <c r="AW576" s="73"/>
    </row>
    <row r="577" spans="1:49" ht="15.75" customHeight="1" x14ac:dyDescent="0.25">
      <c r="A577" s="70"/>
      <c r="B577" s="70"/>
      <c r="C577" s="70"/>
      <c r="U577" s="72"/>
      <c r="AW577" s="73"/>
    </row>
    <row r="578" spans="1:49" ht="15.75" customHeight="1" x14ac:dyDescent="0.25">
      <c r="A578" s="70"/>
      <c r="B578" s="70"/>
      <c r="C578" s="70"/>
      <c r="U578" s="72"/>
      <c r="AW578" s="73"/>
    </row>
    <row r="579" spans="1:49" ht="15.75" customHeight="1" x14ac:dyDescent="0.25">
      <c r="A579" s="70"/>
      <c r="B579" s="70"/>
      <c r="C579" s="70"/>
      <c r="U579" s="72"/>
      <c r="AW579" s="73"/>
    </row>
    <row r="580" spans="1:49" ht="15.75" customHeight="1" x14ac:dyDescent="0.25">
      <c r="A580" s="70"/>
      <c r="B580" s="70"/>
      <c r="C580" s="70"/>
      <c r="U580" s="72"/>
      <c r="AW580" s="73"/>
    </row>
    <row r="581" spans="1:49" ht="15.75" customHeight="1" x14ac:dyDescent="0.25">
      <c r="A581" s="70"/>
      <c r="B581" s="70"/>
      <c r="C581" s="70"/>
      <c r="U581" s="72"/>
      <c r="AW581" s="73"/>
    </row>
    <row r="582" spans="1:49" ht="15.75" customHeight="1" x14ac:dyDescent="0.25">
      <c r="A582" s="70"/>
      <c r="B582" s="70"/>
      <c r="C582" s="70"/>
      <c r="U582" s="72"/>
      <c r="AW582" s="73"/>
    </row>
    <row r="583" spans="1:49" ht="15.75" customHeight="1" x14ac:dyDescent="0.25">
      <c r="A583" s="70"/>
      <c r="B583" s="70"/>
      <c r="C583" s="70"/>
      <c r="U583" s="72"/>
      <c r="AW583" s="73"/>
    </row>
    <row r="584" spans="1:49" ht="15.75" customHeight="1" x14ac:dyDescent="0.25">
      <c r="A584" s="70"/>
      <c r="B584" s="70"/>
      <c r="C584" s="70"/>
      <c r="U584" s="72"/>
      <c r="AW584" s="73"/>
    </row>
    <row r="585" spans="1:49" ht="15.75" customHeight="1" x14ac:dyDescent="0.25">
      <c r="A585" s="70"/>
      <c r="B585" s="70"/>
      <c r="C585" s="70"/>
      <c r="U585" s="72"/>
      <c r="AW585" s="73"/>
    </row>
    <row r="586" spans="1:49" ht="15.75" customHeight="1" x14ac:dyDescent="0.25">
      <c r="A586" s="70"/>
      <c r="B586" s="70"/>
      <c r="C586" s="70"/>
      <c r="U586" s="72"/>
      <c r="AW586" s="73"/>
    </row>
    <row r="587" spans="1:49" ht="15.75" customHeight="1" x14ac:dyDescent="0.25">
      <c r="A587" s="70"/>
      <c r="B587" s="70"/>
      <c r="C587" s="70"/>
      <c r="U587" s="72"/>
      <c r="AW587" s="73"/>
    </row>
    <row r="588" spans="1:49" ht="15.75" customHeight="1" x14ac:dyDescent="0.25">
      <c r="A588" s="70"/>
      <c r="B588" s="70"/>
      <c r="C588" s="70"/>
      <c r="U588" s="72"/>
      <c r="AW588" s="73"/>
    </row>
    <row r="589" spans="1:49" ht="15.75" customHeight="1" x14ac:dyDescent="0.25">
      <c r="A589" s="70"/>
      <c r="B589" s="70"/>
      <c r="C589" s="70"/>
      <c r="U589" s="72"/>
      <c r="AW589" s="73"/>
    </row>
    <row r="590" spans="1:49" ht="15.75" customHeight="1" x14ac:dyDescent="0.25">
      <c r="A590" s="70"/>
      <c r="B590" s="70"/>
      <c r="C590" s="70"/>
      <c r="U590" s="72"/>
      <c r="AW590" s="73"/>
    </row>
    <row r="591" spans="1:49" ht="15.75" customHeight="1" x14ac:dyDescent="0.25">
      <c r="A591" s="70"/>
      <c r="B591" s="70"/>
      <c r="C591" s="70"/>
      <c r="U591" s="72"/>
      <c r="AW591" s="73"/>
    </row>
    <row r="592" spans="1:49" ht="15.75" customHeight="1" x14ac:dyDescent="0.25">
      <c r="A592" s="70"/>
      <c r="B592" s="70"/>
      <c r="C592" s="70"/>
      <c r="U592" s="72"/>
      <c r="AW592" s="73"/>
    </row>
    <row r="593" spans="1:49" ht="15.75" customHeight="1" x14ac:dyDescent="0.25">
      <c r="A593" s="70"/>
      <c r="B593" s="70"/>
      <c r="C593" s="70"/>
      <c r="U593" s="72"/>
      <c r="AW593" s="73"/>
    </row>
    <row r="594" spans="1:49" ht="15.75" customHeight="1" x14ac:dyDescent="0.25">
      <c r="A594" s="70"/>
      <c r="B594" s="70"/>
      <c r="C594" s="70"/>
      <c r="U594" s="72"/>
      <c r="AW594" s="73"/>
    </row>
    <row r="595" spans="1:49" ht="15.75" customHeight="1" x14ac:dyDescent="0.25">
      <c r="A595" s="70"/>
      <c r="B595" s="70"/>
      <c r="C595" s="70"/>
      <c r="U595" s="72"/>
      <c r="AW595" s="73"/>
    </row>
    <row r="596" spans="1:49" ht="15.75" customHeight="1" x14ac:dyDescent="0.25">
      <c r="A596" s="70"/>
      <c r="B596" s="70"/>
      <c r="C596" s="70"/>
      <c r="U596" s="72"/>
      <c r="AW596" s="73"/>
    </row>
    <row r="597" spans="1:49" ht="15.75" customHeight="1" x14ac:dyDescent="0.25">
      <c r="A597" s="70"/>
      <c r="B597" s="70"/>
      <c r="C597" s="70"/>
      <c r="U597" s="72"/>
      <c r="AW597" s="73"/>
    </row>
    <row r="598" spans="1:49" ht="15.75" customHeight="1" x14ac:dyDescent="0.25">
      <c r="A598" s="70"/>
      <c r="B598" s="70"/>
      <c r="C598" s="70"/>
      <c r="U598" s="72"/>
      <c r="AW598" s="73"/>
    </row>
    <row r="599" spans="1:49" ht="15.75" customHeight="1" x14ac:dyDescent="0.25">
      <c r="A599" s="70"/>
      <c r="B599" s="70"/>
      <c r="C599" s="70"/>
      <c r="U599" s="72"/>
      <c r="AW599" s="73"/>
    </row>
    <row r="600" spans="1:49" ht="15.75" customHeight="1" x14ac:dyDescent="0.25">
      <c r="A600" s="70"/>
      <c r="B600" s="70"/>
      <c r="C600" s="70"/>
      <c r="U600" s="72"/>
      <c r="AW600" s="73"/>
    </row>
    <row r="601" spans="1:49" ht="15.75" customHeight="1" x14ac:dyDescent="0.25">
      <c r="A601" s="70"/>
      <c r="B601" s="70"/>
      <c r="C601" s="70"/>
      <c r="U601" s="72"/>
      <c r="AW601" s="73"/>
    </row>
    <row r="602" spans="1:49" ht="15.75" customHeight="1" x14ac:dyDescent="0.25">
      <c r="A602" s="70"/>
      <c r="B602" s="70"/>
      <c r="C602" s="70"/>
      <c r="U602" s="72"/>
      <c r="AW602" s="73"/>
    </row>
    <row r="603" spans="1:49" ht="15.75" customHeight="1" x14ac:dyDescent="0.25">
      <c r="A603" s="70"/>
      <c r="B603" s="70"/>
      <c r="C603" s="70"/>
      <c r="U603" s="72"/>
      <c r="AW603" s="73"/>
    </row>
    <row r="604" spans="1:49" ht="15.75" customHeight="1" x14ac:dyDescent="0.25">
      <c r="A604" s="70"/>
      <c r="B604" s="70"/>
      <c r="C604" s="70"/>
      <c r="U604" s="72"/>
      <c r="AW604" s="73"/>
    </row>
    <row r="605" spans="1:49" ht="15.75" customHeight="1" x14ac:dyDescent="0.25">
      <c r="A605" s="70"/>
      <c r="B605" s="70"/>
      <c r="C605" s="70"/>
      <c r="U605" s="72"/>
      <c r="AW605" s="73"/>
    </row>
    <row r="606" spans="1:49" ht="15.75" customHeight="1" x14ac:dyDescent="0.25">
      <c r="A606" s="70"/>
      <c r="B606" s="70"/>
      <c r="C606" s="70"/>
      <c r="U606" s="72"/>
      <c r="AW606" s="73"/>
    </row>
    <row r="607" spans="1:49" ht="15.75" customHeight="1" x14ac:dyDescent="0.25">
      <c r="A607" s="70"/>
      <c r="B607" s="70"/>
      <c r="C607" s="70"/>
      <c r="U607" s="72"/>
      <c r="AW607" s="73"/>
    </row>
    <row r="608" spans="1:49" ht="15.75" customHeight="1" x14ac:dyDescent="0.25">
      <c r="A608" s="70"/>
      <c r="B608" s="70"/>
      <c r="C608" s="70"/>
      <c r="U608" s="72"/>
      <c r="AW608" s="73"/>
    </row>
    <row r="609" spans="1:49" ht="15.75" customHeight="1" x14ac:dyDescent="0.25">
      <c r="A609" s="70"/>
      <c r="B609" s="70"/>
      <c r="C609" s="70"/>
      <c r="U609" s="72"/>
      <c r="AW609" s="73"/>
    </row>
    <row r="610" spans="1:49" ht="15.75" customHeight="1" x14ac:dyDescent="0.25">
      <c r="A610" s="70"/>
      <c r="B610" s="70"/>
      <c r="C610" s="70"/>
      <c r="U610" s="72"/>
      <c r="AW610" s="73"/>
    </row>
    <row r="611" spans="1:49" ht="15.75" customHeight="1" x14ac:dyDescent="0.25">
      <c r="A611" s="70"/>
      <c r="B611" s="70"/>
      <c r="C611" s="70"/>
      <c r="U611" s="72"/>
      <c r="AW611" s="73"/>
    </row>
    <row r="612" spans="1:49" ht="15.75" customHeight="1" x14ac:dyDescent="0.25">
      <c r="A612" s="70"/>
      <c r="B612" s="70"/>
      <c r="C612" s="70"/>
      <c r="U612" s="72"/>
      <c r="AW612" s="73"/>
    </row>
    <row r="613" spans="1:49" ht="15.75" customHeight="1" x14ac:dyDescent="0.25">
      <c r="A613" s="70"/>
      <c r="B613" s="70"/>
      <c r="C613" s="70"/>
      <c r="U613" s="72"/>
      <c r="AW613" s="73"/>
    </row>
    <row r="614" spans="1:49" ht="15.75" customHeight="1" x14ac:dyDescent="0.25">
      <c r="A614" s="70"/>
      <c r="B614" s="70"/>
      <c r="C614" s="70"/>
      <c r="U614" s="72"/>
      <c r="AW614" s="73"/>
    </row>
    <row r="615" spans="1:49" ht="15.75" customHeight="1" x14ac:dyDescent="0.25">
      <c r="A615" s="70"/>
      <c r="B615" s="70"/>
      <c r="C615" s="70"/>
      <c r="U615" s="72"/>
      <c r="AW615" s="73"/>
    </row>
    <row r="616" spans="1:49" ht="15.75" customHeight="1" x14ac:dyDescent="0.25">
      <c r="A616" s="70"/>
      <c r="B616" s="70"/>
      <c r="C616" s="70"/>
      <c r="U616" s="72"/>
      <c r="AW616" s="73"/>
    </row>
    <row r="617" spans="1:49" ht="15.75" customHeight="1" x14ac:dyDescent="0.25">
      <c r="A617" s="70"/>
      <c r="B617" s="70"/>
      <c r="C617" s="70"/>
      <c r="U617" s="72"/>
      <c r="AW617" s="73"/>
    </row>
    <row r="618" spans="1:49" ht="15.75" customHeight="1" x14ac:dyDescent="0.25">
      <c r="A618" s="70"/>
      <c r="B618" s="70"/>
      <c r="C618" s="70"/>
      <c r="U618" s="72"/>
      <c r="AW618" s="73"/>
    </row>
    <row r="619" spans="1:49" ht="15.75" customHeight="1" x14ac:dyDescent="0.25">
      <c r="A619" s="70"/>
      <c r="B619" s="70"/>
      <c r="C619" s="70"/>
      <c r="U619" s="72"/>
      <c r="AW619" s="73"/>
    </row>
    <row r="620" spans="1:49" ht="15.75" customHeight="1" x14ac:dyDescent="0.25">
      <c r="A620" s="70"/>
      <c r="B620" s="70"/>
      <c r="C620" s="70"/>
      <c r="U620" s="72"/>
      <c r="AW620" s="73"/>
    </row>
    <row r="621" spans="1:49" ht="15.75" customHeight="1" x14ac:dyDescent="0.25">
      <c r="A621" s="70"/>
      <c r="B621" s="70"/>
      <c r="C621" s="70"/>
      <c r="U621" s="72"/>
      <c r="AW621" s="73"/>
    </row>
    <row r="622" spans="1:49" ht="15.75" customHeight="1" x14ac:dyDescent="0.25">
      <c r="A622" s="70"/>
      <c r="B622" s="70"/>
      <c r="C622" s="70"/>
      <c r="U622" s="72"/>
      <c r="AW622" s="73"/>
    </row>
    <row r="623" spans="1:49" ht="15.75" customHeight="1" x14ac:dyDescent="0.25">
      <c r="A623" s="70"/>
      <c r="B623" s="70"/>
      <c r="C623" s="70"/>
      <c r="U623" s="72"/>
      <c r="AW623" s="73"/>
    </row>
    <row r="624" spans="1:49" ht="15.75" customHeight="1" x14ac:dyDescent="0.25">
      <c r="A624" s="70"/>
      <c r="B624" s="70"/>
      <c r="C624" s="70"/>
      <c r="U624" s="72"/>
      <c r="AW624" s="73"/>
    </row>
    <row r="625" spans="1:49" ht="15.75" customHeight="1" x14ac:dyDescent="0.25">
      <c r="A625" s="70"/>
      <c r="B625" s="70"/>
      <c r="C625" s="70"/>
      <c r="U625" s="72"/>
      <c r="AW625" s="73"/>
    </row>
    <row r="626" spans="1:49" ht="15.75" customHeight="1" x14ac:dyDescent="0.25">
      <c r="A626" s="70"/>
      <c r="B626" s="70"/>
      <c r="C626" s="70"/>
      <c r="U626" s="72"/>
      <c r="AW626" s="73"/>
    </row>
    <row r="627" spans="1:49" ht="15.75" customHeight="1" x14ac:dyDescent="0.25">
      <c r="A627" s="70"/>
      <c r="B627" s="70"/>
      <c r="C627" s="70"/>
      <c r="U627" s="72"/>
      <c r="AW627" s="73"/>
    </row>
    <row r="628" spans="1:49" ht="15.75" customHeight="1" x14ac:dyDescent="0.25">
      <c r="A628" s="70"/>
      <c r="B628" s="70"/>
      <c r="C628" s="70"/>
      <c r="U628" s="72"/>
      <c r="AW628" s="73"/>
    </row>
    <row r="629" spans="1:49" ht="15.75" customHeight="1" x14ac:dyDescent="0.25">
      <c r="A629" s="70"/>
      <c r="B629" s="70"/>
      <c r="C629" s="70"/>
      <c r="U629" s="72"/>
      <c r="AW629" s="73"/>
    </row>
    <row r="630" spans="1:49" ht="15.75" customHeight="1" x14ac:dyDescent="0.25">
      <c r="A630" s="70"/>
      <c r="B630" s="70"/>
      <c r="C630" s="70"/>
      <c r="U630" s="72"/>
      <c r="AW630" s="73"/>
    </row>
    <row r="631" spans="1:49" ht="15.75" customHeight="1" x14ac:dyDescent="0.25">
      <c r="A631" s="70"/>
      <c r="B631" s="70"/>
      <c r="C631" s="70"/>
      <c r="U631" s="72"/>
      <c r="AW631" s="73"/>
    </row>
    <row r="632" spans="1:49" ht="15.75" customHeight="1" x14ac:dyDescent="0.25">
      <c r="A632" s="70"/>
      <c r="B632" s="70"/>
      <c r="C632" s="70"/>
      <c r="U632" s="72"/>
      <c r="AW632" s="73"/>
    </row>
    <row r="633" spans="1:49" ht="15.75" customHeight="1" x14ac:dyDescent="0.25">
      <c r="A633" s="70"/>
      <c r="B633" s="70"/>
      <c r="C633" s="70"/>
      <c r="U633" s="72"/>
      <c r="AW633" s="73"/>
    </row>
    <row r="634" spans="1:49" ht="15.75" customHeight="1" x14ac:dyDescent="0.25">
      <c r="A634" s="70"/>
      <c r="B634" s="70"/>
      <c r="C634" s="70"/>
      <c r="U634" s="72"/>
      <c r="AW634" s="73"/>
    </row>
    <row r="635" spans="1:49" ht="15.75" customHeight="1" x14ac:dyDescent="0.25">
      <c r="A635" s="70"/>
      <c r="B635" s="70"/>
      <c r="C635" s="70"/>
      <c r="U635" s="72"/>
      <c r="AW635" s="73"/>
    </row>
    <row r="636" spans="1:49" ht="15.75" customHeight="1" x14ac:dyDescent="0.25">
      <c r="A636" s="70"/>
      <c r="B636" s="70"/>
      <c r="C636" s="70"/>
      <c r="U636" s="72"/>
      <c r="AW636" s="73"/>
    </row>
    <row r="637" spans="1:49" ht="15.75" customHeight="1" x14ac:dyDescent="0.25">
      <c r="A637" s="70"/>
      <c r="B637" s="70"/>
      <c r="C637" s="70"/>
      <c r="U637" s="72"/>
      <c r="AW637" s="73"/>
    </row>
    <row r="638" spans="1:49" ht="15.75" customHeight="1" x14ac:dyDescent="0.25">
      <c r="A638" s="70"/>
      <c r="B638" s="70"/>
      <c r="C638" s="70"/>
      <c r="U638" s="72"/>
      <c r="AW638" s="73"/>
    </row>
    <row r="639" spans="1:49" ht="15.75" customHeight="1" x14ac:dyDescent="0.25">
      <c r="A639" s="70"/>
      <c r="B639" s="70"/>
      <c r="C639" s="70"/>
      <c r="U639" s="72"/>
      <c r="AW639" s="73"/>
    </row>
    <row r="640" spans="1:49" ht="15.75" customHeight="1" x14ac:dyDescent="0.25">
      <c r="A640" s="70"/>
      <c r="B640" s="70"/>
      <c r="C640" s="70"/>
      <c r="U640" s="72"/>
      <c r="AW640" s="73"/>
    </row>
    <row r="641" spans="1:49" ht="15.75" customHeight="1" x14ac:dyDescent="0.25">
      <c r="A641" s="70"/>
      <c r="B641" s="70"/>
      <c r="C641" s="70"/>
      <c r="U641" s="72"/>
      <c r="AW641" s="73"/>
    </row>
    <row r="642" spans="1:49" ht="15.75" customHeight="1" x14ac:dyDescent="0.25">
      <c r="A642" s="70"/>
      <c r="B642" s="70"/>
      <c r="C642" s="70"/>
      <c r="U642" s="72"/>
      <c r="AW642" s="73"/>
    </row>
    <row r="643" spans="1:49" ht="15.75" customHeight="1" x14ac:dyDescent="0.25">
      <c r="A643" s="70"/>
      <c r="B643" s="70"/>
      <c r="C643" s="70"/>
      <c r="U643" s="72"/>
      <c r="AW643" s="73"/>
    </row>
    <row r="644" spans="1:49" ht="15.75" customHeight="1" x14ac:dyDescent="0.25">
      <c r="A644" s="70"/>
      <c r="B644" s="70"/>
      <c r="C644" s="70"/>
      <c r="U644" s="72"/>
      <c r="AW644" s="73"/>
    </row>
    <row r="645" spans="1:49" ht="15.75" customHeight="1" x14ac:dyDescent="0.25">
      <c r="A645" s="70"/>
      <c r="B645" s="70"/>
      <c r="C645" s="70"/>
      <c r="U645" s="72"/>
      <c r="AW645" s="73"/>
    </row>
    <row r="646" spans="1:49" ht="15.75" customHeight="1" x14ac:dyDescent="0.25">
      <c r="A646" s="70"/>
      <c r="B646" s="70"/>
      <c r="C646" s="70"/>
      <c r="U646" s="72"/>
      <c r="AW646" s="73"/>
    </row>
    <row r="647" spans="1:49" ht="15.75" customHeight="1" x14ac:dyDescent="0.25">
      <c r="A647" s="70"/>
      <c r="B647" s="70"/>
      <c r="C647" s="70"/>
      <c r="U647" s="72"/>
      <c r="AW647" s="73"/>
    </row>
    <row r="648" spans="1:49" ht="15.75" customHeight="1" x14ac:dyDescent="0.25">
      <c r="A648" s="70"/>
      <c r="B648" s="70"/>
      <c r="C648" s="70"/>
      <c r="U648" s="72"/>
      <c r="AW648" s="73"/>
    </row>
    <row r="649" spans="1:49" ht="15.75" customHeight="1" x14ac:dyDescent="0.25">
      <c r="A649" s="70"/>
      <c r="B649" s="70"/>
      <c r="C649" s="70"/>
      <c r="U649" s="72"/>
      <c r="AW649" s="73"/>
    </row>
    <row r="650" spans="1:49" ht="15.75" customHeight="1" x14ac:dyDescent="0.25">
      <c r="A650" s="70"/>
      <c r="B650" s="70"/>
      <c r="C650" s="70"/>
      <c r="U650" s="72"/>
      <c r="AW650" s="73"/>
    </row>
    <row r="651" spans="1:49" ht="15.75" customHeight="1" x14ac:dyDescent="0.25">
      <c r="A651" s="70"/>
      <c r="B651" s="70"/>
      <c r="C651" s="70"/>
      <c r="U651" s="72"/>
      <c r="AW651" s="73"/>
    </row>
    <row r="652" spans="1:49" ht="15.75" customHeight="1" x14ac:dyDescent="0.25">
      <c r="A652" s="70"/>
      <c r="B652" s="70"/>
      <c r="C652" s="70"/>
      <c r="U652" s="72"/>
      <c r="AW652" s="73"/>
    </row>
    <row r="653" spans="1:49" ht="15.75" customHeight="1" x14ac:dyDescent="0.25">
      <c r="A653" s="70"/>
      <c r="B653" s="70"/>
      <c r="C653" s="70"/>
      <c r="U653" s="72"/>
      <c r="AW653" s="73"/>
    </row>
    <row r="654" spans="1:49" ht="15.75" customHeight="1" x14ac:dyDescent="0.25">
      <c r="A654" s="70"/>
      <c r="B654" s="70"/>
      <c r="C654" s="70"/>
      <c r="U654" s="72"/>
      <c r="AW654" s="73"/>
    </row>
    <row r="655" spans="1:49" ht="15.75" customHeight="1" x14ac:dyDescent="0.25">
      <c r="A655" s="70"/>
      <c r="B655" s="70"/>
      <c r="C655" s="70"/>
      <c r="U655" s="72"/>
      <c r="AW655" s="73"/>
    </row>
    <row r="656" spans="1:49" ht="15.75" customHeight="1" x14ac:dyDescent="0.25">
      <c r="A656" s="70"/>
      <c r="B656" s="70"/>
      <c r="C656" s="70"/>
      <c r="U656" s="72"/>
      <c r="AW656" s="73"/>
    </row>
    <row r="657" spans="1:49" ht="15.75" customHeight="1" x14ac:dyDescent="0.25">
      <c r="A657" s="70"/>
      <c r="B657" s="70"/>
      <c r="C657" s="70"/>
      <c r="U657" s="72"/>
      <c r="AW657" s="73"/>
    </row>
    <row r="658" spans="1:49" ht="15.75" customHeight="1" x14ac:dyDescent="0.25">
      <c r="A658" s="70"/>
      <c r="B658" s="70"/>
      <c r="C658" s="70"/>
      <c r="U658" s="72"/>
      <c r="AW658" s="73"/>
    </row>
    <row r="659" spans="1:49" ht="15.75" customHeight="1" x14ac:dyDescent="0.25">
      <c r="A659" s="70"/>
      <c r="B659" s="70"/>
      <c r="C659" s="70"/>
      <c r="U659" s="72"/>
      <c r="AW659" s="73"/>
    </row>
    <row r="660" spans="1:49" ht="15.75" customHeight="1" x14ac:dyDescent="0.25">
      <c r="A660" s="70"/>
      <c r="B660" s="70"/>
      <c r="C660" s="70"/>
      <c r="U660" s="72"/>
      <c r="AW660" s="73"/>
    </row>
    <row r="661" spans="1:49" ht="15.75" customHeight="1" x14ac:dyDescent="0.25">
      <c r="A661" s="70"/>
      <c r="B661" s="70"/>
      <c r="C661" s="70"/>
      <c r="U661" s="72"/>
      <c r="AW661" s="73"/>
    </row>
    <row r="662" spans="1:49" ht="15.75" customHeight="1" x14ac:dyDescent="0.25">
      <c r="A662" s="70"/>
      <c r="B662" s="70"/>
      <c r="C662" s="70"/>
      <c r="U662" s="72"/>
      <c r="AW662" s="73"/>
    </row>
    <row r="663" spans="1:49" ht="15.75" customHeight="1" x14ac:dyDescent="0.25">
      <c r="A663" s="70"/>
      <c r="B663" s="70"/>
      <c r="C663" s="70"/>
      <c r="U663" s="72"/>
      <c r="AW663" s="73"/>
    </row>
    <row r="664" spans="1:49" ht="15.75" customHeight="1" x14ac:dyDescent="0.25">
      <c r="A664" s="70"/>
      <c r="B664" s="70"/>
      <c r="C664" s="70"/>
      <c r="U664" s="72"/>
      <c r="AW664" s="73"/>
    </row>
    <row r="665" spans="1:49" ht="15.75" customHeight="1" x14ac:dyDescent="0.25">
      <c r="A665" s="70"/>
      <c r="B665" s="70"/>
      <c r="C665" s="70"/>
      <c r="U665" s="72"/>
      <c r="AW665" s="73"/>
    </row>
    <row r="666" spans="1:49" ht="15.75" customHeight="1" x14ac:dyDescent="0.25">
      <c r="A666" s="70"/>
      <c r="B666" s="70"/>
      <c r="C666" s="70"/>
      <c r="U666" s="72"/>
      <c r="AW666" s="73"/>
    </row>
    <row r="667" spans="1:49" ht="15.75" customHeight="1" x14ac:dyDescent="0.25">
      <c r="A667" s="70"/>
      <c r="B667" s="70"/>
      <c r="C667" s="70"/>
      <c r="U667" s="72"/>
      <c r="AW667" s="73"/>
    </row>
    <row r="668" spans="1:49" ht="15.75" customHeight="1" x14ac:dyDescent="0.25">
      <c r="A668" s="70"/>
      <c r="B668" s="70"/>
      <c r="C668" s="70"/>
      <c r="U668" s="72"/>
      <c r="AW668" s="73"/>
    </row>
    <row r="669" spans="1:49" ht="15.75" customHeight="1" x14ac:dyDescent="0.25">
      <c r="A669" s="70"/>
      <c r="B669" s="70"/>
      <c r="C669" s="70"/>
      <c r="U669" s="72"/>
      <c r="AW669" s="73"/>
    </row>
    <row r="670" spans="1:49" ht="15.75" customHeight="1" x14ac:dyDescent="0.25">
      <c r="A670" s="70"/>
      <c r="B670" s="70"/>
      <c r="C670" s="70"/>
      <c r="U670" s="72"/>
      <c r="AW670" s="73"/>
    </row>
    <row r="671" spans="1:49" ht="15.75" customHeight="1" x14ac:dyDescent="0.25">
      <c r="A671" s="70"/>
      <c r="B671" s="70"/>
      <c r="C671" s="70"/>
      <c r="U671" s="72"/>
      <c r="AW671" s="73"/>
    </row>
    <row r="672" spans="1:49" ht="15.75" customHeight="1" x14ac:dyDescent="0.25">
      <c r="A672" s="70"/>
      <c r="B672" s="70"/>
      <c r="C672" s="70"/>
      <c r="U672" s="72"/>
      <c r="AW672" s="73"/>
    </row>
    <row r="673" spans="1:49" ht="15.75" customHeight="1" x14ac:dyDescent="0.25">
      <c r="A673" s="70"/>
      <c r="B673" s="70"/>
      <c r="C673" s="70"/>
      <c r="U673" s="72"/>
      <c r="AW673" s="73"/>
    </row>
    <row r="674" spans="1:49" ht="15.75" customHeight="1" x14ac:dyDescent="0.25">
      <c r="A674" s="70"/>
      <c r="B674" s="70"/>
      <c r="C674" s="70"/>
      <c r="U674" s="72"/>
      <c r="AW674" s="73"/>
    </row>
    <row r="675" spans="1:49" ht="15.75" customHeight="1" x14ac:dyDescent="0.25">
      <c r="A675" s="70"/>
      <c r="B675" s="70"/>
      <c r="C675" s="70"/>
      <c r="U675" s="72"/>
      <c r="AW675" s="73"/>
    </row>
    <row r="676" spans="1:49" ht="15.75" customHeight="1" x14ac:dyDescent="0.25">
      <c r="A676" s="70"/>
      <c r="B676" s="70"/>
      <c r="C676" s="70"/>
      <c r="U676" s="72"/>
      <c r="AW676" s="73"/>
    </row>
    <row r="677" spans="1:49" ht="15.75" customHeight="1" x14ac:dyDescent="0.25">
      <c r="A677" s="70"/>
      <c r="B677" s="70"/>
      <c r="C677" s="70"/>
      <c r="U677" s="72"/>
      <c r="AW677" s="73"/>
    </row>
    <row r="678" spans="1:49" ht="15.75" customHeight="1" x14ac:dyDescent="0.25">
      <c r="A678" s="70"/>
      <c r="B678" s="70"/>
      <c r="C678" s="70"/>
      <c r="U678" s="72"/>
      <c r="AW678" s="73"/>
    </row>
    <row r="679" spans="1:49" ht="15.75" customHeight="1" x14ac:dyDescent="0.25">
      <c r="A679" s="70"/>
      <c r="B679" s="70"/>
      <c r="C679" s="70"/>
      <c r="U679" s="72"/>
      <c r="AW679" s="73"/>
    </row>
    <row r="680" spans="1:49" ht="15.75" customHeight="1" x14ac:dyDescent="0.25">
      <c r="A680" s="70"/>
      <c r="B680" s="70"/>
      <c r="C680" s="70"/>
      <c r="U680" s="72"/>
      <c r="AW680" s="73"/>
    </row>
    <row r="681" spans="1:49" ht="15.75" customHeight="1" x14ac:dyDescent="0.25">
      <c r="A681" s="70"/>
      <c r="B681" s="70"/>
      <c r="C681" s="70"/>
      <c r="U681" s="72"/>
      <c r="AW681" s="73"/>
    </row>
    <row r="682" spans="1:49" ht="15.75" customHeight="1" x14ac:dyDescent="0.25">
      <c r="A682" s="70"/>
      <c r="B682" s="70"/>
      <c r="C682" s="70"/>
      <c r="U682" s="72"/>
      <c r="AW682" s="73"/>
    </row>
    <row r="683" spans="1:49" ht="15.75" customHeight="1" x14ac:dyDescent="0.25">
      <c r="A683" s="70"/>
      <c r="B683" s="70"/>
      <c r="C683" s="70"/>
      <c r="U683" s="72"/>
      <c r="AW683" s="73"/>
    </row>
    <row r="684" spans="1:49" ht="15.75" customHeight="1" x14ac:dyDescent="0.25">
      <c r="A684" s="70"/>
      <c r="B684" s="70"/>
      <c r="C684" s="70"/>
      <c r="U684" s="72"/>
      <c r="AW684" s="73"/>
    </row>
    <row r="685" spans="1:49" ht="15.75" customHeight="1" x14ac:dyDescent="0.25">
      <c r="A685" s="70"/>
      <c r="B685" s="70"/>
      <c r="C685" s="70"/>
      <c r="U685" s="72"/>
      <c r="AW685" s="73"/>
    </row>
    <row r="686" spans="1:49" ht="15.75" customHeight="1" x14ac:dyDescent="0.25">
      <c r="A686" s="70"/>
      <c r="B686" s="70"/>
      <c r="C686" s="70"/>
      <c r="U686" s="72"/>
      <c r="AW686" s="73"/>
    </row>
    <row r="687" spans="1:49" ht="15.75" customHeight="1" x14ac:dyDescent="0.25">
      <c r="A687" s="70"/>
      <c r="B687" s="70"/>
      <c r="C687" s="70"/>
      <c r="U687" s="72"/>
      <c r="AW687" s="73"/>
    </row>
    <row r="688" spans="1:49" ht="15.75" customHeight="1" x14ac:dyDescent="0.25">
      <c r="A688" s="70"/>
      <c r="B688" s="70"/>
      <c r="C688" s="70"/>
      <c r="U688" s="72"/>
      <c r="AW688" s="73"/>
    </row>
    <row r="689" spans="1:49" ht="15.75" customHeight="1" x14ac:dyDescent="0.25">
      <c r="A689" s="70"/>
      <c r="B689" s="70"/>
      <c r="C689" s="70"/>
      <c r="U689" s="72"/>
      <c r="AW689" s="73"/>
    </row>
    <row r="690" spans="1:49" ht="15.75" customHeight="1" x14ac:dyDescent="0.25">
      <c r="A690" s="70"/>
      <c r="B690" s="70"/>
      <c r="C690" s="70"/>
      <c r="U690" s="72"/>
      <c r="AW690" s="73"/>
    </row>
    <row r="691" spans="1:49" ht="15.75" customHeight="1" x14ac:dyDescent="0.25">
      <c r="A691" s="70"/>
      <c r="B691" s="70"/>
      <c r="C691" s="70"/>
      <c r="U691" s="72"/>
      <c r="AW691" s="73"/>
    </row>
    <row r="692" spans="1:49" ht="15.75" customHeight="1" x14ac:dyDescent="0.25">
      <c r="A692" s="70"/>
      <c r="B692" s="70"/>
      <c r="C692" s="70"/>
      <c r="U692" s="72"/>
      <c r="AW692" s="73"/>
    </row>
    <row r="693" spans="1:49" ht="15.75" customHeight="1" x14ac:dyDescent="0.25">
      <c r="A693" s="70"/>
      <c r="B693" s="70"/>
      <c r="C693" s="70"/>
      <c r="U693" s="72"/>
      <c r="AW693" s="73"/>
    </row>
    <row r="694" spans="1:49" ht="15.75" customHeight="1" x14ac:dyDescent="0.25">
      <c r="A694" s="70"/>
      <c r="B694" s="70"/>
      <c r="C694" s="70"/>
      <c r="U694" s="72"/>
      <c r="AW694" s="73"/>
    </row>
    <row r="695" spans="1:49" ht="15.75" customHeight="1" x14ac:dyDescent="0.25">
      <c r="A695" s="70"/>
      <c r="B695" s="70"/>
      <c r="C695" s="70"/>
      <c r="U695" s="72"/>
      <c r="AW695" s="73"/>
    </row>
    <row r="696" spans="1:49" ht="15.75" customHeight="1" x14ac:dyDescent="0.25">
      <c r="A696" s="70"/>
      <c r="B696" s="70"/>
      <c r="C696" s="70"/>
      <c r="U696" s="72"/>
      <c r="AW696" s="73"/>
    </row>
    <row r="697" spans="1:49" ht="15.75" customHeight="1" x14ac:dyDescent="0.25">
      <c r="A697" s="70"/>
      <c r="B697" s="70"/>
      <c r="C697" s="70"/>
      <c r="U697" s="72"/>
      <c r="AW697" s="73"/>
    </row>
    <row r="698" spans="1:49" ht="15.75" customHeight="1" x14ac:dyDescent="0.25">
      <c r="A698" s="70"/>
      <c r="B698" s="70"/>
      <c r="C698" s="70"/>
      <c r="U698" s="72"/>
      <c r="AW698" s="73"/>
    </row>
    <row r="699" spans="1:49" ht="15.75" customHeight="1" x14ac:dyDescent="0.25">
      <c r="A699" s="70"/>
      <c r="B699" s="70"/>
      <c r="C699" s="70"/>
      <c r="U699" s="72"/>
      <c r="AW699" s="73"/>
    </row>
    <row r="700" spans="1:49" ht="15.75" customHeight="1" x14ac:dyDescent="0.25">
      <c r="A700" s="70"/>
      <c r="B700" s="70"/>
      <c r="C700" s="70"/>
      <c r="U700" s="72"/>
      <c r="AW700" s="73"/>
    </row>
    <row r="701" spans="1:49" ht="15.75" customHeight="1" x14ac:dyDescent="0.25">
      <c r="A701" s="70"/>
      <c r="B701" s="70"/>
      <c r="C701" s="70"/>
      <c r="U701" s="72"/>
      <c r="AW701" s="73"/>
    </row>
    <row r="702" spans="1:49" ht="15.75" customHeight="1" x14ac:dyDescent="0.25">
      <c r="A702" s="70"/>
      <c r="B702" s="70"/>
      <c r="C702" s="70"/>
      <c r="U702" s="72"/>
      <c r="AW702" s="73"/>
    </row>
    <row r="703" spans="1:49" ht="15.75" customHeight="1" x14ac:dyDescent="0.25">
      <c r="A703" s="70"/>
      <c r="B703" s="70"/>
      <c r="C703" s="70"/>
      <c r="U703" s="72"/>
      <c r="AW703" s="73"/>
    </row>
    <row r="704" spans="1:49" ht="15.75" customHeight="1" x14ac:dyDescent="0.25">
      <c r="A704" s="70"/>
      <c r="B704" s="70"/>
      <c r="C704" s="70"/>
      <c r="U704" s="72"/>
      <c r="AW704" s="73"/>
    </row>
    <row r="705" spans="1:49" ht="15.75" customHeight="1" x14ac:dyDescent="0.25">
      <c r="A705" s="70"/>
      <c r="B705" s="70"/>
      <c r="C705" s="70"/>
      <c r="U705" s="72"/>
      <c r="AW705" s="73"/>
    </row>
    <row r="706" spans="1:49" ht="15.75" customHeight="1" x14ac:dyDescent="0.25">
      <c r="A706" s="70"/>
      <c r="B706" s="70"/>
      <c r="C706" s="70"/>
      <c r="U706" s="72"/>
      <c r="AW706" s="73"/>
    </row>
    <row r="707" spans="1:49" ht="15.75" customHeight="1" x14ac:dyDescent="0.25">
      <c r="A707" s="70"/>
      <c r="B707" s="70"/>
      <c r="C707" s="70"/>
      <c r="U707" s="72"/>
      <c r="AW707" s="73"/>
    </row>
    <row r="708" spans="1:49" ht="15.75" customHeight="1" x14ac:dyDescent="0.25">
      <c r="A708" s="70"/>
      <c r="B708" s="70"/>
      <c r="C708" s="70"/>
      <c r="U708" s="72"/>
      <c r="AW708" s="73"/>
    </row>
    <row r="709" spans="1:49" ht="15.75" customHeight="1" x14ac:dyDescent="0.25">
      <c r="A709" s="70"/>
      <c r="B709" s="70"/>
      <c r="C709" s="70"/>
      <c r="U709" s="72"/>
      <c r="AW709" s="73"/>
    </row>
    <row r="710" spans="1:49" ht="15.75" customHeight="1" x14ac:dyDescent="0.25">
      <c r="A710" s="70"/>
      <c r="B710" s="70"/>
      <c r="C710" s="70"/>
      <c r="U710" s="72"/>
      <c r="AW710" s="73"/>
    </row>
    <row r="711" spans="1:49" ht="15.75" customHeight="1" x14ac:dyDescent="0.25">
      <c r="A711" s="70"/>
      <c r="B711" s="70"/>
      <c r="C711" s="70"/>
      <c r="U711" s="72"/>
      <c r="AW711" s="73"/>
    </row>
    <row r="712" spans="1:49" ht="15.75" customHeight="1" x14ac:dyDescent="0.25">
      <c r="A712" s="70"/>
      <c r="B712" s="70"/>
      <c r="C712" s="70"/>
      <c r="U712" s="72"/>
      <c r="AW712" s="73"/>
    </row>
    <row r="713" spans="1:49" ht="15.75" customHeight="1" x14ac:dyDescent="0.25">
      <c r="A713" s="70"/>
      <c r="B713" s="70"/>
      <c r="C713" s="70"/>
      <c r="U713" s="72"/>
      <c r="AW713" s="73"/>
    </row>
    <row r="714" spans="1:49" ht="15.75" customHeight="1" x14ac:dyDescent="0.25">
      <c r="A714" s="70"/>
      <c r="B714" s="70"/>
      <c r="C714" s="70"/>
      <c r="U714" s="72"/>
      <c r="AW714" s="73"/>
    </row>
    <row r="715" spans="1:49" ht="15.75" customHeight="1" x14ac:dyDescent="0.25">
      <c r="A715" s="70"/>
      <c r="B715" s="70"/>
      <c r="C715" s="70"/>
      <c r="U715" s="72"/>
      <c r="AW715" s="73"/>
    </row>
    <row r="716" spans="1:49" ht="15.75" customHeight="1" x14ac:dyDescent="0.25">
      <c r="A716" s="70"/>
      <c r="B716" s="70"/>
      <c r="C716" s="70"/>
      <c r="U716" s="72"/>
      <c r="AW716" s="73"/>
    </row>
    <row r="717" spans="1:49" ht="15.75" customHeight="1" x14ac:dyDescent="0.25">
      <c r="A717" s="70"/>
      <c r="B717" s="70"/>
      <c r="C717" s="70"/>
      <c r="U717" s="72"/>
      <c r="AW717" s="73"/>
    </row>
    <row r="718" spans="1:49" ht="15.75" customHeight="1" x14ac:dyDescent="0.25">
      <c r="A718" s="70"/>
      <c r="B718" s="70"/>
      <c r="C718" s="70"/>
      <c r="U718" s="72"/>
      <c r="AW718" s="73"/>
    </row>
    <row r="719" spans="1:49" ht="15.75" customHeight="1" x14ac:dyDescent="0.25">
      <c r="A719" s="70"/>
      <c r="B719" s="70"/>
      <c r="C719" s="70"/>
      <c r="U719" s="72"/>
      <c r="AW719" s="73"/>
    </row>
    <row r="720" spans="1:49" ht="15.75" customHeight="1" x14ac:dyDescent="0.25">
      <c r="A720" s="70"/>
      <c r="B720" s="70"/>
      <c r="C720" s="70"/>
      <c r="U720" s="72"/>
      <c r="AW720" s="73"/>
    </row>
    <row r="721" spans="1:49" ht="15.75" customHeight="1" x14ac:dyDescent="0.25">
      <c r="A721" s="70"/>
      <c r="B721" s="70"/>
      <c r="C721" s="70"/>
      <c r="U721" s="72"/>
      <c r="AW721" s="73"/>
    </row>
    <row r="722" spans="1:49" ht="15.75" customHeight="1" x14ac:dyDescent="0.25">
      <c r="A722" s="70"/>
      <c r="B722" s="70"/>
      <c r="C722" s="70"/>
      <c r="U722" s="72"/>
      <c r="AW722" s="73"/>
    </row>
    <row r="723" spans="1:49" ht="15.75" customHeight="1" x14ac:dyDescent="0.25">
      <c r="A723" s="70"/>
      <c r="B723" s="70"/>
      <c r="C723" s="70"/>
      <c r="U723" s="72"/>
      <c r="AW723" s="73"/>
    </row>
    <row r="724" spans="1:49" ht="15.75" customHeight="1" x14ac:dyDescent="0.25">
      <c r="A724" s="70"/>
      <c r="B724" s="70"/>
      <c r="C724" s="70"/>
      <c r="U724" s="72"/>
      <c r="AW724" s="73"/>
    </row>
    <row r="725" spans="1:49" ht="15.75" customHeight="1" x14ac:dyDescent="0.25">
      <c r="A725" s="70"/>
      <c r="B725" s="70"/>
      <c r="C725" s="70"/>
      <c r="U725" s="72"/>
      <c r="AW725" s="73"/>
    </row>
    <row r="726" spans="1:49" ht="15.75" customHeight="1" x14ac:dyDescent="0.25">
      <c r="A726" s="70"/>
      <c r="B726" s="70"/>
      <c r="C726" s="70"/>
      <c r="U726" s="72"/>
      <c r="AW726" s="73"/>
    </row>
    <row r="727" spans="1:49" ht="15.75" customHeight="1" x14ac:dyDescent="0.25">
      <c r="A727" s="70"/>
      <c r="B727" s="70"/>
      <c r="C727" s="70"/>
      <c r="U727" s="72"/>
      <c r="AW727" s="73"/>
    </row>
    <row r="728" spans="1:49" ht="15.75" customHeight="1" x14ac:dyDescent="0.25">
      <c r="A728" s="70"/>
      <c r="B728" s="70"/>
      <c r="C728" s="70"/>
      <c r="U728" s="72"/>
      <c r="AW728" s="73"/>
    </row>
    <row r="729" spans="1:49" ht="15.75" customHeight="1" x14ac:dyDescent="0.25">
      <c r="A729" s="70"/>
      <c r="B729" s="70"/>
      <c r="C729" s="70"/>
      <c r="U729" s="72"/>
      <c r="AW729" s="73"/>
    </row>
    <row r="730" spans="1:49" ht="15.75" customHeight="1" x14ac:dyDescent="0.25">
      <c r="A730" s="70"/>
      <c r="B730" s="70"/>
      <c r="C730" s="70"/>
      <c r="U730" s="72"/>
      <c r="AW730" s="73"/>
    </row>
    <row r="731" spans="1:49" ht="15.75" customHeight="1" x14ac:dyDescent="0.25">
      <c r="A731" s="70"/>
      <c r="B731" s="70"/>
      <c r="C731" s="70"/>
      <c r="U731" s="72"/>
      <c r="AW731" s="73"/>
    </row>
    <row r="732" spans="1:49" ht="15.75" customHeight="1" x14ac:dyDescent="0.25">
      <c r="A732" s="70"/>
      <c r="B732" s="70"/>
      <c r="C732" s="70"/>
      <c r="U732" s="72"/>
      <c r="AW732" s="73"/>
    </row>
    <row r="733" spans="1:49" ht="15.75" customHeight="1" x14ac:dyDescent="0.25">
      <c r="A733" s="70"/>
      <c r="B733" s="70"/>
      <c r="C733" s="70"/>
      <c r="U733" s="72"/>
      <c r="AW733" s="73"/>
    </row>
    <row r="734" spans="1:49" ht="15.75" customHeight="1" x14ac:dyDescent="0.25">
      <c r="A734" s="70"/>
      <c r="B734" s="70"/>
      <c r="C734" s="70"/>
      <c r="U734" s="72"/>
      <c r="AW734" s="73"/>
    </row>
    <row r="735" spans="1:49" ht="15.75" customHeight="1" x14ac:dyDescent="0.25">
      <c r="A735" s="70"/>
      <c r="B735" s="70"/>
      <c r="C735" s="70"/>
      <c r="U735" s="72"/>
      <c r="AW735" s="73"/>
    </row>
    <row r="736" spans="1:49" ht="15.75" customHeight="1" x14ac:dyDescent="0.25">
      <c r="A736" s="70"/>
      <c r="B736" s="70"/>
      <c r="C736" s="70"/>
      <c r="U736" s="72"/>
      <c r="AW736" s="73"/>
    </row>
    <row r="737" spans="1:49" ht="15.75" customHeight="1" x14ac:dyDescent="0.25">
      <c r="A737" s="70"/>
      <c r="B737" s="70"/>
      <c r="C737" s="70"/>
      <c r="U737" s="72"/>
      <c r="AW737" s="73"/>
    </row>
    <row r="738" spans="1:49" ht="15.75" customHeight="1" x14ac:dyDescent="0.25">
      <c r="A738" s="70"/>
      <c r="B738" s="70"/>
      <c r="C738" s="70"/>
      <c r="U738" s="72"/>
      <c r="AW738" s="73"/>
    </row>
    <row r="739" spans="1:49" ht="15.75" customHeight="1" x14ac:dyDescent="0.25">
      <c r="A739" s="70"/>
      <c r="B739" s="70"/>
      <c r="C739" s="70"/>
      <c r="U739" s="72"/>
      <c r="AW739" s="73"/>
    </row>
    <row r="740" spans="1:49" ht="15.75" customHeight="1" x14ac:dyDescent="0.25">
      <c r="A740" s="70"/>
      <c r="B740" s="70"/>
      <c r="C740" s="70"/>
      <c r="U740" s="72"/>
      <c r="AW740" s="73"/>
    </row>
    <row r="741" spans="1:49" ht="15.75" customHeight="1" x14ac:dyDescent="0.25">
      <c r="A741" s="70"/>
      <c r="B741" s="70"/>
      <c r="C741" s="70"/>
      <c r="U741" s="72"/>
      <c r="AW741" s="73"/>
    </row>
    <row r="742" spans="1:49" ht="15.75" customHeight="1" x14ac:dyDescent="0.25">
      <c r="A742" s="70"/>
      <c r="B742" s="70"/>
      <c r="C742" s="70"/>
      <c r="U742" s="72"/>
      <c r="AW742" s="73"/>
    </row>
    <row r="743" spans="1:49" ht="15.75" customHeight="1" x14ac:dyDescent="0.25">
      <c r="A743" s="70"/>
      <c r="B743" s="70"/>
      <c r="C743" s="70"/>
      <c r="U743" s="72"/>
      <c r="AW743" s="73"/>
    </row>
    <row r="744" spans="1:49" ht="15.75" customHeight="1" x14ac:dyDescent="0.25">
      <c r="A744" s="70"/>
      <c r="B744" s="70"/>
      <c r="C744" s="70"/>
      <c r="U744" s="72"/>
      <c r="AW744" s="73"/>
    </row>
    <row r="745" spans="1:49" ht="15.75" customHeight="1" x14ac:dyDescent="0.25">
      <c r="A745" s="70"/>
      <c r="B745" s="70"/>
      <c r="C745" s="70"/>
      <c r="U745" s="72"/>
      <c r="AW745" s="73"/>
    </row>
    <row r="746" spans="1:49" ht="15.75" customHeight="1" x14ac:dyDescent="0.25">
      <c r="A746" s="70"/>
      <c r="B746" s="70"/>
      <c r="C746" s="70"/>
      <c r="U746" s="72"/>
      <c r="AW746" s="73"/>
    </row>
    <row r="747" spans="1:49" ht="15.75" customHeight="1" x14ac:dyDescent="0.25">
      <c r="A747" s="70"/>
      <c r="B747" s="70"/>
      <c r="C747" s="70"/>
      <c r="U747" s="72"/>
      <c r="AW747" s="73"/>
    </row>
    <row r="748" spans="1:49" ht="15.75" customHeight="1" x14ac:dyDescent="0.25">
      <c r="A748" s="70"/>
      <c r="B748" s="70"/>
      <c r="C748" s="70"/>
      <c r="U748" s="72"/>
      <c r="AW748" s="73"/>
    </row>
    <row r="749" spans="1:49" ht="15.75" customHeight="1" x14ac:dyDescent="0.25">
      <c r="A749" s="70"/>
      <c r="B749" s="70"/>
      <c r="C749" s="70"/>
      <c r="U749" s="72"/>
      <c r="AW749" s="73"/>
    </row>
    <row r="750" spans="1:49" ht="15.75" customHeight="1" x14ac:dyDescent="0.25">
      <c r="A750" s="70"/>
      <c r="B750" s="70"/>
      <c r="C750" s="70"/>
      <c r="U750" s="72"/>
      <c r="AW750" s="73"/>
    </row>
    <row r="751" spans="1:49" ht="15.75" customHeight="1" x14ac:dyDescent="0.25">
      <c r="A751" s="70"/>
      <c r="B751" s="70"/>
      <c r="C751" s="70"/>
      <c r="U751" s="72"/>
      <c r="AW751" s="73"/>
    </row>
    <row r="752" spans="1:49" ht="15.75" customHeight="1" x14ac:dyDescent="0.25">
      <c r="A752" s="70"/>
      <c r="B752" s="70"/>
      <c r="C752" s="70"/>
      <c r="U752" s="72"/>
      <c r="AW752" s="73"/>
    </row>
    <row r="753" spans="1:49" ht="15.75" customHeight="1" x14ac:dyDescent="0.25">
      <c r="A753" s="70"/>
      <c r="B753" s="70"/>
      <c r="C753" s="70"/>
      <c r="U753" s="72"/>
      <c r="AW753" s="73"/>
    </row>
    <row r="754" spans="1:49" ht="15.75" customHeight="1" x14ac:dyDescent="0.25">
      <c r="A754" s="70"/>
      <c r="B754" s="70"/>
      <c r="C754" s="70"/>
      <c r="U754" s="72"/>
      <c r="AW754" s="73"/>
    </row>
    <row r="755" spans="1:49" ht="15.75" customHeight="1" x14ac:dyDescent="0.25">
      <c r="A755" s="70"/>
      <c r="B755" s="70"/>
      <c r="C755" s="70"/>
      <c r="U755" s="72"/>
      <c r="AW755" s="73"/>
    </row>
    <row r="756" spans="1:49" ht="15.75" customHeight="1" x14ac:dyDescent="0.25">
      <c r="A756" s="70"/>
      <c r="B756" s="70"/>
      <c r="C756" s="70"/>
      <c r="U756" s="72"/>
      <c r="AW756" s="73"/>
    </row>
    <row r="757" spans="1:49" ht="15.75" customHeight="1" x14ac:dyDescent="0.25">
      <c r="A757" s="70"/>
      <c r="B757" s="70"/>
      <c r="C757" s="70"/>
      <c r="U757" s="72"/>
      <c r="AW757" s="73"/>
    </row>
    <row r="758" spans="1:49" ht="15.75" customHeight="1" x14ac:dyDescent="0.25">
      <c r="A758" s="70"/>
      <c r="B758" s="70"/>
      <c r="C758" s="70"/>
      <c r="U758" s="72"/>
      <c r="AW758" s="73"/>
    </row>
    <row r="759" spans="1:49" ht="15.75" customHeight="1" x14ac:dyDescent="0.25">
      <c r="A759" s="70"/>
      <c r="B759" s="70"/>
      <c r="C759" s="70"/>
      <c r="U759" s="72"/>
      <c r="AW759" s="73"/>
    </row>
    <row r="760" spans="1:49" ht="15.75" customHeight="1" x14ac:dyDescent="0.25">
      <c r="A760" s="70"/>
      <c r="B760" s="70"/>
      <c r="C760" s="70"/>
      <c r="U760" s="72"/>
      <c r="AW760" s="73"/>
    </row>
    <row r="761" spans="1:49" ht="15.75" customHeight="1" x14ac:dyDescent="0.25">
      <c r="A761" s="70"/>
      <c r="B761" s="70"/>
      <c r="C761" s="70"/>
      <c r="U761" s="72"/>
      <c r="AW761" s="73"/>
    </row>
    <row r="762" spans="1:49" ht="15.75" customHeight="1" x14ac:dyDescent="0.25">
      <c r="A762" s="70"/>
      <c r="B762" s="70"/>
      <c r="C762" s="70"/>
      <c r="U762" s="72"/>
      <c r="AW762" s="73"/>
    </row>
    <row r="763" spans="1:49" ht="15.75" customHeight="1" x14ac:dyDescent="0.25">
      <c r="A763" s="70"/>
      <c r="B763" s="70"/>
      <c r="C763" s="70"/>
      <c r="U763" s="72"/>
      <c r="AW763" s="73"/>
    </row>
    <row r="764" spans="1:49" ht="15.75" customHeight="1" x14ac:dyDescent="0.25">
      <c r="A764" s="70"/>
      <c r="B764" s="70"/>
      <c r="C764" s="70"/>
      <c r="U764" s="72"/>
      <c r="AW764" s="73"/>
    </row>
    <row r="765" spans="1:49" ht="15.75" customHeight="1" x14ac:dyDescent="0.25">
      <c r="A765" s="70"/>
      <c r="B765" s="70"/>
      <c r="C765" s="70"/>
      <c r="U765" s="72"/>
      <c r="AW765" s="73"/>
    </row>
    <row r="766" spans="1:49" ht="15.75" customHeight="1" x14ac:dyDescent="0.25">
      <c r="A766" s="70"/>
      <c r="B766" s="70"/>
      <c r="C766" s="70"/>
      <c r="U766" s="72"/>
      <c r="AW766" s="73"/>
    </row>
    <row r="767" spans="1:49" ht="15.75" customHeight="1" x14ac:dyDescent="0.25">
      <c r="A767" s="70"/>
      <c r="B767" s="70"/>
      <c r="C767" s="70"/>
      <c r="U767" s="72"/>
      <c r="AW767" s="73"/>
    </row>
    <row r="768" spans="1:49" ht="15.75" customHeight="1" x14ac:dyDescent="0.25">
      <c r="A768" s="70"/>
      <c r="B768" s="70"/>
      <c r="C768" s="70"/>
      <c r="U768" s="72"/>
      <c r="AW768" s="73"/>
    </row>
    <row r="769" spans="1:49" ht="15.75" customHeight="1" x14ac:dyDescent="0.25">
      <c r="A769" s="70"/>
      <c r="B769" s="70"/>
      <c r="C769" s="70"/>
      <c r="U769" s="72"/>
      <c r="AW769" s="73"/>
    </row>
    <row r="770" spans="1:49" ht="15.75" customHeight="1" x14ac:dyDescent="0.25">
      <c r="A770" s="70"/>
      <c r="B770" s="70"/>
      <c r="C770" s="70"/>
      <c r="U770" s="72"/>
      <c r="AW770" s="73"/>
    </row>
    <row r="771" spans="1:49" ht="15.75" customHeight="1" x14ac:dyDescent="0.25">
      <c r="A771" s="70"/>
      <c r="B771" s="70"/>
      <c r="C771" s="70"/>
      <c r="U771" s="72"/>
      <c r="AW771" s="73"/>
    </row>
    <row r="772" spans="1:49" ht="15.75" customHeight="1" x14ac:dyDescent="0.25">
      <c r="A772" s="70"/>
      <c r="B772" s="70"/>
      <c r="C772" s="70"/>
      <c r="U772" s="72"/>
      <c r="AW772" s="73"/>
    </row>
    <row r="773" spans="1:49" ht="15.75" customHeight="1" x14ac:dyDescent="0.25">
      <c r="A773" s="70"/>
      <c r="B773" s="70"/>
      <c r="C773" s="70"/>
      <c r="U773" s="72"/>
      <c r="AW773" s="73"/>
    </row>
    <row r="774" spans="1:49" ht="15.75" customHeight="1" x14ac:dyDescent="0.25">
      <c r="A774" s="70"/>
      <c r="B774" s="70"/>
      <c r="C774" s="70"/>
      <c r="U774" s="72"/>
      <c r="AW774" s="73"/>
    </row>
    <row r="775" spans="1:49" ht="15.75" customHeight="1" x14ac:dyDescent="0.25">
      <c r="A775" s="70"/>
      <c r="B775" s="70"/>
      <c r="C775" s="70"/>
      <c r="U775" s="72"/>
      <c r="AW775" s="73"/>
    </row>
    <row r="776" spans="1:49" ht="15.75" customHeight="1" x14ac:dyDescent="0.25">
      <c r="A776" s="70"/>
      <c r="B776" s="70"/>
      <c r="C776" s="70"/>
      <c r="U776" s="72"/>
      <c r="AW776" s="73"/>
    </row>
    <row r="777" spans="1:49" ht="15.75" customHeight="1" x14ac:dyDescent="0.25">
      <c r="A777" s="70"/>
      <c r="B777" s="70"/>
      <c r="C777" s="70"/>
      <c r="U777" s="72"/>
      <c r="AW777" s="73"/>
    </row>
    <row r="778" spans="1:49" ht="15.75" customHeight="1" x14ac:dyDescent="0.25">
      <c r="A778" s="70"/>
      <c r="B778" s="70"/>
      <c r="C778" s="70"/>
      <c r="U778" s="72"/>
      <c r="AW778" s="73"/>
    </row>
    <row r="779" spans="1:49" ht="15.75" customHeight="1" x14ac:dyDescent="0.25">
      <c r="A779" s="70"/>
      <c r="B779" s="70"/>
      <c r="C779" s="70"/>
      <c r="U779" s="72"/>
      <c r="AW779" s="73"/>
    </row>
    <row r="780" spans="1:49" ht="15.75" customHeight="1" x14ac:dyDescent="0.25">
      <c r="A780" s="70"/>
      <c r="B780" s="70"/>
      <c r="C780" s="70"/>
      <c r="U780" s="72"/>
      <c r="AW780" s="73"/>
    </row>
    <row r="781" spans="1:49" ht="15.75" customHeight="1" x14ac:dyDescent="0.25">
      <c r="A781" s="70"/>
      <c r="B781" s="70"/>
      <c r="C781" s="70"/>
      <c r="U781" s="72"/>
      <c r="AW781" s="73"/>
    </row>
    <row r="782" spans="1:49" ht="15.75" customHeight="1" x14ac:dyDescent="0.25">
      <c r="A782" s="70"/>
      <c r="B782" s="70"/>
      <c r="C782" s="70"/>
      <c r="U782" s="72"/>
      <c r="AW782" s="73"/>
    </row>
    <row r="783" spans="1:49" ht="15.75" customHeight="1" x14ac:dyDescent="0.25">
      <c r="A783" s="70"/>
      <c r="B783" s="70"/>
      <c r="C783" s="70"/>
      <c r="U783" s="72"/>
      <c r="AW783" s="73"/>
    </row>
    <row r="784" spans="1:49" ht="15.75" customHeight="1" x14ac:dyDescent="0.25">
      <c r="A784" s="70"/>
      <c r="B784" s="70"/>
      <c r="C784" s="70"/>
      <c r="U784" s="72"/>
      <c r="AW784" s="73"/>
    </row>
    <row r="785" spans="1:49" ht="15.75" customHeight="1" x14ac:dyDescent="0.25">
      <c r="A785" s="70"/>
      <c r="B785" s="70"/>
      <c r="C785" s="70"/>
      <c r="U785" s="72"/>
      <c r="AW785" s="73"/>
    </row>
    <row r="786" spans="1:49" ht="15.75" customHeight="1" x14ac:dyDescent="0.25">
      <c r="A786" s="70"/>
      <c r="B786" s="70"/>
      <c r="C786" s="70"/>
      <c r="U786" s="72"/>
      <c r="AW786" s="73"/>
    </row>
    <row r="787" spans="1:49" ht="15.75" customHeight="1" x14ac:dyDescent="0.25">
      <c r="A787" s="70"/>
      <c r="B787" s="70"/>
      <c r="C787" s="70"/>
      <c r="U787" s="72"/>
      <c r="AW787" s="73"/>
    </row>
    <row r="788" spans="1:49" ht="15.75" customHeight="1" x14ac:dyDescent="0.25">
      <c r="A788" s="70"/>
      <c r="B788" s="70"/>
      <c r="C788" s="70"/>
      <c r="U788" s="72"/>
      <c r="AW788" s="73"/>
    </row>
    <row r="789" spans="1:49" ht="15.75" customHeight="1" x14ac:dyDescent="0.25">
      <c r="A789" s="70"/>
      <c r="B789" s="70"/>
      <c r="C789" s="70"/>
      <c r="U789" s="72"/>
      <c r="AW789" s="73"/>
    </row>
    <row r="790" spans="1:49" ht="15.75" customHeight="1" x14ac:dyDescent="0.25">
      <c r="A790" s="70"/>
      <c r="B790" s="70"/>
      <c r="C790" s="70"/>
      <c r="U790" s="72"/>
      <c r="AW790" s="73"/>
    </row>
    <row r="791" spans="1:49" ht="15.75" customHeight="1" x14ac:dyDescent="0.25">
      <c r="A791" s="70"/>
      <c r="B791" s="70"/>
      <c r="C791" s="70"/>
      <c r="U791" s="72"/>
      <c r="AW791" s="73"/>
    </row>
    <row r="792" spans="1:49" ht="15.75" customHeight="1" x14ac:dyDescent="0.25">
      <c r="A792" s="70"/>
      <c r="B792" s="70"/>
      <c r="C792" s="70"/>
      <c r="U792" s="72"/>
      <c r="AW792" s="73"/>
    </row>
    <row r="793" spans="1:49" ht="15.75" customHeight="1" x14ac:dyDescent="0.25">
      <c r="A793" s="70"/>
      <c r="B793" s="70"/>
      <c r="C793" s="70"/>
      <c r="U793" s="72"/>
      <c r="AW793" s="73"/>
    </row>
    <row r="794" spans="1:49" ht="15.75" customHeight="1" x14ac:dyDescent="0.25">
      <c r="A794" s="70"/>
      <c r="B794" s="70"/>
      <c r="C794" s="70"/>
      <c r="U794" s="72"/>
      <c r="AW794" s="73"/>
    </row>
    <row r="795" spans="1:49" ht="15.75" customHeight="1" x14ac:dyDescent="0.25">
      <c r="A795" s="70"/>
      <c r="B795" s="70"/>
      <c r="C795" s="70"/>
      <c r="U795" s="72"/>
      <c r="AW795" s="73"/>
    </row>
    <row r="796" spans="1:49" ht="15.75" customHeight="1" x14ac:dyDescent="0.25">
      <c r="A796" s="70"/>
      <c r="B796" s="70"/>
      <c r="C796" s="70"/>
      <c r="U796" s="72"/>
      <c r="AW796" s="73"/>
    </row>
    <row r="797" spans="1:49" ht="15.75" customHeight="1" x14ac:dyDescent="0.25">
      <c r="A797" s="70"/>
      <c r="B797" s="70"/>
      <c r="C797" s="70"/>
      <c r="U797" s="72"/>
      <c r="AW797" s="73"/>
    </row>
    <row r="798" spans="1:49" ht="15.75" customHeight="1" x14ac:dyDescent="0.25">
      <c r="A798" s="70"/>
      <c r="B798" s="70"/>
      <c r="C798" s="70"/>
      <c r="U798" s="72"/>
      <c r="AW798" s="73"/>
    </row>
    <row r="799" spans="1:49" ht="15.75" customHeight="1" x14ac:dyDescent="0.25">
      <c r="A799" s="70"/>
      <c r="B799" s="70"/>
      <c r="C799" s="70"/>
      <c r="U799" s="72"/>
      <c r="AW799" s="73"/>
    </row>
    <row r="800" spans="1:49" ht="15.75" customHeight="1" x14ac:dyDescent="0.25">
      <c r="A800" s="70"/>
      <c r="B800" s="70"/>
      <c r="C800" s="70"/>
      <c r="U800" s="72"/>
      <c r="AW800" s="73"/>
    </row>
    <row r="801" spans="1:49" ht="15.75" customHeight="1" x14ac:dyDescent="0.25">
      <c r="A801" s="70"/>
      <c r="B801" s="70"/>
      <c r="C801" s="70"/>
      <c r="U801" s="72"/>
      <c r="AW801" s="73"/>
    </row>
    <row r="802" spans="1:49" ht="15.75" customHeight="1" x14ac:dyDescent="0.25">
      <c r="A802" s="70"/>
      <c r="B802" s="70"/>
      <c r="C802" s="70"/>
      <c r="U802" s="72"/>
      <c r="AW802" s="73"/>
    </row>
    <row r="803" spans="1:49" ht="15.75" customHeight="1" x14ac:dyDescent="0.25">
      <c r="A803" s="70"/>
      <c r="B803" s="70"/>
      <c r="C803" s="70"/>
      <c r="U803" s="72"/>
      <c r="AW803" s="73"/>
    </row>
    <row r="804" spans="1:49" ht="15.75" customHeight="1" x14ac:dyDescent="0.25">
      <c r="A804" s="70"/>
      <c r="B804" s="70"/>
      <c r="C804" s="70"/>
      <c r="U804" s="72"/>
      <c r="AW804" s="73"/>
    </row>
    <row r="805" spans="1:49" ht="15.75" customHeight="1" x14ac:dyDescent="0.25">
      <c r="A805" s="70"/>
      <c r="B805" s="70"/>
      <c r="C805" s="70"/>
      <c r="U805" s="72"/>
      <c r="AW805" s="73"/>
    </row>
    <row r="806" spans="1:49" ht="15.75" customHeight="1" x14ac:dyDescent="0.25">
      <c r="A806" s="70"/>
      <c r="B806" s="70"/>
      <c r="C806" s="70"/>
      <c r="U806" s="72"/>
      <c r="AW806" s="73"/>
    </row>
    <row r="807" spans="1:49" ht="15.75" customHeight="1" x14ac:dyDescent="0.25">
      <c r="A807" s="70"/>
      <c r="B807" s="70"/>
      <c r="C807" s="70"/>
      <c r="U807" s="72"/>
      <c r="AW807" s="73"/>
    </row>
    <row r="808" spans="1:49" ht="15.75" customHeight="1" x14ac:dyDescent="0.25">
      <c r="A808" s="70"/>
      <c r="B808" s="70"/>
      <c r="C808" s="70"/>
      <c r="U808" s="72"/>
      <c r="AW808" s="73"/>
    </row>
    <row r="809" spans="1:49" ht="15.75" customHeight="1" x14ac:dyDescent="0.25">
      <c r="A809" s="70"/>
      <c r="B809" s="70"/>
      <c r="C809" s="70"/>
      <c r="U809" s="72"/>
      <c r="AW809" s="73"/>
    </row>
    <row r="810" spans="1:49" ht="15.75" customHeight="1" x14ac:dyDescent="0.25">
      <c r="A810" s="70"/>
      <c r="B810" s="70"/>
      <c r="C810" s="70"/>
      <c r="U810" s="72"/>
      <c r="AW810" s="73"/>
    </row>
    <row r="811" spans="1:49" ht="15.75" customHeight="1" x14ac:dyDescent="0.25">
      <c r="A811" s="70"/>
      <c r="B811" s="70"/>
      <c r="C811" s="70"/>
      <c r="U811" s="72"/>
      <c r="AW811" s="73"/>
    </row>
    <row r="812" spans="1:49" ht="15.75" customHeight="1" x14ac:dyDescent="0.25">
      <c r="A812" s="70"/>
      <c r="B812" s="70"/>
      <c r="C812" s="70"/>
      <c r="U812" s="72"/>
      <c r="AW812" s="73"/>
    </row>
    <row r="813" spans="1:49" ht="15.75" customHeight="1" x14ac:dyDescent="0.25">
      <c r="A813" s="70"/>
      <c r="B813" s="70"/>
      <c r="C813" s="70"/>
      <c r="U813" s="72"/>
      <c r="AW813" s="73"/>
    </row>
    <row r="814" spans="1:49" ht="15.75" customHeight="1" x14ac:dyDescent="0.25">
      <c r="A814" s="70"/>
      <c r="B814" s="70"/>
      <c r="C814" s="70"/>
      <c r="U814" s="72"/>
      <c r="AW814" s="73"/>
    </row>
    <row r="815" spans="1:49" ht="15.75" customHeight="1" x14ac:dyDescent="0.25">
      <c r="A815" s="70"/>
      <c r="B815" s="70"/>
      <c r="C815" s="70"/>
      <c r="U815" s="72"/>
      <c r="AW815" s="73"/>
    </row>
    <row r="816" spans="1:49" ht="15.75" customHeight="1" x14ac:dyDescent="0.25">
      <c r="A816" s="70"/>
      <c r="B816" s="70"/>
      <c r="C816" s="70"/>
      <c r="U816" s="72"/>
      <c r="AW816" s="73"/>
    </row>
    <row r="817" spans="1:49" ht="15.75" customHeight="1" x14ac:dyDescent="0.25">
      <c r="A817" s="70"/>
      <c r="B817" s="70"/>
      <c r="C817" s="70"/>
      <c r="U817" s="72"/>
      <c r="AW817" s="73"/>
    </row>
    <row r="818" spans="1:49" ht="15.75" customHeight="1" x14ac:dyDescent="0.25">
      <c r="A818" s="70"/>
      <c r="B818" s="70"/>
      <c r="C818" s="70"/>
      <c r="U818" s="72"/>
      <c r="AW818" s="73"/>
    </row>
    <row r="819" spans="1:49" ht="15.75" customHeight="1" x14ac:dyDescent="0.25">
      <c r="A819" s="70"/>
      <c r="B819" s="70"/>
      <c r="C819" s="70"/>
      <c r="U819" s="72"/>
      <c r="AW819" s="73"/>
    </row>
    <row r="820" spans="1:49" ht="15.75" customHeight="1" x14ac:dyDescent="0.25">
      <c r="A820" s="70"/>
      <c r="B820" s="70"/>
      <c r="C820" s="70"/>
      <c r="U820" s="72"/>
      <c r="AW820" s="73"/>
    </row>
    <row r="821" spans="1:49" ht="15.75" customHeight="1" x14ac:dyDescent="0.25">
      <c r="A821" s="70"/>
      <c r="B821" s="70"/>
      <c r="C821" s="70"/>
      <c r="U821" s="72"/>
      <c r="AW821" s="73"/>
    </row>
    <row r="822" spans="1:49" ht="15.75" customHeight="1" x14ac:dyDescent="0.25">
      <c r="A822" s="70"/>
      <c r="B822" s="70"/>
      <c r="C822" s="70"/>
      <c r="U822" s="72"/>
      <c r="AW822" s="73"/>
    </row>
    <row r="823" spans="1:49" ht="15.75" customHeight="1" x14ac:dyDescent="0.25">
      <c r="A823" s="70"/>
      <c r="B823" s="70"/>
      <c r="C823" s="70"/>
      <c r="U823" s="72"/>
      <c r="AW823" s="73"/>
    </row>
    <row r="824" spans="1:49" ht="15.75" customHeight="1" x14ac:dyDescent="0.25">
      <c r="A824" s="70"/>
      <c r="B824" s="70"/>
      <c r="C824" s="70"/>
      <c r="U824" s="72"/>
      <c r="AW824" s="73"/>
    </row>
    <row r="825" spans="1:49" ht="15.75" customHeight="1" x14ac:dyDescent="0.25">
      <c r="A825" s="70"/>
      <c r="B825" s="70"/>
      <c r="C825" s="70"/>
      <c r="U825" s="72"/>
      <c r="AW825" s="73"/>
    </row>
    <row r="826" spans="1:49" ht="15.75" customHeight="1" x14ac:dyDescent="0.25">
      <c r="A826" s="70"/>
      <c r="B826" s="70"/>
      <c r="C826" s="70"/>
      <c r="U826" s="72"/>
      <c r="AW826" s="73"/>
    </row>
    <row r="827" spans="1:49" ht="15.75" customHeight="1" x14ac:dyDescent="0.25">
      <c r="A827" s="70"/>
      <c r="B827" s="70"/>
      <c r="C827" s="70"/>
      <c r="U827" s="72"/>
      <c r="AW827" s="73"/>
    </row>
    <row r="828" spans="1:49" ht="15.75" customHeight="1" x14ac:dyDescent="0.25">
      <c r="A828" s="70"/>
      <c r="B828" s="70"/>
      <c r="C828" s="70"/>
      <c r="U828" s="72"/>
      <c r="AW828" s="73"/>
    </row>
    <row r="829" spans="1:49" ht="15.75" customHeight="1" x14ac:dyDescent="0.25">
      <c r="A829" s="70"/>
      <c r="B829" s="70"/>
      <c r="C829" s="70"/>
      <c r="U829" s="72"/>
      <c r="AW829" s="73"/>
    </row>
    <row r="830" spans="1:49" ht="15.75" customHeight="1" x14ac:dyDescent="0.25">
      <c r="A830" s="70"/>
      <c r="B830" s="70"/>
      <c r="C830" s="70"/>
      <c r="U830" s="72"/>
      <c r="AW830" s="73"/>
    </row>
    <row r="831" spans="1:49" ht="15.75" customHeight="1" x14ac:dyDescent="0.25">
      <c r="A831" s="70"/>
      <c r="B831" s="70"/>
      <c r="C831" s="70"/>
      <c r="U831" s="72"/>
      <c r="AW831" s="73"/>
    </row>
    <row r="832" spans="1:49" ht="15.75" customHeight="1" x14ac:dyDescent="0.25">
      <c r="A832" s="70"/>
      <c r="B832" s="70"/>
      <c r="C832" s="70"/>
      <c r="U832" s="72"/>
      <c r="AW832" s="73"/>
    </row>
    <row r="833" spans="1:49" ht="15.75" customHeight="1" x14ac:dyDescent="0.25">
      <c r="A833" s="70"/>
      <c r="B833" s="70"/>
      <c r="C833" s="70"/>
      <c r="U833" s="72"/>
      <c r="AW833" s="73"/>
    </row>
    <row r="834" spans="1:49" ht="15.75" customHeight="1" x14ac:dyDescent="0.25">
      <c r="A834" s="70"/>
      <c r="B834" s="70"/>
      <c r="C834" s="70"/>
      <c r="U834" s="72"/>
      <c r="AW834" s="73"/>
    </row>
    <row r="835" spans="1:49" ht="15.75" customHeight="1" x14ac:dyDescent="0.25">
      <c r="A835" s="70"/>
      <c r="B835" s="70"/>
      <c r="C835" s="70"/>
      <c r="U835" s="72"/>
      <c r="AW835" s="73"/>
    </row>
    <row r="836" spans="1:49" ht="15.75" customHeight="1" x14ac:dyDescent="0.25">
      <c r="A836" s="70"/>
      <c r="B836" s="70"/>
      <c r="C836" s="70"/>
      <c r="U836" s="72"/>
      <c r="AW836" s="73"/>
    </row>
    <row r="837" spans="1:49" ht="15.75" customHeight="1" x14ac:dyDescent="0.25">
      <c r="A837" s="70"/>
      <c r="B837" s="70"/>
      <c r="C837" s="70"/>
      <c r="U837" s="72"/>
      <c r="AW837" s="73"/>
    </row>
    <row r="838" spans="1:49" ht="15.75" customHeight="1" x14ac:dyDescent="0.25">
      <c r="A838" s="70"/>
      <c r="B838" s="70"/>
      <c r="C838" s="70"/>
      <c r="U838" s="72"/>
      <c r="AW838" s="73"/>
    </row>
    <row r="839" spans="1:49" ht="15.75" customHeight="1" x14ac:dyDescent="0.25">
      <c r="A839" s="70"/>
      <c r="B839" s="70"/>
      <c r="C839" s="70"/>
      <c r="U839" s="72"/>
      <c r="AW839" s="73"/>
    </row>
    <row r="840" spans="1:49" ht="15.75" customHeight="1" x14ac:dyDescent="0.25">
      <c r="A840" s="70"/>
      <c r="B840" s="70"/>
      <c r="C840" s="70"/>
      <c r="U840" s="72"/>
      <c r="AW840" s="73"/>
    </row>
    <row r="841" spans="1:49" ht="15.75" customHeight="1" x14ac:dyDescent="0.25">
      <c r="A841" s="70"/>
      <c r="B841" s="70"/>
      <c r="C841" s="70"/>
      <c r="U841" s="72"/>
      <c r="AW841" s="73"/>
    </row>
    <row r="842" spans="1:49" ht="15.75" customHeight="1" x14ac:dyDescent="0.25">
      <c r="A842" s="70"/>
      <c r="B842" s="70"/>
      <c r="C842" s="70"/>
      <c r="U842" s="72"/>
      <c r="AW842" s="73"/>
    </row>
    <row r="843" spans="1:49" ht="15.75" customHeight="1" x14ac:dyDescent="0.25">
      <c r="A843" s="70"/>
      <c r="B843" s="70"/>
      <c r="C843" s="70"/>
      <c r="U843" s="72"/>
      <c r="AW843" s="73"/>
    </row>
    <row r="844" spans="1:49" ht="15.75" customHeight="1" x14ac:dyDescent="0.25">
      <c r="A844" s="70"/>
      <c r="B844" s="70"/>
      <c r="C844" s="70"/>
      <c r="U844" s="72"/>
      <c r="AW844" s="73"/>
    </row>
    <row r="845" spans="1:49" ht="15.75" customHeight="1" x14ac:dyDescent="0.25">
      <c r="A845" s="70"/>
      <c r="B845" s="70"/>
      <c r="C845" s="70"/>
      <c r="U845" s="72"/>
      <c r="AW845" s="73"/>
    </row>
    <row r="846" spans="1:49" ht="15.75" customHeight="1" x14ac:dyDescent="0.25">
      <c r="A846" s="70"/>
      <c r="B846" s="70"/>
      <c r="C846" s="70"/>
      <c r="U846" s="72"/>
      <c r="AW846" s="73"/>
    </row>
    <row r="847" spans="1:49" ht="15.75" customHeight="1" x14ac:dyDescent="0.25">
      <c r="A847" s="70"/>
      <c r="B847" s="70"/>
      <c r="C847" s="70"/>
      <c r="U847" s="72"/>
      <c r="AW847" s="73"/>
    </row>
    <row r="848" spans="1:49" ht="15.75" customHeight="1" x14ac:dyDescent="0.25">
      <c r="A848" s="70"/>
      <c r="B848" s="70"/>
      <c r="C848" s="70"/>
      <c r="U848" s="72"/>
      <c r="AW848" s="73"/>
    </row>
    <row r="849" spans="1:49" ht="15.75" customHeight="1" x14ac:dyDescent="0.25">
      <c r="A849" s="70"/>
      <c r="B849" s="70"/>
      <c r="C849" s="70"/>
      <c r="U849" s="72"/>
      <c r="AW849" s="73"/>
    </row>
    <row r="850" spans="1:49" ht="15.75" customHeight="1" x14ac:dyDescent="0.25">
      <c r="A850" s="70"/>
      <c r="B850" s="70"/>
      <c r="C850" s="70"/>
      <c r="U850" s="72"/>
      <c r="AW850" s="73"/>
    </row>
    <row r="851" spans="1:49" ht="15.75" customHeight="1" x14ac:dyDescent="0.25">
      <c r="A851" s="70"/>
      <c r="B851" s="70"/>
      <c r="C851" s="70"/>
      <c r="U851" s="72"/>
      <c r="AW851" s="73"/>
    </row>
    <row r="852" spans="1:49" ht="15.75" customHeight="1" x14ac:dyDescent="0.25">
      <c r="A852" s="70"/>
      <c r="B852" s="70"/>
      <c r="C852" s="70"/>
      <c r="U852" s="72"/>
      <c r="AW852" s="73"/>
    </row>
    <row r="853" spans="1:49" ht="15.75" customHeight="1" x14ac:dyDescent="0.25">
      <c r="A853" s="70"/>
      <c r="B853" s="70"/>
      <c r="C853" s="70"/>
      <c r="U853" s="72"/>
      <c r="AW853" s="73"/>
    </row>
    <row r="854" spans="1:49" ht="15.75" customHeight="1" x14ac:dyDescent="0.25">
      <c r="A854" s="70"/>
      <c r="B854" s="70"/>
      <c r="C854" s="70"/>
      <c r="U854" s="72"/>
      <c r="AW854" s="73"/>
    </row>
    <row r="855" spans="1:49" ht="15.75" customHeight="1" x14ac:dyDescent="0.25">
      <c r="A855" s="70"/>
      <c r="B855" s="70"/>
      <c r="C855" s="70"/>
      <c r="U855" s="72"/>
      <c r="AW855" s="73"/>
    </row>
    <row r="856" spans="1:49" ht="15.75" customHeight="1" x14ac:dyDescent="0.25">
      <c r="A856" s="70"/>
      <c r="B856" s="70"/>
      <c r="C856" s="70"/>
      <c r="U856" s="72"/>
      <c r="AW856" s="73"/>
    </row>
    <row r="857" spans="1:49" ht="15.75" customHeight="1" x14ac:dyDescent="0.25">
      <c r="A857" s="70"/>
      <c r="B857" s="70"/>
      <c r="C857" s="70"/>
      <c r="U857" s="72"/>
      <c r="AW857" s="73"/>
    </row>
    <row r="858" spans="1:49" ht="15.75" customHeight="1" x14ac:dyDescent="0.25">
      <c r="A858" s="70"/>
      <c r="B858" s="70"/>
      <c r="C858" s="70"/>
      <c r="U858" s="72"/>
      <c r="AW858" s="73"/>
    </row>
    <row r="859" spans="1:49" ht="15.75" customHeight="1" x14ac:dyDescent="0.25">
      <c r="A859" s="70"/>
      <c r="B859" s="70"/>
      <c r="C859" s="70"/>
      <c r="U859" s="72"/>
      <c r="AW859" s="73"/>
    </row>
    <row r="860" spans="1:49" ht="15.75" customHeight="1" x14ac:dyDescent="0.25">
      <c r="A860" s="70"/>
      <c r="B860" s="70"/>
      <c r="C860" s="70"/>
      <c r="U860" s="72"/>
      <c r="AW860" s="73"/>
    </row>
    <row r="861" spans="1:49" ht="15.75" customHeight="1" x14ac:dyDescent="0.25">
      <c r="A861" s="70"/>
      <c r="B861" s="70"/>
      <c r="C861" s="70"/>
      <c r="U861" s="72"/>
      <c r="AW861" s="73"/>
    </row>
    <row r="862" spans="1:49" ht="15.75" customHeight="1" x14ac:dyDescent="0.25">
      <c r="A862" s="70"/>
      <c r="B862" s="70"/>
      <c r="C862" s="70"/>
      <c r="U862" s="72"/>
      <c r="AW862" s="73"/>
    </row>
    <row r="863" spans="1:49" ht="15.75" customHeight="1" x14ac:dyDescent="0.25">
      <c r="A863" s="70"/>
      <c r="B863" s="70"/>
      <c r="C863" s="70"/>
      <c r="U863" s="72"/>
      <c r="AW863" s="73"/>
    </row>
    <row r="864" spans="1:49" ht="15.75" customHeight="1" x14ac:dyDescent="0.25">
      <c r="A864" s="70"/>
      <c r="B864" s="70"/>
      <c r="C864" s="70"/>
      <c r="U864" s="72"/>
      <c r="AW864" s="73"/>
    </row>
    <row r="865" spans="1:49" ht="15.75" customHeight="1" x14ac:dyDescent="0.25">
      <c r="A865" s="70"/>
      <c r="B865" s="70"/>
      <c r="C865" s="70"/>
      <c r="U865" s="72"/>
      <c r="AW865" s="73"/>
    </row>
    <row r="866" spans="1:49" ht="15.75" customHeight="1" x14ac:dyDescent="0.25">
      <c r="A866" s="70"/>
      <c r="B866" s="70"/>
      <c r="C866" s="70"/>
      <c r="U866" s="72"/>
      <c r="AW866" s="73"/>
    </row>
    <row r="867" spans="1:49" ht="15.75" customHeight="1" x14ac:dyDescent="0.25">
      <c r="A867" s="70"/>
      <c r="B867" s="70"/>
      <c r="C867" s="70"/>
      <c r="U867" s="72"/>
      <c r="AW867" s="73"/>
    </row>
    <row r="868" spans="1:49" ht="15.75" customHeight="1" x14ac:dyDescent="0.25">
      <c r="A868" s="70"/>
      <c r="B868" s="70"/>
      <c r="C868" s="70"/>
      <c r="U868" s="72"/>
      <c r="AW868" s="73"/>
    </row>
    <row r="869" spans="1:49" ht="15.75" customHeight="1" x14ac:dyDescent="0.25">
      <c r="A869" s="70"/>
      <c r="B869" s="70"/>
      <c r="C869" s="70"/>
      <c r="U869" s="72"/>
      <c r="AW869" s="73"/>
    </row>
    <row r="870" spans="1:49" ht="15.75" customHeight="1" x14ac:dyDescent="0.25">
      <c r="A870" s="70"/>
      <c r="B870" s="70"/>
      <c r="C870" s="70"/>
      <c r="U870" s="72"/>
      <c r="AW870" s="73"/>
    </row>
    <row r="871" spans="1:49" ht="15.75" customHeight="1" x14ac:dyDescent="0.25">
      <c r="A871" s="70"/>
      <c r="B871" s="70"/>
      <c r="C871" s="70"/>
      <c r="U871" s="72"/>
      <c r="AW871" s="73"/>
    </row>
    <row r="872" spans="1:49" ht="15.75" customHeight="1" x14ac:dyDescent="0.25">
      <c r="A872" s="70"/>
      <c r="B872" s="70"/>
      <c r="C872" s="70"/>
      <c r="U872" s="72"/>
      <c r="AW872" s="73"/>
    </row>
    <row r="873" spans="1:49" ht="15.75" customHeight="1" x14ac:dyDescent="0.25">
      <c r="A873" s="70"/>
      <c r="B873" s="70"/>
      <c r="C873" s="70"/>
      <c r="U873" s="72"/>
      <c r="AW873" s="73"/>
    </row>
    <row r="874" spans="1:49" ht="15.75" customHeight="1" x14ac:dyDescent="0.25">
      <c r="A874" s="70"/>
      <c r="B874" s="70"/>
      <c r="C874" s="70"/>
      <c r="U874" s="72"/>
      <c r="AW874" s="73"/>
    </row>
    <row r="875" spans="1:49" ht="15.75" customHeight="1" x14ac:dyDescent="0.25">
      <c r="A875" s="70"/>
      <c r="B875" s="70"/>
      <c r="C875" s="70"/>
      <c r="U875" s="72"/>
      <c r="AW875" s="73"/>
    </row>
    <row r="876" spans="1:49" ht="15.75" customHeight="1" x14ac:dyDescent="0.25">
      <c r="A876" s="70"/>
      <c r="B876" s="70"/>
      <c r="C876" s="70"/>
      <c r="U876" s="72"/>
      <c r="AW876" s="73"/>
    </row>
    <row r="877" spans="1:49" ht="15.75" customHeight="1" x14ac:dyDescent="0.25">
      <c r="A877" s="70"/>
      <c r="B877" s="70"/>
      <c r="C877" s="70"/>
      <c r="U877" s="72"/>
      <c r="AW877" s="73"/>
    </row>
    <row r="878" spans="1:49" ht="15.75" customHeight="1" x14ac:dyDescent="0.25">
      <c r="A878" s="70"/>
      <c r="B878" s="70"/>
      <c r="C878" s="70"/>
      <c r="U878" s="72"/>
      <c r="AW878" s="73"/>
    </row>
    <row r="879" spans="1:49" ht="15.75" customHeight="1" x14ac:dyDescent="0.25">
      <c r="A879" s="70"/>
      <c r="B879" s="70"/>
      <c r="C879" s="70"/>
      <c r="U879" s="72"/>
      <c r="AW879" s="73"/>
    </row>
    <row r="880" spans="1:49" ht="15.75" customHeight="1" x14ac:dyDescent="0.25">
      <c r="A880" s="70"/>
      <c r="B880" s="70"/>
      <c r="C880" s="70"/>
      <c r="U880" s="72"/>
      <c r="AW880" s="73"/>
    </row>
    <row r="881" spans="1:49" ht="15.75" customHeight="1" x14ac:dyDescent="0.25">
      <c r="A881" s="70"/>
      <c r="B881" s="70"/>
      <c r="C881" s="70"/>
      <c r="U881" s="72"/>
      <c r="AW881" s="73"/>
    </row>
    <row r="882" spans="1:49" ht="15.75" customHeight="1" x14ac:dyDescent="0.25">
      <c r="A882" s="70"/>
      <c r="B882" s="70"/>
      <c r="C882" s="70"/>
      <c r="U882" s="72"/>
      <c r="AW882" s="73"/>
    </row>
    <row r="883" spans="1:49" ht="15.75" customHeight="1" x14ac:dyDescent="0.25">
      <c r="A883" s="70"/>
      <c r="B883" s="70"/>
      <c r="C883" s="70"/>
      <c r="U883" s="72"/>
      <c r="AW883" s="73"/>
    </row>
    <row r="884" spans="1:49" ht="15.75" customHeight="1" x14ac:dyDescent="0.25">
      <c r="A884" s="70"/>
      <c r="B884" s="70"/>
      <c r="C884" s="70"/>
      <c r="U884" s="72"/>
      <c r="AW884" s="73"/>
    </row>
    <row r="885" spans="1:49" ht="15.75" customHeight="1" x14ac:dyDescent="0.25">
      <c r="A885" s="70"/>
      <c r="B885" s="70"/>
      <c r="C885" s="70"/>
      <c r="U885" s="72"/>
      <c r="AW885" s="73"/>
    </row>
    <row r="886" spans="1:49" ht="15.75" customHeight="1" x14ac:dyDescent="0.25">
      <c r="A886" s="70"/>
      <c r="B886" s="70"/>
      <c r="C886" s="70"/>
      <c r="U886" s="72"/>
      <c r="AW886" s="73"/>
    </row>
    <row r="887" spans="1:49" ht="15.75" customHeight="1" x14ac:dyDescent="0.25">
      <c r="A887" s="70"/>
      <c r="B887" s="70"/>
      <c r="C887" s="70"/>
      <c r="U887" s="72"/>
      <c r="AW887" s="73"/>
    </row>
    <row r="888" spans="1:49" ht="15.75" customHeight="1" x14ac:dyDescent="0.25">
      <c r="A888" s="70"/>
      <c r="B888" s="70"/>
      <c r="C888" s="70"/>
      <c r="U888" s="72"/>
      <c r="AW888" s="73"/>
    </row>
    <row r="889" spans="1:49" ht="15.75" customHeight="1" x14ac:dyDescent="0.25">
      <c r="A889" s="70"/>
      <c r="B889" s="70"/>
      <c r="C889" s="70"/>
      <c r="U889" s="72"/>
      <c r="AW889" s="73"/>
    </row>
    <row r="890" spans="1:49" ht="15.75" customHeight="1" x14ac:dyDescent="0.25">
      <c r="A890" s="70"/>
      <c r="B890" s="70"/>
      <c r="C890" s="70"/>
      <c r="U890" s="72"/>
      <c r="AW890" s="73"/>
    </row>
    <row r="891" spans="1:49" ht="15.75" customHeight="1" x14ac:dyDescent="0.25">
      <c r="A891" s="70"/>
      <c r="B891" s="70"/>
      <c r="C891" s="70"/>
      <c r="U891" s="72"/>
      <c r="AW891" s="73"/>
    </row>
    <row r="892" spans="1:49" ht="15.75" customHeight="1" x14ac:dyDescent="0.25">
      <c r="A892" s="70"/>
      <c r="B892" s="70"/>
      <c r="C892" s="70"/>
      <c r="U892" s="72"/>
      <c r="AW892" s="73"/>
    </row>
    <row r="893" spans="1:49" ht="15.75" customHeight="1" x14ac:dyDescent="0.25">
      <c r="A893" s="70"/>
      <c r="B893" s="70"/>
      <c r="C893" s="70"/>
      <c r="U893" s="72"/>
      <c r="AW893" s="73"/>
    </row>
    <row r="894" spans="1:49" ht="15.75" customHeight="1" x14ac:dyDescent="0.25">
      <c r="A894" s="70"/>
      <c r="B894" s="70"/>
      <c r="C894" s="70"/>
      <c r="U894" s="72"/>
      <c r="AW894" s="73"/>
    </row>
    <row r="895" spans="1:49" ht="15.75" customHeight="1" x14ac:dyDescent="0.25">
      <c r="A895" s="70"/>
      <c r="B895" s="70"/>
      <c r="C895" s="70"/>
      <c r="U895" s="72"/>
      <c r="AW895" s="73"/>
    </row>
    <row r="896" spans="1:49" ht="15.75" customHeight="1" x14ac:dyDescent="0.25">
      <c r="A896" s="70"/>
      <c r="B896" s="70"/>
      <c r="C896" s="70"/>
      <c r="U896" s="72"/>
      <c r="AW896" s="73"/>
    </row>
    <row r="897" spans="1:49" ht="15.75" customHeight="1" x14ac:dyDescent="0.25">
      <c r="A897" s="70"/>
      <c r="B897" s="70"/>
      <c r="C897" s="70"/>
      <c r="U897" s="72"/>
      <c r="AW897" s="73"/>
    </row>
    <row r="898" spans="1:49" ht="15.75" customHeight="1" x14ac:dyDescent="0.25">
      <c r="A898" s="70"/>
      <c r="B898" s="70"/>
      <c r="C898" s="70"/>
      <c r="U898" s="72"/>
      <c r="AW898" s="73"/>
    </row>
    <row r="899" spans="1:49" ht="15.75" customHeight="1" x14ac:dyDescent="0.25">
      <c r="A899" s="70"/>
      <c r="B899" s="70"/>
      <c r="C899" s="70"/>
      <c r="U899" s="72"/>
      <c r="AW899" s="73"/>
    </row>
    <row r="900" spans="1:49" ht="15.75" customHeight="1" x14ac:dyDescent="0.25">
      <c r="A900" s="70"/>
      <c r="B900" s="70"/>
      <c r="C900" s="70"/>
      <c r="U900" s="72"/>
      <c r="AW900" s="73"/>
    </row>
    <row r="901" spans="1:49" ht="15.75" customHeight="1" x14ac:dyDescent="0.25">
      <c r="A901" s="70"/>
      <c r="B901" s="70"/>
      <c r="C901" s="70"/>
      <c r="U901" s="72"/>
      <c r="AW901" s="73"/>
    </row>
    <row r="902" spans="1:49" ht="15.75" customHeight="1" x14ac:dyDescent="0.25">
      <c r="A902" s="70"/>
      <c r="B902" s="70"/>
      <c r="C902" s="70"/>
      <c r="U902" s="72"/>
      <c r="AW902" s="73"/>
    </row>
    <row r="903" spans="1:49" ht="15.75" customHeight="1" x14ac:dyDescent="0.25">
      <c r="A903" s="70"/>
      <c r="B903" s="70"/>
      <c r="C903" s="70"/>
      <c r="U903" s="72"/>
      <c r="AW903" s="73"/>
    </row>
    <row r="904" spans="1:49" ht="15.75" customHeight="1" x14ac:dyDescent="0.25">
      <c r="A904" s="70"/>
      <c r="B904" s="70"/>
      <c r="C904" s="70"/>
      <c r="U904" s="72"/>
      <c r="AW904" s="73"/>
    </row>
    <row r="905" spans="1:49" ht="15.75" customHeight="1" x14ac:dyDescent="0.25">
      <c r="A905" s="70"/>
      <c r="B905" s="70"/>
      <c r="C905" s="70"/>
      <c r="U905" s="72"/>
      <c r="AW905" s="73"/>
    </row>
    <row r="906" spans="1:49" ht="15.75" customHeight="1" x14ac:dyDescent="0.25">
      <c r="A906" s="70"/>
      <c r="B906" s="70"/>
      <c r="C906" s="70"/>
      <c r="U906" s="72"/>
      <c r="AW906" s="73"/>
    </row>
    <row r="907" spans="1:49" ht="15.75" customHeight="1" x14ac:dyDescent="0.25">
      <c r="A907" s="70"/>
      <c r="B907" s="70"/>
      <c r="C907" s="70"/>
      <c r="U907" s="72"/>
      <c r="AW907" s="73"/>
    </row>
    <row r="908" spans="1:49" ht="15.75" customHeight="1" x14ac:dyDescent="0.25">
      <c r="A908" s="70"/>
      <c r="B908" s="70"/>
      <c r="C908" s="70"/>
      <c r="U908" s="72"/>
      <c r="AW908" s="73"/>
    </row>
    <row r="909" spans="1:49" ht="15.75" customHeight="1" x14ac:dyDescent="0.25">
      <c r="A909" s="70"/>
      <c r="B909" s="70"/>
      <c r="C909" s="70"/>
      <c r="U909" s="72"/>
      <c r="AW909" s="73"/>
    </row>
    <row r="910" spans="1:49" ht="15.75" customHeight="1" x14ac:dyDescent="0.25">
      <c r="A910" s="70"/>
      <c r="B910" s="70"/>
      <c r="C910" s="70"/>
      <c r="U910" s="72"/>
      <c r="AW910" s="73"/>
    </row>
    <row r="911" spans="1:49" ht="15.75" customHeight="1" x14ac:dyDescent="0.25">
      <c r="A911" s="70"/>
      <c r="B911" s="70"/>
      <c r="C911" s="70"/>
      <c r="U911" s="72"/>
      <c r="AW911" s="73"/>
    </row>
    <row r="912" spans="1:49" ht="15.75" customHeight="1" x14ac:dyDescent="0.25">
      <c r="A912" s="70"/>
      <c r="B912" s="70"/>
      <c r="C912" s="70"/>
      <c r="U912" s="72"/>
      <c r="AW912" s="73"/>
    </row>
    <row r="913" spans="1:49" ht="15.75" customHeight="1" x14ac:dyDescent="0.25">
      <c r="A913" s="70"/>
      <c r="B913" s="70"/>
      <c r="C913" s="70"/>
      <c r="U913" s="72"/>
      <c r="AW913" s="73"/>
    </row>
    <row r="914" spans="1:49" ht="15.75" customHeight="1" x14ac:dyDescent="0.25">
      <c r="A914" s="70"/>
      <c r="B914" s="70"/>
      <c r="C914" s="70"/>
      <c r="U914" s="72"/>
      <c r="AW914" s="73"/>
    </row>
    <row r="915" spans="1:49" ht="15.75" customHeight="1" x14ac:dyDescent="0.25">
      <c r="A915" s="70"/>
      <c r="B915" s="70"/>
      <c r="C915" s="70"/>
      <c r="U915" s="72"/>
      <c r="AW915" s="73"/>
    </row>
    <row r="916" spans="1:49" ht="15.75" customHeight="1" x14ac:dyDescent="0.25">
      <c r="A916" s="70"/>
      <c r="B916" s="70"/>
      <c r="C916" s="70"/>
      <c r="U916" s="72"/>
      <c r="AW916" s="73"/>
    </row>
    <row r="917" spans="1:49" ht="15.75" customHeight="1" x14ac:dyDescent="0.25">
      <c r="A917" s="70"/>
      <c r="B917" s="70"/>
      <c r="C917" s="70"/>
      <c r="U917" s="72"/>
      <c r="AW917" s="73"/>
    </row>
    <row r="918" spans="1:49" ht="15.75" customHeight="1" x14ac:dyDescent="0.25">
      <c r="A918" s="70"/>
      <c r="B918" s="70"/>
      <c r="C918" s="70"/>
      <c r="U918" s="72"/>
      <c r="AW918" s="73"/>
    </row>
    <row r="919" spans="1:49" ht="15.75" customHeight="1" x14ac:dyDescent="0.25">
      <c r="A919" s="70"/>
      <c r="B919" s="70"/>
      <c r="C919" s="70"/>
      <c r="U919" s="72"/>
      <c r="AW919" s="73"/>
    </row>
    <row r="920" spans="1:49" ht="15.75" customHeight="1" x14ac:dyDescent="0.25">
      <c r="A920" s="70"/>
      <c r="B920" s="70"/>
      <c r="C920" s="70"/>
      <c r="U920" s="72"/>
      <c r="AW920" s="73"/>
    </row>
    <row r="921" spans="1:49" ht="15.75" customHeight="1" x14ac:dyDescent="0.25">
      <c r="A921" s="70"/>
      <c r="B921" s="70"/>
      <c r="C921" s="70"/>
      <c r="U921" s="72"/>
      <c r="AW921" s="73"/>
    </row>
    <row r="922" spans="1:49" ht="15.75" customHeight="1" x14ac:dyDescent="0.25">
      <c r="A922" s="70"/>
      <c r="B922" s="70"/>
      <c r="C922" s="70"/>
      <c r="U922" s="72"/>
      <c r="AW922" s="73"/>
    </row>
    <row r="923" spans="1:49" ht="15.75" customHeight="1" x14ac:dyDescent="0.25">
      <c r="A923" s="70"/>
      <c r="B923" s="70"/>
      <c r="C923" s="70"/>
      <c r="U923" s="72"/>
      <c r="AW923" s="73"/>
    </row>
    <row r="924" spans="1:49" ht="15.75" customHeight="1" x14ac:dyDescent="0.25">
      <c r="A924" s="70"/>
      <c r="B924" s="70"/>
      <c r="C924" s="70"/>
      <c r="U924" s="72"/>
      <c r="AW924" s="73"/>
    </row>
    <row r="925" spans="1:49" ht="15.75" customHeight="1" x14ac:dyDescent="0.25">
      <c r="A925" s="70"/>
      <c r="B925" s="70"/>
      <c r="C925" s="70"/>
      <c r="U925" s="72"/>
      <c r="AW925" s="73"/>
    </row>
    <row r="926" spans="1:49" ht="15.75" customHeight="1" x14ac:dyDescent="0.25">
      <c r="A926" s="70"/>
      <c r="B926" s="70"/>
      <c r="C926" s="70"/>
      <c r="U926" s="72"/>
      <c r="AW926" s="73"/>
    </row>
    <row r="927" spans="1:49" ht="15.75" customHeight="1" x14ac:dyDescent="0.25">
      <c r="A927" s="70"/>
      <c r="B927" s="70"/>
      <c r="C927" s="70"/>
      <c r="U927" s="72"/>
      <c r="AW927" s="73"/>
    </row>
    <row r="928" spans="1:49" ht="15.75" customHeight="1" x14ac:dyDescent="0.25">
      <c r="A928" s="70"/>
      <c r="B928" s="70"/>
      <c r="C928" s="70"/>
      <c r="U928" s="72"/>
      <c r="AW928" s="73"/>
    </row>
    <row r="929" spans="1:49" ht="15.75" customHeight="1" x14ac:dyDescent="0.25">
      <c r="A929" s="70"/>
      <c r="B929" s="70"/>
      <c r="C929" s="70"/>
      <c r="U929" s="72"/>
      <c r="AW929" s="73"/>
    </row>
    <row r="930" spans="1:49" ht="15.75" customHeight="1" x14ac:dyDescent="0.25">
      <c r="A930" s="70"/>
      <c r="B930" s="70"/>
      <c r="C930" s="70"/>
      <c r="U930" s="72"/>
      <c r="AW930" s="73"/>
    </row>
    <row r="931" spans="1:49" ht="15.75" customHeight="1" x14ac:dyDescent="0.25">
      <c r="A931" s="70"/>
      <c r="B931" s="70"/>
      <c r="C931" s="70"/>
      <c r="U931" s="72"/>
      <c r="AW931" s="73"/>
    </row>
    <row r="932" spans="1:49" ht="15.75" customHeight="1" x14ac:dyDescent="0.25">
      <c r="A932" s="70"/>
      <c r="B932" s="70"/>
      <c r="C932" s="70"/>
      <c r="U932" s="72"/>
      <c r="AW932" s="73"/>
    </row>
    <row r="933" spans="1:49" ht="15.75" customHeight="1" x14ac:dyDescent="0.25">
      <c r="A933" s="70"/>
      <c r="B933" s="70"/>
      <c r="C933" s="70"/>
      <c r="U933" s="72"/>
      <c r="AW933" s="73"/>
    </row>
    <row r="934" spans="1:49" ht="15.75" customHeight="1" x14ac:dyDescent="0.25">
      <c r="A934" s="70"/>
      <c r="B934" s="70"/>
      <c r="C934" s="70"/>
      <c r="U934" s="72"/>
      <c r="AW934" s="73"/>
    </row>
    <row r="935" spans="1:49" ht="15.75" customHeight="1" x14ac:dyDescent="0.25">
      <c r="A935" s="70"/>
      <c r="B935" s="70"/>
      <c r="C935" s="70"/>
      <c r="U935" s="72"/>
      <c r="AW935" s="73"/>
    </row>
    <row r="936" spans="1:49" ht="15.75" customHeight="1" x14ac:dyDescent="0.25">
      <c r="A936" s="70"/>
      <c r="B936" s="70"/>
      <c r="C936" s="70"/>
      <c r="U936" s="72"/>
      <c r="AW936" s="73"/>
    </row>
    <row r="937" spans="1:49" ht="15.75" customHeight="1" x14ac:dyDescent="0.25">
      <c r="A937" s="70"/>
      <c r="B937" s="70"/>
      <c r="C937" s="70"/>
      <c r="U937" s="72"/>
      <c r="AW937" s="73"/>
    </row>
    <row r="938" spans="1:49" ht="15.75" customHeight="1" x14ac:dyDescent="0.25">
      <c r="A938" s="70"/>
      <c r="B938" s="70"/>
      <c r="C938" s="70"/>
      <c r="U938" s="72"/>
      <c r="AW938" s="73"/>
    </row>
    <row r="939" spans="1:49" ht="15.75" customHeight="1" x14ac:dyDescent="0.25">
      <c r="A939" s="70"/>
      <c r="B939" s="70"/>
      <c r="C939" s="70"/>
      <c r="U939" s="72"/>
      <c r="AW939" s="73"/>
    </row>
    <row r="940" spans="1:49" ht="15.75" customHeight="1" x14ac:dyDescent="0.25">
      <c r="A940" s="70"/>
      <c r="B940" s="70"/>
      <c r="C940" s="70"/>
      <c r="U940" s="72"/>
      <c r="AW940" s="73"/>
    </row>
    <row r="941" spans="1:49" ht="15.75" customHeight="1" x14ac:dyDescent="0.25">
      <c r="A941" s="70"/>
      <c r="B941" s="70"/>
      <c r="C941" s="70"/>
      <c r="U941" s="72"/>
      <c r="AW941" s="73"/>
    </row>
    <row r="942" spans="1:49" ht="15.75" customHeight="1" x14ac:dyDescent="0.25">
      <c r="A942" s="70"/>
      <c r="B942" s="70"/>
      <c r="C942" s="70"/>
      <c r="U942" s="72"/>
      <c r="AW942" s="73"/>
    </row>
    <row r="943" spans="1:49" ht="15.75" customHeight="1" x14ac:dyDescent="0.25">
      <c r="A943" s="70"/>
      <c r="B943" s="70"/>
      <c r="C943" s="70"/>
      <c r="U943" s="72"/>
      <c r="AW943" s="73"/>
    </row>
    <row r="944" spans="1:49" ht="15.75" customHeight="1" x14ac:dyDescent="0.25">
      <c r="A944" s="70"/>
      <c r="B944" s="70"/>
      <c r="C944" s="70"/>
      <c r="U944" s="72"/>
      <c r="AW944" s="73"/>
    </row>
    <row r="945" spans="1:49" ht="15.75" customHeight="1" x14ac:dyDescent="0.25">
      <c r="A945" s="70"/>
      <c r="B945" s="70"/>
      <c r="C945" s="70"/>
      <c r="U945" s="72"/>
      <c r="AW945" s="73"/>
    </row>
    <row r="946" spans="1:49" ht="15.75" customHeight="1" x14ac:dyDescent="0.25">
      <c r="A946" s="70"/>
      <c r="B946" s="70"/>
      <c r="C946" s="70"/>
      <c r="U946" s="72"/>
      <c r="AW946" s="73"/>
    </row>
    <row r="947" spans="1:49" ht="15.75" customHeight="1" x14ac:dyDescent="0.25">
      <c r="A947" s="70"/>
      <c r="B947" s="70"/>
      <c r="C947" s="70"/>
      <c r="U947" s="72"/>
      <c r="AW947" s="73"/>
    </row>
    <row r="948" spans="1:49" ht="15.75" customHeight="1" x14ac:dyDescent="0.25">
      <c r="A948" s="70"/>
      <c r="B948" s="70"/>
      <c r="C948" s="70"/>
      <c r="U948" s="72"/>
      <c r="AW948" s="73"/>
    </row>
    <row r="949" spans="1:49" ht="15.75" customHeight="1" x14ac:dyDescent="0.25">
      <c r="A949" s="70"/>
      <c r="B949" s="70"/>
      <c r="C949" s="70"/>
      <c r="U949" s="72"/>
      <c r="AW949" s="73"/>
    </row>
    <row r="950" spans="1:49" ht="15.75" customHeight="1" x14ac:dyDescent="0.25">
      <c r="A950" s="70"/>
      <c r="B950" s="70"/>
      <c r="C950" s="70"/>
      <c r="U950" s="72"/>
      <c r="AW950" s="73"/>
    </row>
    <row r="951" spans="1:49" ht="15.75" customHeight="1" x14ac:dyDescent="0.25">
      <c r="A951" s="70"/>
      <c r="B951" s="70"/>
      <c r="C951" s="70"/>
      <c r="U951" s="72"/>
      <c r="AW951" s="73"/>
    </row>
    <row r="952" spans="1:49" ht="15.75" customHeight="1" x14ac:dyDescent="0.25">
      <c r="A952" s="70"/>
      <c r="B952" s="70"/>
      <c r="C952" s="70"/>
      <c r="U952" s="72"/>
      <c r="AW952" s="73"/>
    </row>
    <row r="953" spans="1:49" ht="15.75" customHeight="1" x14ac:dyDescent="0.25">
      <c r="A953" s="70"/>
      <c r="B953" s="70"/>
      <c r="C953" s="70"/>
      <c r="U953" s="72"/>
      <c r="AW953" s="73"/>
    </row>
    <row r="954" spans="1:49" ht="15.75" customHeight="1" x14ac:dyDescent="0.25">
      <c r="A954" s="70"/>
      <c r="B954" s="70"/>
      <c r="C954" s="70"/>
      <c r="U954" s="72"/>
      <c r="AW954" s="73"/>
    </row>
    <row r="955" spans="1:49" ht="15.75" customHeight="1" x14ac:dyDescent="0.25">
      <c r="A955" s="70"/>
      <c r="B955" s="70"/>
      <c r="C955" s="70"/>
      <c r="U955" s="72"/>
      <c r="AW955" s="73"/>
    </row>
    <row r="956" spans="1:49" ht="15.75" customHeight="1" x14ac:dyDescent="0.25">
      <c r="A956" s="70"/>
      <c r="B956" s="70"/>
      <c r="C956" s="70"/>
      <c r="U956" s="72"/>
      <c r="AW956" s="73"/>
    </row>
    <row r="957" spans="1:49" ht="15.75" customHeight="1" x14ac:dyDescent="0.25">
      <c r="A957" s="70"/>
      <c r="B957" s="70"/>
      <c r="C957" s="70"/>
      <c r="U957" s="72"/>
      <c r="AW957" s="73"/>
    </row>
    <row r="958" spans="1:49" ht="15.75" customHeight="1" x14ac:dyDescent="0.25">
      <c r="A958" s="70"/>
      <c r="B958" s="70"/>
      <c r="C958" s="70"/>
      <c r="U958" s="72"/>
      <c r="AW958" s="73"/>
    </row>
    <row r="959" spans="1:49" ht="15.75" customHeight="1" x14ac:dyDescent="0.25">
      <c r="A959" s="70"/>
      <c r="B959" s="70"/>
      <c r="C959" s="70"/>
      <c r="U959" s="72"/>
      <c r="AW959" s="73"/>
    </row>
    <row r="960" spans="1:49" ht="15.75" customHeight="1" x14ac:dyDescent="0.25">
      <c r="A960" s="70"/>
      <c r="B960" s="70"/>
      <c r="C960" s="70"/>
    </row>
    <row r="961" spans="1:3" ht="15.75" customHeight="1" x14ac:dyDescent="0.25">
      <c r="A961" s="70"/>
      <c r="B961" s="70"/>
      <c r="C961" s="70"/>
    </row>
    <row r="962" spans="1:3" ht="15.75" customHeight="1" x14ac:dyDescent="0.25">
      <c r="A962" s="70"/>
      <c r="B962" s="70"/>
      <c r="C962" s="70"/>
    </row>
    <row r="963" spans="1:3" ht="15.75" customHeight="1" x14ac:dyDescent="0.25">
      <c r="A963" s="70"/>
      <c r="B963" s="70"/>
      <c r="C963" s="70"/>
    </row>
    <row r="964" spans="1:3" ht="15.75" customHeight="1" x14ac:dyDescent="0.25">
      <c r="A964" s="70"/>
      <c r="B964" s="70"/>
      <c r="C964" s="70"/>
    </row>
    <row r="965" spans="1:3" ht="15.75" customHeight="1" x14ac:dyDescent="0.25">
      <c r="A965" s="70"/>
      <c r="B965" s="70"/>
      <c r="C965" s="70"/>
    </row>
    <row r="966" spans="1:3" ht="15.75" customHeight="1" x14ac:dyDescent="0.25">
      <c r="A966" s="70"/>
      <c r="B966" s="70"/>
      <c r="C966" s="70"/>
    </row>
    <row r="967" spans="1:3" ht="15.75" customHeight="1" x14ac:dyDescent="0.25">
      <c r="A967" s="70"/>
      <c r="B967" s="70"/>
      <c r="C967" s="70"/>
    </row>
    <row r="968" spans="1:3" ht="15.75" customHeight="1" x14ac:dyDescent="0.25">
      <c r="A968" s="70"/>
      <c r="B968" s="70"/>
      <c r="C968" s="70"/>
    </row>
    <row r="969" spans="1:3" ht="15.75" customHeight="1" x14ac:dyDescent="0.25">
      <c r="A969" s="70"/>
      <c r="B969" s="70"/>
      <c r="C969" s="70"/>
    </row>
    <row r="970" spans="1:3" ht="15.75" customHeight="1" x14ac:dyDescent="0.25">
      <c r="A970" s="70"/>
      <c r="B970" s="70"/>
      <c r="C970" s="70"/>
    </row>
    <row r="971" spans="1:3" ht="15.75" customHeight="1" x14ac:dyDescent="0.25">
      <c r="A971" s="70"/>
      <c r="B971" s="70"/>
      <c r="C971" s="70"/>
    </row>
    <row r="972" spans="1:3" ht="15.75" customHeight="1" x14ac:dyDescent="0.25">
      <c r="A972" s="70"/>
      <c r="B972" s="70"/>
      <c r="C972" s="70"/>
    </row>
    <row r="973" spans="1:3" ht="15.75" customHeight="1" x14ac:dyDescent="0.25">
      <c r="A973" s="70"/>
      <c r="B973" s="70"/>
      <c r="C973" s="70"/>
    </row>
    <row r="974" spans="1:3" ht="15.75" customHeight="1" x14ac:dyDescent="0.25">
      <c r="A974" s="70"/>
      <c r="B974" s="70"/>
      <c r="C974" s="70"/>
    </row>
    <row r="975" spans="1:3" ht="15.75" customHeight="1" x14ac:dyDescent="0.25">
      <c r="A975" s="70"/>
      <c r="B975" s="70"/>
      <c r="C975" s="70"/>
    </row>
    <row r="976" spans="1:3" ht="15.75" customHeight="1" x14ac:dyDescent="0.25">
      <c r="A976" s="70"/>
      <c r="B976" s="70"/>
      <c r="C976" s="70"/>
    </row>
    <row r="977" spans="1:3" ht="15.75" customHeight="1" x14ac:dyDescent="0.25">
      <c r="A977" s="70"/>
      <c r="B977" s="70"/>
      <c r="C977" s="70"/>
    </row>
    <row r="978" spans="1:3" ht="15.75" customHeight="1" x14ac:dyDescent="0.25">
      <c r="A978" s="70"/>
      <c r="B978" s="70"/>
      <c r="C978" s="70"/>
    </row>
    <row r="979" spans="1:3" ht="15.75" customHeight="1" x14ac:dyDescent="0.25">
      <c r="A979" s="70"/>
      <c r="B979" s="70"/>
      <c r="C979" s="70"/>
    </row>
    <row r="980" spans="1:3" ht="15.75" customHeight="1" x14ac:dyDescent="0.25">
      <c r="A980" s="70"/>
      <c r="B980" s="70"/>
      <c r="C980" s="70"/>
    </row>
    <row r="981" spans="1:3" ht="15.75" customHeight="1" x14ac:dyDescent="0.25">
      <c r="A981" s="70"/>
      <c r="B981" s="70"/>
      <c r="C981" s="70"/>
    </row>
    <row r="982" spans="1:3" ht="15.75" customHeight="1" x14ac:dyDescent="0.25">
      <c r="A982" s="70"/>
      <c r="B982" s="70"/>
      <c r="C982" s="70"/>
    </row>
    <row r="983" spans="1:3" ht="15.75" customHeight="1" x14ac:dyDescent="0.25">
      <c r="A983" s="70"/>
      <c r="B983" s="70"/>
      <c r="C983" s="70"/>
    </row>
    <row r="984" spans="1:3" ht="15.75" customHeight="1" x14ac:dyDescent="0.25">
      <c r="A984" s="70"/>
      <c r="B984" s="70"/>
      <c r="C984" s="70"/>
    </row>
    <row r="985" spans="1:3" ht="15.75" customHeight="1" x14ac:dyDescent="0.25">
      <c r="A985" s="70"/>
      <c r="B985" s="70"/>
      <c r="C985" s="70"/>
    </row>
    <row r="986" spans="1:3" ht="15.75" customHeight="1" x14ac:dyDescent="0.25">
      <c r="A986" s="70"/>
      <c r="B986" s="70"/>
      <c r="C986" s="70"/>
    </row>
    <row r="987" spans="1:3" ht="15.75" customHeight="1" x14ac:dyDescent="0.25">
      <c r="A987" s="70"/>
      <c r="B987" s="70"/>
      <c r="C987" s="70"/>
    </row>
    <row r="988" spans="1:3" ht="15.75" customHeight="1" x14ac:dyDescent="0.25">
      <c r="A988" s="70"/>
      <c r="B988" s="70"/>
      <c r="C988" s="70"/>
    </row>
    <row r="989" spans="1:3" ht="15.75" customHeight="1" x14ac:dyDescent="0.25">
      <c r="A989" s="70"/>
      <c r="B989" s="70"/>
      <c r="C989" s="70"/>
    </row>
    <row r="990" spans="1:3" ht="15.75" customHeight="1" x14ac:dyDescent="0.25">
      <c r="A990" s="70"/>
      <c r="B990" s="70"/>
      <c r="C990" s="70"/>
    </row>
    <row r="991" spans="1:3" ht="15.75" customHeight="1" x14ac:dyDescent="0.25">
      <c r="A991" s="70"/>
      <c r="B991" s="70"/>
      <c r="C991" s="70"/>
    </row>
  </sheetData>
  <autoFilter ref="A1:AX60"/>
  <conditionalFormatting sqref="G1:G959">
    <cfRule type="notContainsBlanks" dxfId="0" priority="1">
      <formula>LEN(TRIM(G1))&gt;0</formula>
    </cfRule>
  </conditionalFormatting>
  <pageMargins left="0.11811023622047245" right="0.11811023622047245" top="0.15748031496062992" bottom="0.15748031496062992" header="0" footer="0"/>
  <pageSetup paperSize="14" orientation="portrait"/>
  <extLst>
    <ext xmlns:x14="http://schemas.microsoft.com/office/spreadsheetml/2009/9/main" uri="{CCE6A557-97BC-4b89-ADB6-D9C93CAAB3DF}">
      <x14:dataValidations xmlns:xm="http://schemas.microsoft.com/office/excel/2006/main" count="1">
        <x14:dataValidation type="list" allowBlank="1" showErrorMessage="1">
          <x14:formula1>
            <xm:f>'Feriados y Comunas'!$C$2:$C$36</xm:f>
          </x14:formula1>
          <xm:sqref>E2:F25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workbookViewId="0"/>
  </sheetViews>
  <sheetFormatPr baseColWidth="10" defaultColWidth="14.42578125" defaultRowHeight="15" customHeight="1" x14ac:dyDescent="0.25"/>
  <cols>
    <col min="1" max="2" width="10.7109375" customWidth="1"/>
    <col min="3" max="3" width="18.7109375" customWidth="1"/>
    <col min="4" max="4" width="12.28515625" customWidth="1"/>
    <col min="5" max="5" width="15.140625" customWidth="1"/>
    <col min="6" max="26" width="10.7109375" customWidth="1"/>
  </cols>
  <sheetData>
    <row r="1" spans="1:4" x14ac:dyDescent="0.25">
      <c r="A1" s="1" t="s">
        <v>0</v>
      </c>
      <c r="C1" s="3" t="s">
        <v>1</v>
      </c>
      <c r="D1" s="3" t="s">
        <v>3</v>
      </c>
    </row>
    <row r="2" spans="1:4" x14ac:dyDescent="0.25">
      <c r="A2" s="4">
        <v>45658</v>
      </c>
      <c r="C2" s="1" t="s">
        <v>4</v>
      </c>
      <c r="D2" s="1" t="s">
        <v>6</v>
      </c>
    </row>
    <row r="3" spans="1:4" x14ac:dyDescent="0.25">
      <c r="A3" s="4">
        <v>45765</v>
      </c>
      <c r="C3" s="1" t="s">
        <v>7</v>
      </c>
      <c r="D3" s="1" t="s">
        <v>6</v>
      </c>
    </row>
    <row r="4" spans="1:4" x14ac:dyDescent="0.25">
      <c r="A4" s="4">
        <v>45778</v>
      </c>
      <c r="C4" s="1" t="s">
        <v>9</v>
      </c>
      <c r="D4" s="1" t="s">
        <v>6</v>
      </c>
    </row>
    <row r="5" spans="1:4" x14ac:dyDescent="0.25">
      <c r="A5" s="4">
        <v>45798</v>
      </c>
      <c r="C5" s="1" t="s">
        <v>10</v>
      </c>
      <c r="D5" s="1" t="s">
        <v>6</v>
      </c>
    </row>
    <row r="6" spans="1:4" x14ac:dyDescent="0.25">
      <c r="A6" s="4">
        <v>45828</v>
      </c>
      <c r="C6" s="1" t="s">
        <v>13</v>
      </c>
      <c r="D6" s="1" t="s">
        <v>6</v>
      </c>
    </row>
    <row r="7" spans="1:4" x14ac:dyDescent="0.25">
      <c r="A7" s="4">
        <v>45854</v>
      </c>
      <c r="C7" s="1" t="s">
        <v>14</v>
      </c>
      <c r="D7" s="1" t="s">
        <v>6</v>
      </c>
    </row>
    <row r="8" spans="1:4" x14ac:dyDescent="0.25">
      <c r="A8" s="4">
        <v>45884</v>
      </c>
      <c r="C8" s="1" t="s">
        <v>17</v>
      </c>
      <c r="D8" s="1" t="s">
        <v>6</v>
      </c>
    </row>
    <row r="9" spans="1:4" x14ac:dyDescent="0.25">
      <c r="A9" s="4">
        <v>45918</v>
      </c>
      <c r="C9" s="1" t="s">
        <v>19</v>
      </c>
      <c r="D9" s="1" t="s">
        <v>6</v>
      </c>
    </row>
    <row r="10" spans="1:4" x14ac:dyDescent="0.25">
      <c r="A10" s="4">
        <v>45919</v>
      </c>
      <c r="C10" s="1" t="s">
        <v>21</v>
      </c>
      <c r="D10" s="1" t="s">
        <v>6</v>
      </c>
    </row>
    <row r="11" spans="1:4" x14ac:dyDescent="0.25">
      <c r="A11" s="4">
        <v>45961</v>
      </c>
      <c r="C11" s="1" t="s">
        <v>24</v>
      </c>
      <c r="D11" s="1" t="s">
        <v>6</v>
      </c>
    </row>
    <row r="12" spans="1:4" x14ac:dyDescent="0.25">
      <c r="A12" s="4">
        <v>45999</v>
      </c>
      <c r="C12" s="1" t="s">
        <v>25</v>
      </c>
      <c r="D12" s="1" t="s">
        <v>26</v>
      </c>
    </row>
    <row r="13" spans="1:4" x14ac:dyDescent="0.25">
      <c r="A13" s="4">
        <v>46016</v>
      </c>
      <c r="C13" s="1" t="s">
        <v>28</v>
      </c>
      <c r="D13" s="1" t="s">
        <v>26</v>
      </c>
    </row>
    <row r="14" spans="1:4" x14ac:dyDescent="0.25">
      <c r="A14" s="4">
        <v>46023</v>
      </c>
      <c r="C14" s="1" t="s">
        <v>30</v>
      </c>
      <c r="D14" s="1" t="s">
        <v>26</v>
      </c>
    </row>
    <row r="15" spans="1:4" x14ac:dyDescent="0.25">
      <c r="A15" s="4">
        <v>46115</v>
      </c>
      <c r="C15" s="1" t="s">
        <v>32</v>
      </c>
      <c r="D15" s="1" t="s">
        <v>26</v>
      </c>
    </row>
    <row r="16" spans="1:4" x14ac:dyDescent="0.25">
      <c r="A16" s="4">
        <v>46143</v>
      </c>
      <c r="C16" s="1" t="s">
        <v>34</v>
      </c>
      <c r="D16" s="1" t="s">
        <v>26</v>
      </c>
    </row>
    <row r="17" spans="1:4" x14ac:dyDescent="0.25">
      <c r="A17" s="4">
        <v>46163</v>
      </c>
      <c r="C17" s="1" t="s">
        <v>35</v>
      </c>
      <c r="D17" s="1" t="s">
        <v>26</v>
      </c>
    </row>
    <row r="18" spans="1:4" x14ac:dyDescent="0.25">
      <c r="A18" s="4">
        <v>46202</v>
      </c>
      <c r="C18" s="1" t="s">
        <v>36</v>
      </c>
      <c r="D18" s="1" t="s">
        <v>26</v>
      </c>
    </row>
    <row r="19" spans="1:4" x14ac:dyDescent="0.25">
      <c r="A19" s="4">
        <v>46219</v>
      </c>
      <c r="C19" s="1" t="s">
        <v>38</v>
      </c>
      <c r="D19" s="1" t="s">
        <v>26</v>
      </c>
    </row>
    <row r="20" spans="1:4" x14ac:dyDescent="0.25">
      <c r="A20" s="4">
        <v>46283</v>
      </c>
      <c r="C20" s="1" t="s">
        <v>40</v>
      </c>
      <c r="D20" s="1" t="s">
        <v>26</v>
      </c>
    </row>
    <row r="21" spans="1:4" ht="15.75" customHeight="1" x14ac:dyDescent="0.25">
      <c r="A21" s="4">
        <v>46307</v>
      </c>
      <c r="C21" s="1" t="s">
        <v>42</v>
      </c>
      <c r="D21" s="1" t="s">
        <v>26</v>
      </c>
    </row>
    <row r="22" spans="1:4" ht="15.75" customHeight="1" x14ac:dyDescent="0.25">
      <c r="A22" s="4">
        <v>46364</v>
      </c>
      <c r="C22" s="1" t="s">
        <v>44</v>
      </c>
      <c r="D22" s="1" t="s">
        <v>26</v>
      </c>
    </row>
    <row r="23" spans="1:4" ht="15.75" customHeight="1" x14ac:dyDescent="0.25">
      <c r="A23" s="4">
        <v>46381</v>
      </c>
      <c r="C23" s="1" t="s">
        <v>46</v>
      </c>
      <c r="D23" s="1" t="s">
        <v>47</v>
      </c>
    </row>
    <row r="24" spans="1:4" ht="15.75" customHeight="1" x14ac:dyDescent="0.25">
      <c r="A24" s="4"/>
      <c r="C24" s="1" t="s">
        <v>48</v>
      </c>
      <c r="D24" s="1" t="s">
        <v>47</v>
      </c>
    </row>
    <row r="25" spans="1:4" ht="15.75" customHeight="1" x14ac:dyDescent="0.25">
      <c r="A25" s="4"/>
      <c r="C25" s="1" t="s">
        <v>50</v>
      </c>
      <c r="D25" s="1" t="s">
        <v>47</v>
      </c>
    </row>
    <row r="26" spans="1:4" ht="15.75" customHeight="1" x14ac:dyDescent="0.25">
      <c r="A26" s="4"/>
      <c r="C26" s="1" t="s">
        <v>52</v>
      </c>
      <c r="D26" s="1" t="s">
        <v>47</v>
      </c>
    </row>
    <row r="27" spans="1:4" ht="15.75" customHeight="1" x14ac:dyDescent="0.25">
      <c r="A27" s="4"/>
      <c r="C27" s="1" t="s">
        <v>53</v>
      </c>
      <c r="D27" s="1" t="s">
        <v>47</v>
      </c>
    </row>
    <row r="28" spans="1:4" ht="15.75" customHeight="1" x14ac:dyDescent="0.25">
      <c r="A28" s="4"/>
      <c r="C28" s="1" t="s">
        <v>55</v>
      </c>
      <c r="D28" s="1" t="s">
        <v>47</v>
      </c>
    </row>
    <row r="29" spans="1:4" ht="15.75" customHeight="1" x14ac:dyDescent="0.25">
      <c r="A29" s="4"/>
      <c r="C29" s="1" t="s">
        <v>56</v>
      </c>
      <c r="D29" s="1" t="s">
        <v>47</v>
      </c>
    </row>
    <row r="30" spans="1:4" ht="15.75" customHeight="1" x14ac:dyDescent="0.25">
      <c r="A30" s="4"/>
      <c r="C30" s="1" t="s">
        <v>58</v>
      </c>
      <c r="D30" s="1" t="s">
        <v>47</v>
      </c>
    </row>
    <row r="31" spans="1:4" ht="15.75" customHeight="1" x14ac:dyDescent="0.25">
      <c r="A31" s="4"/>
      <c r="C31" s="1" t="s">
        <v>61</v>
      </c>
      <c r="D31" s="1" t="s">
        <v>62</v>
      </c>
    </row>
    <row r="32" spans="1:4" ht="15.75" customHeight="1" x14ac:dyDescent="0.25">
      <c r="A32" s="4"/>
      <c r="C32" s="1" t="s">
        <v>64</v>
      </c>
      <c r="D32" s="1" t="s">
        <v>62</v>
      </c>
    </row>
    <row r="33" spans="1:4" ht="15.75" customHeight="1" x14ac:dyDescent="0.25">
      <c r="A33" s="4"/>
      <c r="C33" s="1" t="s">
        <v>65</v>
      </c>
      <c r="D33" s="1" t="s">
        <v>62</v>
      </c>
    </row>
    <row r="34" spans="1:4" ht="15.75" customHeight="1" x14ac:dyDescent="0.25">
      <c r="A34" s="4"/>
      <c r="C34" s="1" t="s">
        <v>67</v>
      </c>
      <c r="D34" s="1" t="s">
        <v>62</v>
      </c>
    </row>
    <row r="35" spans="1:4" ht="15.75" customHeight="1" x14ac:dyDescent="0.25">
      <c r="A35" s="4"/>
      <c r="C35" s="1" t="s">
        <v>69</v>
      </c>
      <c r="D35" s="1" t="s">
        <v>62</v>
      </c>
    </row>
    <row r="36" spans="1:4" ht="15.75" customHeight="1" x14ac:dyDescent="0.25">
      <c r="A36" s="4"/>
      <c r="C36" s="1" t="s">
        <v>71</v>
      </c>
      <c r="D36" s="1" t="s">
        <v>73</v>
      </c>
    </row>
    <row r="37" spans="1:4" ht="15.75" customHeight="1" x14ac:dyDescent="0.25">
      <c r="A37" s="4"/>
    </row>
    <row r="38" spans="1:4" ht="15.75" customHeight="1" x14ac:dyDescent="0.25">
      <c r="A38" s="4"/>
    </row>
    <row r="39" spans="1:4" ht="15.75" customHeight="1" x14ac:dyDescent="0.25">
      <c r="A39" s="4"/>
    </row>
    <row r="40" spans="1:4" ht="15.75" customHeight="1" x14ac:dyDescent="0.25">
      <c r="A40" s="4"/>
    </row>
    <row r="41" spans="1:4" ht="15.75" customHeight="1" x14ac:dyDescent="0.25">
      <c r="A41" s="4"/>
    </row>
    <row r="42" spans="1:4" ht="15.75" customHeight="1" x14ac:dyDescent="0.25"/>
    <row r="43" spans="1:4" ht="15.75" customHeight="1" x14ac:dyDescent="0.25"/>
    <row r="44" spans="1:4" ht="15.75" customHeight="1" x14ac:dyDescent="0.25"/>
    <row r="45" spans="1:4" ht="15.75" customHeight="1" x14ac:dyDescent="0.25"/>
    <row r="46" spans="1:4" ht="15.75" customHeight="1" x14ac:dyDescent="0.25"/>
    <row r="47" spans="1:4" ht="15.75" customHeight="1" x14ac:dyDescent="0.25"/>
    <row r="48" spans="1: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Programas 2026</vt:lpstr>
      <vt:lpstr>Feriados y Comunas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Haroldt Solervicens Pino</dc:creator>
  <cp:lastModifiedBy>Haroldt Solervicens</cp:lastModifiedBy>
  <dcterms:created xsi:type="dcterms:W3CDTF">2023-01-03T15:01:54Z</dcterms:created>
  <dcterms:modified xsi:type="dcterms:W3CDTF">2026-09-16T14:16:58Z</dcterms:modified>
</cp:coreProperties>
</file>